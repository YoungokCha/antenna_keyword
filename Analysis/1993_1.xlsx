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34685C89-EA1E-934B-AA5C-CAAC8833D621}" xr6:coauthVersionLast="47" xr6:coauthVersionMax="47" xr10:uidLastSave="{47173AE1-11EC-6548-8B85-0B10C03AB486}"/>
  <bookViews>
    <workbookView xWindow="4900" yWindow="2720" windowWidth="27640" windowHeight="16940" xr2:uid="{24D08A1F-F79F-A840-B31F-96107F5FAE9E}"/>
  </bookViews>
  <sheets>
    <sheet name="1993"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2" i="1"/>
  <c r="S2" i="1" l="1"/>
  <c r="U2" i="1"/>
  <c r="AM2" i="1" s="1"/>
  <c r="AV2" i="1"/>
  <c r="S3" i="1"/>
  <c r="U3" i="1"/>
  <c r="AM3" i="1"/>
  <c r="S4" i="1"/>
  <c r="U4" i="1"/>
  <c r="AM4" i="1" s="1"/>
  <c r="S5" i="1"/>
  <c r="U5" i="1"/>
  <c r="AM5" i="1" s="1"/>
  <c r="S6" i="1"/>
  <c r="U6" i="1"/>
  <c r="AM6" i="1" s="1"/>
  <c r="AV6" i="1"/>
  <c r="S7" i="1"/>
  <c r="U7" i="1"/>
  <c r="AM7" i="1" s="1"/>
  <c r="S8" i="1"/>
  <c r="U8" i="1"/>
  <c r="AM8" i="1"/>
  <c r="AV8" i="1" s="1"/>
  <c r="S9" i="1"/>
  <c r="U9" i="1"/>
  <c r="AM9" i="1"/>
  <c r="S10" i="1"/>
  <c r="U10" i="1"/>
  <c r="AM10" i="1" s="1"/>
  <c r="S11" i="1"/>
  <c r="U11" i="1"/>
  <c r="AM11" i="1" s="1"/>
  <c r="S12" i="1"/>
  <c r="U12" i="1"/>
  <c r="AM12" i="1" s="1"/>
  <c r="AV12" i="1"/>
  <c r="S13" i="1"/>
  <c r="U13" i="1"/>
  <c r="AM13" i="1"/>
  <c r="S14" i="1"/>
  <c r="U14" i="1"/>
  <c r="AM14" i="1"/>
  <c r="S15" i="1"/>
  <c r="U15" i="1"/>
  <c r="AM15" i="1"/>
  <c r="S16" i="1"/>
  <c r="U16" i="1"/>
  <c r="AM16" i="1" s="1"/>
  <c r="AV16" i="1"/>
  <c r="S17" i="1"/>
  <c r="U17" i="1"/>
  <c r="AM17" i="1"/>
  <c r="S18" i="1"/>
  <c r="U18" i="1"/>
  <c r="AM18" i="1"/>
  <c r="S19" i="1"/>
  <c r="U19" i="1"/>
  <c r="AM19" i="1" s="1"/>
  <c r="S20" i="1"/>
  <c r="U20" i="1"/>
  <c r="AM20" i="1"/>
  <c r="AV20" i="1" s="1"/>
  <c r="S21" i="1"/>
  <c r="U21" i="1"/>
  <c r="AM21" i="1" s="1"/>
  <c r="AV21" i="1"/>
  <c r="S22" i="1"/>
  <c r="U22" i="1"/>
  <c r="AM22" i="1" s="1"/>
  <c r="AV22" i="1"/>
  <c r="S23" i="1"/>
  <c r="U23" i="1"/>
  <c r="AM23" i="1" s="1"/>
  <c r="AU23" i="1" s="1"/>
  <c r="S24" i="1"/>
  <c r="U24" i="1"/>
  <c r="AM24" i="1" s="1"/>
  <c r="S25" i="1"/>
  <c r="U25" i="1"/>
  <c r="AM25" i="1"/>
  <c r="S26" i="1"/>
  <c r="U26" i="1"/>
  <c r="AM26" i="1" s="1"/>
  <c r="S27" i="1"/>
  <c r="U27" i="1"/>
  <c r="AM27" i="1" s="1"/>
  <c r="S28" i="1"/>
  <c r="U28" i="1"/>
  <c r="AM28" i="1" s="1"/>
  <c r="S29" i="1"/>
  <c r="U29" i="1"/>
  <c r="AM29" i="1" s="1"/>
  <c r="AU29" i="1" s="1"/>
  <c r="S30" i="1"/>
  <c r="U30" i="1"/>
  <c r="AM30" i="1"/>
  <c r="AU30" i="1" s="1"/>
  <c r="S31" i="1"/>
  <c r="U31" i="1"/>
  <c r="AM31" i="1" s="1"/>
  <c r="S32" i="1"/>
  <c r="U32" i="1"/>
  <c r="AM32" i="1" s="1"/>
  <c r="S33" i="1"/>
  <c r="U33" i="1"/>
  <c r="AM33" i="1" s="1"/>
  <c r="S34" i="1"/>
  <c r="U34" i="1"/>
  <c r="AM34" i="1" s="1"/>
  <c r="S35" i="1"/>
  <c r="U35" i="1"/>
  <c r="AM35" i="1" s="1"/>
  <c r="S36" i="1"/>
  <c r="U36" i="1"/>
  <c r="AM36" i="1"/>
  <c r="AU36" i="1" s="1"/>
  <c r="S37" i="1"/>
  <c r="U37" i="1"/>
  <c r="AM37" i="1" s="1"/>
  <c r="S38" i="1"/>
  <c r="U38" i="1"/>
  <c r="AM38" i="1" s="1"/>
  <c r="S39" i="1"/>
  <c r="U39" i="1"/>
  <c r="AM39" i="1"/>
  <c r="AU39" i="1" s="1"/>
  <c r="S40" i="1"/>
  <c r="U40" i="1"/>
  <c r="AM40" i="1"/>
  <c r="AU40" i="1" s="1"/>
  <c r="S41" i="1"/>
  <c r="U41" i="1"/>
  <c r="AM41" i="1" s="1"/>
  <c r="S42" i="1"/>
  <c r="U42" i="1"/>
  <c r="AM42" i="1" s="1"/>
  <c r="S43" i="1"/>
  <c r="U43" i="1"/>
  <c r="AM43" i="1" s="1"/>
  <c r="S44" i="1"/>
  <c r="U44" i="1"/>
  <c r="AM44" i="1"/>
  <c r="AU44" i="1"/>
  <c r="S45" i="1"/>
  <c r="U45" i="1"/>
  <c r="AM45" i="1"/>
  <c r="AU45" i="1" s="1"/>
  <c r="S46" i="1"/>
  <c r="U46" i="1"/>
  <c r="AM46" i="1" s="1"/>
  <c r="S47" i="1"/>
  <c r="U47" i="1"/>
  <c r="AM47" i="1" s="1"/>
  <c r="S48" i="1"/>
  <c r="U48" i="1"/>
  <c r="AM48" i="1" s="1"/>
  <c r="S49" i="1"/>
  <c r="U49" i="1"/>
  <c r="AM49" i="1" s="1"/>
  <c r="S50" i="1"/>
  <c r="U50" i="1"/>
  <c r="AM50" i="1"/>
  <c r="S51" i="1"/>
  <c r="U51" i="1"/>
  <c r="AM51" i="1" s="1"/>
  <c r="S52" i="1"/>
  <c r="U52" i="1"/>
  <c r="AM52" i="1" s="1"/>
  <c r="S53" i="1"/>
  <c r="U53" i="1"/>
  <c r="AM53" i="1" s="1"/>
  <c r="S54" i="1"/>
  <c r="U54" i="1"/>
  <c r="AM54" i="1"/>
  <c r="S55" i="1"/>
  <c r="U55" i="1"/>
  <c r="AM55" i="1" s="1"/>
  <c r="S56" i="1"/>
  <c r="U56" i="1"/>
  <c r="AM56" i="1"/>
  <c r="AU56" i="1" s="1"/>
  <c r="S57" i="1"/>
  <c r="U57" i="1"/>
  <c r="AM57" i="1" s="1"/>
  <c r="S58" i="1"/>
  <c r="U58" i="1"/>
  <c r="AM58" i="1" s="1"/>
  <c r="S59" i="1"/>
  <c r="U59" i="1"/>
  <c r="AM59" i="1"/>
  <c r="S60" i="1"/>
  <c r="U60" i="1"/>
  <c r="AM60" i="1" s="1"/>
  <c r="S61" i="1"/>
  <c r="U61" i="1"/>
  <c r="AM61" i="1"/>
  <c r="AU61" i="1"/>
  <c r="S62" i="1"/>
  <c r="U62" i="1"/>
  <c r="AM62" i="1" s="1"/>
  <c r="S63" i="1"/>
  <c r="U63" i="1"/>
  <c r="AM63" i="1" s="1"/>
  <c r="AU63" i="1"/>
  <c r="S64" i="1"/>
  <c r="U64" i="1"/>
  <c r="AM64" i="1" s="1"/>
  <c r="AU64" i="1" s="1"/>
  <c r="S65" i="1"/>
  <c r="U65" i="1"/>
  <c r="AM65" i="1"/>
  <c r="AU65" i="1" s="1"/>
  <c r="S66" i="1"/>
  <c r="U66" i="1"/>
  <c r="AM66" i="1" s="1"/>
  <c r="S67" i="1"/>
  <c r="U67" i="1"/>
  <c r="AM67" i="1" s="1"/>
  <c r="S68" i="1"/>
  <c r="U68" i="1"/>
  <c r="AM68" i="1" s="1"/>
  <c r="S69" i="1"/>
  <c r="U69" i="1"/>
  <c r="AM69" i="1"/>
  <c r="AU69" i="1" s="1"/>
  <c r="S70" i="1"/>
  <c r="U70" i="1"/>
  <c r="AM70" i="1"/>
  <c r="AU70" i="1"/>
  <c r="AV70" i="1"/>
  <c r="S71" i="1"/>
  <c r="U71" i="1"/>
  <c r="AM71" i="1"/>
  <c r="AU71" i="1" s="1"/>
  <c r="S72" i="1"/>
  <c r="U72" i="1"/>
  <c r="AM72" i="1" s="1"/>
  <c r="S73" i="1"/>
  <c r="U73" i="1"/>
  <c r="AM73" i="1" s="1"/>
  <c r="S74" i="1"/>
  <c r="U74" i="1"/>
  <c r="AM74" i="1"/>
  <c r="AU74" i="1" s="1"/>
  <c r="S75" i="1"/>
  <c r="U75" i="1"/>
  <c r="AM75" i="1" s="1"/>
  <c r="S76" i="1"/>
  <c r="U76" i="1"/>
  <c r="AW76" i="1"/>
  <c r="AM76" i="1"/>
  <c r="S77" i="1"/>
  <c r="U77" i="1"/>
  <c r="AM77" i="1" s="1"/>
  <c r="S78" i="1"/>
  <c r="U78" i="1"/>
  <c r="AM78" i="1" s="1"/>
  <c r="S79" i="1"/>
  <c r="U79" i="1"/>
  <c r="AM79" i="1"/>
  <c r="AU79" i="1"/>
  <c r="S80" i="1"/>
  <c r="U80" i="1"/>
  <c r="AM80" i="1" s="1"/>
  <c r="AU80" i="1" s="1"/>
  <c r="S81" i="1"/>
  <c r="U81" i="1"/>
  <c r="AM81" i="1"/>
  <c r="AU81" i="1" s="1"/>
  <c r="S82" i="1"/>
  <c r="U82" i="1"/>
  <c r="AM82" i="1" s="1"/>
  <c r="S83" i="1"/>
  <c r="U83" i="1"/>
  <c r="AM83" i="1" s="1"/>
  <c r="S84" i="1"/>
  <c r="U84" i="1"/>
  <c r="AM84" i="1" s="1"/>
  <c r="S85" i="1"/>
  <c r="U85" i="1"/>
  <c r="AM85" i="1"/>
  <c r="AU85" i="1" s="1"/>
  <c r="S86" i="1"/>
  <c r="U86" i="1"/>
  <c r="AM86" i="1" s="1"/>
  <c r="S87" i="1"/>
  <c r="U87" i="1"/>
  <c r="AM87" i="1" s="1"/>
  <c r="S88" i="1"/>
  <c r="U88" i="1"/>
  <c r="AM88" i="1" s="1"/>
  <c r="S89" i="1"/>
  <c r="U89" i="1"/>
  <c r="AM89" i="1" s="1"/>
  <c r="S90" i="1"/>
  <c r="U90" i="1"/>
  <c r="AM90" i="1"/>
  <c r="AU90" i="1" s="1"/>
  <c r="S91" i="1"/>
  <c r="U91" i="1"/>
  <c r="AM91" i="1"/>
  <c r="AU91" i="1" s="1"/>
  <c r="S92" i="1"/>
  <c r="U92" i="1"/>
  <c r="AM92" i="1" s="1"/>
  <c r="S93" i="1"/>
  <c r="U93" i="1"/>
  <c r="AM93" i="1" s="1"/>
  <c r="S94" i="1"/>
  <c r="U94" i="1"/>
  <c r="AM94" i="1"/>
  <c r="AU94" i="1" s="1"/>
  <c r="S95" i="1"/>
  <c r="U95" i="1"/>
  <c r="AM95" i="1" s="1"/>
  <c r="S96" i="1"/>
  <c r="U96" i="1"/>
  <c r="AM96" i="1" s="1"/>
  <c r="S97" i="1"/>
  <c r="U97" i="1"/>
  <c r="AM97" i="1" s="1"/>
  <c r="S98" i="1"/>
  <c r="U98" i="1"/>
  <c r="AM98" i="1" s="1"/>
  <c r="S99" i="1"/>
  <c r="U99" i="1"/>
  <c r="AM99" i="1" s="1"/>
  <c r="S100" i="1"/>
  <c r="U100" i="1"/>
  <c r="AM100" i="1"/>
  <c r="S101" i="1"/>
  <c r="U101" i="1"/>
  <c r="AM101" i="1"/>
  <c r="AU101" i="1"/>
  <c r="S102" i="1"/>
  <c r="U102" i="1"/>
  <c r="AM102" i="1" s="1"/>
  <c r="S103" i="1"/>
  <c r="U103" i="1"/>
  <c r="AM103" i="1" s="1"/>
  <c r="S104" i="1"/>
  <c r="U104" i="1"/>
  <c r="AM104" i="1" s="1"/>
  <c r="AU104" i="1" s="1"/>
  <c r="S105" i="1"/>
  <c r="U105" i="1"/>
  <c r="AM105" i="1" s="1"/>
  <c r="AV105" i="1" s="1"/>
  <c r="S106" i="1"/>
  <c r="U106" i="1"/>
  <c r="AM106" i="1" s="1"/>
  <c r="AU106" i="1" s="1"/>
  <c r="S107" i="1"/>
  <c r="U107" i="1"/>
  <c r="AM107" i="1" s="1"/>
  <c r="S108" i="1"/>
  <c r="U108" i="1"/>
  <c r="AM108" i="1" s="1"/>
  <c r="S109" i="1"/>
  <c r="U109" i="1"/>
  <c r="AM109" i="1" s="1"/>
  <c r="S110" i="1"/>
  <c r="U110" i="1"/>
  <c r="AM110" i="1" s="1"/>
  <c r="S111" i="1"/>
  <c r="U111" i="1"/>
  <c r="AM111" i="1"/>
  <c r="S112" i="1"/>
  <c r="U112" i="1"/>
  <c r="AM112" i="1" s="1"/>
  <c r="S113" i="1"/>
  <c r="U113" i="1"/>
  <c r="AM113" i="1" s="1"/>
  <c r="S114" i="1"/>
  <c r="U114" i="1"/>
  <c r="AM114" i="1"/>
  <c r="S115" i="1"/>
  <c r="U115" i="1"/>
  <c r="AM115" i="1"/>
  <c r="S116" i="1"/>
  <c r="U116" i="1"/>
  <c r="AM116" i="1"/>
  <c r="AU116" i="1" s="1"/>
  <c r="S117" i="1"/>
  <c r="U117" i="1"/>
  <c r="AM117" i="1" s="1"/>
  <c r="AW117" i="1" s="1"/>
  <c r="S118" i="1"/>
  <c r="U118" i="1"/>
  <c r="AM118" i="1" s="1"/>
  <c r="S119" i="1"/>
  <c r="U119" i="1"/>
  <c r="AM119" i="1"/>
  <c r="S120" i="1"/>
  <c r="U120" i="1"/>
  <c r="AM120" i="1"/>
  <c r="AU120" i="1" s="1"/>
  <c r="S121" i="1"/>
  <c r="U121" i="1"/>
  <c r="AM121" i="1" s="1"/>
  <c r="AU121" i="1" s="1"/>
  <c r="S122" i="1"/>
  <c r="U122" i="1"/>
  <c r="AM122" i="1" s="1"/>
  <c r="S123" i="1"/>
  <c r="U123" i="1"/>
  <c r="AM123" i="1" s="1"/>
  <c r="S124" i="1"/>
  <c r="U124" i="1"/>
  <c r="AM124" i="1"/>
  <c r="S125" i="1"/>
  <c r="U125" i="1"/>
  <c r="AM125" i="1" s="1"/>
  <c r="S126" i="1"/>
  <c r="U126" i="1"/>
  <c r="AM126" i="1" s="1"/>
  <c r="S127" i="1"/>
  <c r="U127" i="1"/>
  <c r="AM127" i="1" s="1"/>
  <c r="AW127" i="1"/>
  <c r="S128" i="1"/>
  <c r="U128" i="1"/>
  <c r="AM128" i="1" s="1"/>
  <c r="S129" i="1"/>
  <c r="U129" i="1"/>
  <c r="AM129" i="1" s="1"/>
  <c r="S130" i="1"/>
  <c r="U130" i="1"/>
  <c r="AM130" i="1" s="1"/>
  <c r="S131" i="1"/>
  <c r="U131" i="1"/>
  <c r="AM131" i="1"/>
  <c r="AU131" i="1" s="1"/>
  <c r="S132" i="1"/>
  <c r="U132" i="1"/>
  <c r="AM132" i="1" s="1"/>
  <c r="AV132" i="1"/>
  <c r="AW132" i="1"/>
  <c r="S133" i="1"/>
  <c r="U133" i="1"/>
  <c r="AM133" i="1" s="1"/>
  <c r="S134" i="1"/>
  <c r="U134" i="1"/>
  <c r="AM134" i="1"/>
  <c r="S135" i="1"/>
  <c r="U135" i="1"/>
  <c r="AM135" i="1" s="1"/>
  <c r="AU135" i="1" s="1"/>
  <c r="S136" i="1"/>
  <c r="U136" i="1"/>
  <c r="AM136" i="1" s="1"/>
  <c r="AU136" i="1" s="1"/>
  <c r="S137" i="1"/>
  <c r="U137" i="1"/>
  <c r="AM137" i="1" s="1"/>
  <c r="AW137" i="1"/>
  <c r="AV137" i="1"/>
  <c r="S138" i="1"/>
  <c r="U138" i="1"/>
  <c r="AM138" i="1" s="1"/>
  <c r="S139" i="1"/>
  <c r="U139" i="1"/>
  <c r="AM139" i="1" s="1"/>
  <c r="AW139" i="1" s="1"/>
  <c r="S140" i="1"/>
  <c r="U140" i="1"/>
  <c r="AM140" i="1" s="1"/>
  <c r="S141" i="1"/>
  <c r="U141" i="1"/>
  <c r="AM141" i="1" s="1"/>
  <c r="AU141" i="1" s="1"/>
  <c r="S142" i="1"/>
  <c r="U142" i="1"/>
  <c r="AM142" i="1" s="1"/>
  <c r="S143" i="1"/>
  <c r="U143" i="1"/>
  <c r="AM143" i="1" s="1"/>
  <c r="S144" i="1"/>
  <c r="U144" i="1"/>
  <c r="AM144" i="1"/>
  <c r="S145" i="1"/>
  <c r="U145" i="1"/>
  <c r="AM145" i="1" s="1"/>
  <c r="S146" i="1"/>
  <c r="U146" i="1"/>
  <c r="AM146" i="1"/>
  <c r="AU146" i="1" s="1"/>
  <c r="S147" i="1"/>
  <c r="U147" i="1"/>
  <c r="AM147" i="1" s="1"/>
  <c r="AU147" i="1"/>
  <c r="AV147" i="1"/>
  <c r="AW147" i="1"/>
  <c r="S148" i="1"/>
  <c r="U148" i="1"/>
  <c r="AM148" i="1" s="1"/>
  <c r="S149" i="1"/>
  <c r="U149" i="1"/>
  <c r="AM149" i="1"/>
  <c r="AW149" i="1" s="1"/>
  <c r="S150" i="1"/>
  <c r="U150" i="1"/>
  <c r="AM150" i="1" s="1"/>
  <c r="S151" i="1"/>
  <c r="U151" i="1"/>
  <c r="AM151" i="1"/>
  <c r="S152" i="1"/>
  <c r="U152" i="1"/>
  <c r="AM152" i="1" s="1"/>
  <c r="S153" i="1"/>
  <c r="U153" i="1"/>
  <c r="AM153" i="1" s="1"/>
  <c r="S154" i="1"/>
  <c r="U154" i="1"/>
  <c r="AM154" i="1" s="1"/>
  <c r="AV154" i="1"/>
  <c r="S155" i="1"/>
  <c r="U155" i="1"/>
  <c r="AM155" i="1"/>
  <c r="S156" i="1"/>
  <c r="U156" i="1"/>
  <c r="AM156" i="1" s="1"/>
  <c r="S157" i="1"/>
  <c r="U157" i="1"/>
  <c r="AM157" i="1" s="1"/>
  <c r="S158" i="1"/>
  <c r="U158" i="1"/>
  <c r="AM158" i="1" s="1"/>
  <c r="S159" i="1"/>
  <c r="U159" i="1"/>
  <c r="AM159" i="1" s="1"/>
  <c r="S160" i="1"/>
  <c r="U160" i="1"/>
  <c r="AM160" i="1" s="1"/>
  <c r="S161" i="1"/>
  <c r="U161" i="1"/>
  <c r="AM161" i="1" s="1"/>
  <c r="S162" i="1"/>
  <c r="U162" i="1"/>
  <c r="AM162" i="1" s="1"/>
  <c r="S163" i="1"/>
  <c r="U163" i="1"/>
  <c r="AM163" i="1" s="1"/>
  <c r="S164" i="1"/>
  <c r="U164" i="1"/>
  <c r="AM164" i="1" s="1"/>
  <c r="S165" i="1"/>
  <c r="U165" i="1"/>
  <c r="AM165" i="1"/>
  <c r="S166" i="1"/>
  <c r="U166" i="1"/>
  <c r="AM166" i="1"/>
  <c r="S167" i="1"/>
  <c r="U167" i="1"/>
  <c r="AM167" i="1" s="1"/>
  <c r="S168" i="1"/>
  <c r="U168" i="1"/>
  <c r="AM168" i="1" s="1"/>
  <c r="S169" i="1"/>
  <c r="U169" i="1"/>
  <c r="AM169" i="1" s="1"/>
  <c r="AW169" i="1"/>
  <c r="S170" i="1"/>
  <c r="U170" i="1"/>
  <c r="AM170" i="1" s="1"/>
  <c r="S171" i="1"/>
  <c r="U171" i="1"/>
  <c r="AM171" i="1"/>
  <c r="AU171" i="1" s="1"/>
  <c r="S172" i="1"/>
  <c r="U172" i="1"/>
  <c r="AM172" i="1" s="1"/>
  <c r="S173" i="1"/>
  <c r="U173" i="1"/>
  <c r="AM173" i="1" s="1"/>
  <c r="S174" i="1"/>
  <c r="U174" i="1"/>
  <c r="AM174" i="1" s="1"/>
  <c r="S175" i="1"/>
  <c r="U175" i="1"/>
  <c r="AM175" i="1" s="1"/>
  <c r="S176" i="1"/>
  <c r="U176" i="1"/>
  <c r="AM176" i="1" s="1"/>
  <c r="S177" i="1"/>
  <c r="U177" i="1"/>
  <c r="AM177" i="1"/>
  <c r="S178" i="1"/>
  <c r="U178" i="1"/>
  <c r="AM178" i="1" s="1"/>
  <c r="S179" i="1"/>
  <c r="U179" i="1"/>
  <c r="AM179" i="1"/>
  <c r="S180" i="1"/>
  <c r="U180" i="1"/>
  <c r="AM180" i="1" s="1"/>
  <c r="S181" i="1"/>
  <c r="U181" i="1"/>
  <c r="AM181" i="1"/>
  <c r="AU181" i="1" s="1"/>
  <c r="S182" i="1"/>
  <c r="U182" i="1"/>
  <c r="AM182" i="1" s="1"/>
  <c r="S183" i="1"/>
  <c r="U183" i="1"/>
  <c r="AM183" i="1" s="1"/>
  <c r="S184" i="1"/>
  <c r="U184" i="1"/>
  <c r="AM184" i="1" s="1"/>
  <c r="S185" i="1"/>
  <c r="U185" i="1"/>
  <c r="AM185" i="1" s="1"/>
  <c r="S186" i="1"/>
  <c r="U186" i="1"/>
  <c r="AM186" i="1" s="1"/>
  <c r="S187" i="1"/>
  <c r="U187" i="1"/>
  <c r="AM187" i="1" s="1"/>
  <c r="S188" i="1"/>
  <c r="U188" i="1"/>
  <c r="AM188" i="1" s="1"/>
  <c r="S189" i="1"/>
  <c r="U189" i="1"/>
  <c r="AM189" i="1" s="1"/>
  <c r="S190" i="1"/>
  <c r="U190" i="1"/>
  <c r="AM190" i="1" s="1"/>
  <c r="S191" i="1"/>
  <c r="U191" i="1"/>
  <c r="AM191" i="1" s="1"/>
  <c r="AU191" i="1"/>
  <c r="S192" i="1"/>
  <c r="U192" i="1"/>
  <c r="AM192" i="1" s="1"/>
  <c r="S193" i="1"/>
  <c r="U193" i="1"/>
  <c r="AM193" i="1" s="1"/>
  <c r="S194" i="1"/>
  <c r="U194" i="1"/>
  <c r="AM194" i="1" s="1"/>
  <c r="S195" i="1"/>
  <c r="U195" i="1"/>
  <c r="AM195" i="1" s="1"/>
  <c r="S196" i="1"/>
  <c r="U196" i="1"/>
  <c r="AM196" i="1" s="1"/>
  <c r="S197" i="1"/>
  <c r="U197" i="1"/>
  <c r="AM197" i="1"/>
  <c r="S198" i="1"/>
  <c r="U198" i="1"/>
  <c r="AM198" i="1"/>
  <c r="AV198" i="1" s="1"/>
  <c r="S199" i="1"/>
  <c r="U199" i="1"/>
  <c r="AM199" i="1" s="1"/>
  <c r="S200" i="1"/>
  <c r="U200" i="1"/>
  <c r="AM200" i="1" s="1"/>
  <c r="S201" i="1"/>
  <c r="U201" i="1"/>
  <c r="AM201" i="1"/>
  <c r="S202" i="1"/>
  <c r="U202" i="1"/>
  <c r="AM202" i="1"/>
  <c r="S203" i="1"/>
  <c r="U203" i="1"/>
  <c r="AM203" i="1"/>
  <c r="AW203" i="1" s="1"/>
  <c r="S204" i="1"/>
  <c r="U204" i="1"/>
  <c r="AM204" i="1" s="1"/>
  <c r="S205" i="1"/>
  <c r="U205" i="1"/>
  <c r="AM205" i="1"/>
  <c r="S206" i="1"/>
  <c r="U206" i="1"/>
  <c r="AM206" i="1" s="1"/>
  <c r="S207" i="1"/>
  <c r="U207" i="1"/>
  <c r="AM207" i="1" s="1"/>
  <c r="S208" i="1"/>
  <c r="U208" i="1"/>
  <c r="AM208" i="1" s="1"/>
  <c r="S209" i="1"/>
  <c r="U209" i="1"/>
  <c r="AM209" i="1" s="1"/>
  <c r="S210" i="1"/>
  <c r="U210" i="1"/>
  <c r="AM210" i="1" s="1"/>
  <c r="S211" i="1"/>
  <c r="U211" i="1"/>
  <c r="AM211" i="1"/>
  <c r="S212" i="1"/>
  <c r="U212" i="1"/>
  <c r="AM212" i="1" s="1"/>
  <c r="S213" i="1"/>
  <c r="U213" i="1"/>
  <c r="AM213" i="1" s="1"/>
  <c r="AW213" i="1" s="1"/>
  <c r="S214" i="1"/>
  <c r="U214" i="1"/>
  <c r="AM214" i="1" s="1"/>
  <c r="S215" i="1"/>
  <c r="U215" i="1"/>
  <c r="AM215" i="1" s="1"/>
  <c r="S216" i="1"/>
  <c r="U216" i="1"/>
  <c r="AM216" i="1" s="1"/>
  <c r="S217" i="1"/>
  <c r="U217" i="1"/>
  <c r="AM217" i="1" s="1"/>
  <c r="S218" i="1"/>
  <c r="U218" i="1"/>
  <c r="AM218" i="1" s="1"/>
  <c r="AU218" i="1"/>
  <c r="S219" i="1"/>
  <c r="U219" i="1"/>
  <c r="AM219" i="1" s="1"/>
  <c r="S220" i="1"/>
  <c r="U220" i="1"/>
  <c r="AM220" i="1" s="1"/>
  <c r="S221" i="1"/>
  <c r="U221" i="1"/>
  <c r="AM221" i="1"/>
  <c r="S222" i="1"/>
  <c r="U222" i="1"/>
  <c r="AM222" i="1" s="1"/>
  <c r="S223" i="1"/>
  <c r="U223" i="1"/>
  <c r="AM223" i="1" s="1"/>
  <c r="AU223" i="1"/>
  <c r="S224" i="1"/>
  <c r="U224" i="1"/>
  <c r="AM224" i="1" s="1"/>
  <c r="S225" i="1"/>
  <c r="U225" i="1"/>
  <c r="AM225" i="1"/>
  <c r="S226" i="1"/>
  <c r="U226" i="1"/>
  <c r="AM226" i="1" s="1"/>
  <c r="S227" i="1"/>
  <c r="U227" i="1"/>
  <c r="AM227" i="1" s="1"/>
  <c r="S228" i="1"/>
  <c r="U228" i="1"/>
  <c r="AM228" i="1" s="1"/>
  <c r="S229" i="1"/>
  <c r="U229" i="1"/>
  <c r="AM229" i="1" s="1"/>
  <c r="S230" i="1"/>
  <c r="U230" i="1"/>
  <c r="AM230" i="1" s="1"/>
  <c r="S231" i="1"/>
  <c r="U231" i="1"/>
  <c r="AM231" i="1" s="1"/>
  <c r="S232" i="1"/>
  <c r="U232" i="1"/>
  <c r="AM232" i="1" s="1"/>
  <c r="S233" i="1"/>
  <c r="U233" i="1"/>
  <c r="AM233" i="1" s="1"/>
  <c r="S234" i="1"/>
  <c r="U234" i="1"/>
  <c r="AM234" i="1" s="1"/>
  <c r="AU234" i="1"/>
  <c r="S235" i="1"/>
  <c r="U235" i="1"/>
  <c r="AM235" i="1" s="1"/>
  <c r="S236" i="1"/>
  <c r="U236" i="1"/>
  <c r="AM236" i="1"/>
  <c r="S237" i="1"/>
  <c r="U237" i="1"/>
  <c r="AM237" i="1" s="1"/>
  <c r="S238" i="1"/>
  <c r="U238" i="1"/>
  <c r="AM238" i="1" s="1"/>
  <c r="S239" i="1"/>
  <c r="U239" i="1"/>
  <c r="AM239" i="1" s="1"/>
  <c r="S240" i="1"/>
  <c r="U240" i="1"/>
  <c r="AM240" i="1"/>
  <c r="AW240" i="1"/>
  <c r="S241" i="1"/>
  <c r="U241" i="1"/>
  <c r="AM241" i="1"/>
  <c r="S242" i="1"/>
  <c r="U242" i="1"/>
  <c r="AM242" i="1" s="1"/>
  <c r="S243" i="1"/>
  <c r="U243" i="1"/>
  <c r="AM243" i="1" s="1"/>
  <c r="AU243" i="1"/>
  <c r="S244" i="1"/>
  <c r="U244" i="1"/>
  <c r="AM244" i="1" s="1"/>
  <c r="S245" i="1"/>
  <c r="U245" i="1"/>
  <c r="AM245" i="1" s="1"/>
  <c r="S246" i="1"/>
  <c r="U246" i="1"/>
  <c r="AM246" i="1"/>
  <c r="S247" i="1"/>
  <c r="U247" i="1"/>
  <c r="AM247" i="1" s="1"/>
  <c r="S248" i="1"/>
  <c r="U248" i="1"/>
  <c r="AM248" i="1" s="1"/>
  <c r="S249" i="1"/>
  <c r="U249" i="1"/>
  <c r="AM249" i="1" s="1"/>
  <c r="S250" i="1"/>
  <c r="U250" i="1"/>
  <c r="AM250" i="1"/>
  <c r="S251" i="1"/>
  <c r="U251" i="1"/>
  <c r="AM251" i="1" s="1"/>
  <c r="S252" i="1"/>
  <c r="U252" i="1"/>
  <c r="AM252" i="1" s="1"/>
  <c r="S253" i="1"/>
  <c r="U253" i="1"/>
  <c r="AM253" i="1" s="1"/>
  <c r="S254" i="1"/>
  <c r="U254" i="1"/>
  <c r="AM254" i="1" s="1"/>
  <c r="AU254" i="1"/>
  <c r="S255" i="1"/>
  <c r="U255" i="1"/>
  <c r="AM255" i="1" s="1"/>
  <c r="S256" i="1"/>
  <c r="U256" i="1"/>
  <c r="AM256" i="1"/>
  <c r="S257" i="1"/>
  <c r="U257" i="1"/>
  <c r="AM257" i="1" s="1"/>
  <c r="S258" i="1"/>
  <c r="U258" i="1"/>
  <c r="AM258" i="1" s="1"/>
  <c r="AU258" i="1"/>
  <c r="S259" i="1"/>
  <c r="U259" i="1"/>
  <c r="AM259" i="1" s="1"/>
  <c r="S260" i="1"/>
  <c r="U260" i="1"/>
  <c r="AM260" i="1" s="1"/>
  <c r="S261" i="1"/>
  <c r="U261" i="1"/>
  <c r="AM261" i="1" s="1"/>
  <c r="S262" i="1"/>
  <c r="U262" i="1"/>
  <c r="AM262" i="1" s="1"/>
  <c r="S263" i="1"/>
  <c r="U263" i="1"/>
  <c r="AM263" i="1" s="1"/>
  <c r="S264" i="1"/>
  <c r="U264" i="1"/>
  <c r="AM264" i="1" s="1"/>
  <c r="S265" i="1"/>
  <c r="U265" i="1"/>
  <c r="AM265" i="1" s="1"/>
  <c r="S266" i="1"/>
  <c r="U266" i="1"/>
  <c r="AM266" i="1"/>
  <c r="S267" i="1"/>
  <c r="U267" i="1"/>
  <c r="AM267" i="1" s="1"/>
  <c r="S268" i="1"/>
  <c r="U268" i="1"/>
  <c r="AM268" i="1" s="1"/>
  <c r="S269" i="1"/>
  <c r="U269" i="1"/>
  <c r="AM269" i="1" s="1"/>
  <c r="S270" i="1"/>
  <c r="U270" i="1"/>
  <c r="AM270" i="1" s="1"/>
  <c r="S271" i="1"/>
  <c r="U271" i="1"/>
  <c r="AM271" i="1"/>
  <c r="S272" i="1"/>
  <c r="U272" i="1"/>
  <c r="AM272" i="1" s="1"/>
  <c r="S273" i="1"/>
  <c r="U273" i="1"/>
  <c r="AM273" i="1" s="1"/>
  <c r="S274" i="1"/>
  <c r="U274" i="1"/>
  <c r="AM274" i="1" s="1"/>
  <c r="S275" i="1"/>
  <c r="U275" i="1"/>
  <c r="AM275" i="1" s="1"/>
  <c r="S276" i="1"/>
  <c r="U276" i="1"/>
  <c r="AM276" i="1" s="1"/>
  <c r="S277" i="1"/>
  <c r="U277" i="1"/>
  <c r="AM277" i="1" s="1"/>
  <c r="S278" i="1"/>
  <c r="U278" i="1"/>
  <c r="AM278" i="1" s="1"/>
  <c r="S279" i="1"/>
  <c r="U279" i="1"/>
  <c r="AM279" i="1" s="1"/>
  <c r="S280" i="1"/>
  <c r="U280" i="1"/>
  <c r="AM280" i="1" s="1"/>
  <c r="S281" i="1"/>
  <c r="U281" i="1"/>
  <c r="AM281" i="1"/>
  <c r="S282" i="1"/>
  <c r="U282" i="1"/>
  <c r="AM282" i="1" s="1"/>
  <c r="S283" i="1"/>
  <c r="U283" i="1"/>
  <c r="AM283" i="1" s="1"/>
  <c r="AU283" i="1"/>
  <c r="S284" i="1"/>
  <c r="U284" i="1"/>
  <c r="AM284" i="1" s="1"/>
  <c r="S285" i="1"/>
  <c r="U285" i="1"/>
  <c r="AM285" i="1" s="1"/>
  <c r="S286" i="1"/>
  <c r="U286" i="1"/>
  <c r="AV286" i="1"/>
  <c r="AM286" i="1"/>
  <c r="AU286" i="1" s="1"/>
  <c r="S287" i="1"/>
  <c r="U287" i="1"/>
  <c r="AM287" i="1" s="1"/>
  <c r="AV287" i="1"/>
  <c r="S288" i="1"/>
  <c r="U288" i="1"/>
  <c r="AM288" i="1" s="1"/>
  <c r="S289" i="1"/>
  <c r="U289" i="1"/>
  <c r="AM289" i="1" s="1"/>
  <c r="S290" i="1"/>
  <c r="U290" i="1"/>
  <c r="AM290" i="1" s="1"/>
  <c r="S291" i="1"/>
  <c r="U291" i="1"/>
  <c r="AM291" i="1" s="1"/>
  <c r="AU291" i="1" s="1"/>
  <c r="S292" i="1"/>
  <c r="U292" i="1"/>
  <c r="AM292" i="1" s="1"/>
  <c r="AU292" i="1" s="1"/>
  <c r="S293" i="1"/>
  <c r="U293" i="1"/>
  <c r="AM293" i="1" s="1"/>
  <c r="S294" i="1"/>
  <c r="U294" i="1"/>
  <c r="AM294" i="1" s="1"/>
  <c r="S295" i="1"/>
  <c r="U295" i="1"/>
  <c r="AM295" i="1" s="1"/>
  <c r="S296" i="1"/>
  <c r="U296" i="1"/>
  <c r="AM296" i="1" s="1"/>
  <c r="S297" i="1"/>
  <c r="U297" i="1"/>
  <c r="AM297" i="1" s="1"/>
  <c r="AV297" i="1"/>
  <c r="S298" i="1"/>
  <c r="U298" i="1"/>
  <c r="AM298" i="1" s="1"/>
  <c r="S299" i="1"/>
  <c r="U299" i="1"/>
  <c r="AM299" i="1" s="1"/>
  <c r="S300" i="1"/>
  <c r="U300" i="1"/>
  <c r="AM300" i="1" s="1"/>
  <c r="S301" i="1"/>
  <c r="U301" i="1"/>
  <c r="AM301" i="1"/>
  <c r="S302" i="1"/>
  <c r="U302" i="1"/>
  <c r="AM302" i="1" s="1"/>
  <c r="S303" i="1"/>
  <c r="U303" i="1"/>
  <c r="AM303" i="1" s="1"/>
  <c r="S304" i="1"/>
  <c r="U304" i="1"/>
  <c r="AM304" i="1" s="1"/>
  <c r="S305" i="1"/>
  <c r="U305" i="1"/>
  <c r="AM305" i="1" s="1"/>
  <c r="AU305" i="1" s="1"/>
  <c r="S306" i="1"/>
  <c r="U306" i="1"/>
  <c r="AM306" i="1" s="1"/>
  <c r="AU306" i="1" s="1"/>
  <c r="S307" i="1"/>
  <c r="U307" i="1"/>
  <c r="AM307" i="1"/>
  <c r="AU307" i="1" s="1"/>
  <c r="S308" i="1"/>
  <c r="U308" i="1"/>
  <c r="AM308" i="1" s="1"/>
  <c r="AU308" i="1"/>
  <c r="S309" i="1"/>
  <c r="U309" i="1"/>
  <c r="AM309" i="1" s="1"/>
  <c r="S310" i="1"/>
  <c r="U310" i="1"/>
  <c r="AM310" i="1"/>
  <c r="AV310" i="1" s="1"/>
  <c r="S311" i="1"/>
  <c r="U311" i="1"/>
  <c r="AM311" i="1" s="1"/>
  <c r="AU311" i="1" s="1"/>
  <c r="S312" i="1"/>
  <c r="U312" i="1"/>
  <c r="AM312" i="1" s="1"/>
  <c r="S313" i="1"/>
  <c r="U313" i="1"/>
  <c r="AM313" i="1" s="1"/>
  <c r="S314" i="1"/>
  <c r="U314" i="1"/>
  <c r="AM314" i="1" s="1"/>
  <c r="S315" i="1"/>
  <c r="U315" i="1"/>
  <c r="AM315" i="1" s="1"/>
  <c r="S316" i="1"/>
  <c r="U316" i="1"/>
  <c r="AM316" i="1" s="1"/>
  <c r="S317" i="1"/>
  <c r="U317" i="1"/>
  <c r="AM317" i="1" s="1"/>
  <c r="AU317" i="1" s="1"/>
  <c r="S318" i="1"/>
  <c r="U318" i="1"/>
  <c r="AM318" i="1" s="1"/>
  <c r="S319" i="1"/>
  <c r="U319" i="1"/>
  <c r="AM319" i="1" s="1"/>
  <c r="AU319" i="1"/>
  <c r="S320" i="1"/>
  <c r="U320" i="1"/>
  <c r="AM320" i="1"/>
  <c r="AW320" i="1"/>
  <c r="S321" i="1"/>
  <c r="U321" i="1"/>
  <c r="AM321" i="1"/>
  <c r="AU321" i="1" s="1"/>
  <c r="S322" i="1"/>
  <c r="U322" i="1"/>
  <c r="AM322" i="1" s="1"/>
  <c r="S323" i="1"/>
  <c r="U323" i="1"/>
  <c r="AM323" i="1"/>
  <c r="S324" i="1"/>
  <c r="U324" i="1"/>
  <c r="AM324" i="1" s="1"/>
  <c r="S325" i="1"/>
  <c r="U325" i="1"/>
  <c r="AM325" i="1" s="1"/>
  <c r="AV325" i="1"/>
  <c r="S326" i="1"/>
  <c r="U326" i="1"/>
  <c r="AM326" i="1" s="1"/>
  <c r="S327" i="1"/>
  <c r="U327" i="1"/>
  <c r="AM327" i="1" s="1"/>
  <c r="S328" i="1"/>
  <c r="U328" i="1"/>
  <c r="AM328" i="1" s="1"/>
  <c r="S329" i="1"/>
  <c r="U329" i="1"/>
  <c r="AM329" i="1" s="1"/>
  <c r="S330" i="1"/>
  <c r="U330" i="1"/>
  <c r="AM330" i="1" s="1"/>
  <c r="S331" i="1"/>
  <c r="U331" i="1"/>
  <c r="AM331" i="1" s="1"/>
  <c r="S332" i="1"/>
  <c r="U332" i="1"/>
  <c r="AM332" i="1" s="1"/>
  <c r="AU332" i="1" s="1"/>
  <c r="AV332" i="1"/>
  <c r="S333" i="1"/>
  <c r="U333" i="1"/>
  <c r="AM333" i="1" s="1"/>
  <c r="S334" i="1"/>
  <c r="U334" i="1"/>
  <c r="AM334" i="1" s="1"/>
  <c r="S335" i="1"/>
  <c r="U335" i="1"/>
  <c r="AM335" i="1" s="1"/>
  <c r="AV335" i="1"/>
  <c r="S336" i="1"/>
  <c r="U336" i="1"/>
  <c r="AM336" i="1"/>
  <c r="AU336" i="1"/>
  <c r="S337" i="1"/>
  <c r="U337" i="1"/>
  <c r="AM337" i="1" s="1"/>
  <c r="AU337" i="1" s="1"/>
  <c r="S338" i="1"/>
  <c r="U338" i="1"/>
  <c r="AM338" i="1" s="1"/>
  <c r="S339" i="1"/>
  <c r="U339" i="1"/>
  <c r="AM339" i="1" s="1"/>
  <c r="S340" i="1"/>
  <c r="U340" i="1"/>
  <c r="AM340" i="1" s="1"/>
  <c r="AV340" i="1"/>
  <c r="S341" i="1"/>
  <c r="U341" i="1"/>
  <c r="AM341" i="1" s="1"/>
  <c r="S342" i="1"/>
  <c r="U342" i="1"/>
  <c r="AM342" i="1" s="1"/>
  <c r="S343" i="1"/>
  <c r="U343" i="1"/>
  <c r="AM343" i="1" s="1"/>
  <c r="S344" i="1"/>
  <c r="U344" i="1"/>
  <c r="AM344" i="1" s="1"/>
  <c r="S345" i="1"/>
  <c r="U345" i="1"/>
  <c r="AM345" i="1" s="1"/>
  <c r="S346" i="1"/>
  <c r="U346" i="1"/>
  <c r="AM346" i="1"/>
  <c r="AU346" i="1" s="1"/>
  <c r="S347" i="1"/>
  <c r="U347" i="1"/>
  <c r="AM347" i="1"/>
  <c r="AU347" i="1" s="1"/>
  <c r="S348" i="1"/>
  <c r="U348" i="1"/>
  <c r="AM348" i="1" s="1"/>
  <c r="S349" i="1"/>
  <c r="U349" i="1"/>
  <c r="AM349" i="1" s="1"/>
  <c r="S350" i="1"/>
  <c r="U350" i="1"/>
  <c r="AM350" i="1" s="1"/>
  <c r="S351" i="1"/>
  <c r="U351" i="1"/>
  <c r="AM351" i="1" s="1"/>
  <c r="S352" i="1"/>
  <c r="U352" i="1"/>
  <c r="AM352" i="1" s="1"/>
  <c r="AU352" i="1" s="1"/>
  <c r="S353" i="1"/>
  <c r="U353" i="1"/>
  <c r="AM353" i="1" s="1"/>
  <c r="S354" i="1"/>
  <c r="U354" i="1"/>
  <c r="AM354" i="1" s="1"/>
  <c r="S355" i="1"/>
  <c r="U355" i="1"/>
  <c r="AM355" i="1" s="1"/>
  <c r="AV355" i="1" s="1"/>
  <c r="S356" i="1"/>
  <c r="U356" i="1"/>
  <c r="AV356" i="1"/>
  <c r="AM356" i="1"/>
  <c r="S357" i="1"/>
  <c r="U357" i="1"/>
  <c r="AM357" i="1"/>
  <c r="AU357" i="1" s="1"/>
  <c r="S358" i="1"/>
  <c r="U358" i="1"/>
  <c r="AM358" i="1"/>
  <c r="AW358" i="1" s="1"/>
  <c r="S359" i="1"/>
  <c r="U359" i="1"/>
  <c r="AM359" i="1" s="1"/>
  <c r="S360" i="1"/>
  <c r="U360" i="1"/>
  <c r="AM360" i="1" s="1"/>
  <c r="AV360" i="1"/>
  <c r="S361" i="1"/>
  <c r="U361" i="1"/>
  <c r="AM361" i="1" s="1"/>
  <c r="S362" i="1"/>
  <c r="U362" i="1"/>
  <c r="AV362" i="1"/>
  <c r="AM362" i="1"/>
  <c r="S363" i="1"/>
  <c r="U363" i="1"/>
  <c r="AM363" i="1" s="1"/>
  <c r="AV363" i="1"/>
  <c r="S364" i="1"/>
  <c r="U364" i="1"/>
  <c r="AM364" i="1" s="1"/>
  <c r="S365" i="1"/>
  <c r="U365" i="1"/>
  <c r="AM365" i="1" s="1"/>
  <c r="AV365" i="1" s="1"/>
  <c r="S366" i="1"/>
  <c r="U366" i="1"/>
  <c r="AU366" i="1"/>
  <c r="AM366" i="1"/>
  <c r="AV366" i="1" s="1"/>
  <c r="S367" i="1"/>
  <c r="U367" i="1"/>
  <c r="AM367" i="1" s="1"/>
  <c r="S368" i="1"/>
  <c r="U368" i="1"/>
  <c r="AM368" i="1" s="1"/>
  <c r="S369" i="1"/>
  <c r="U369" i="1"/>
  <c r="AM369" i="1" s="1"/>
  <c r="S370" i="1"/>
  <c r="U370" i="1"/>
  <c r="AM370" i="1" s="1"/>
  <c r="AU370" i="1"/>
  <c r="S371" i="1"/>
  <c r="U371" i="1"/>
  <c r="AM371" i="1"/>
  <c r="AV371" i="1" s="1"/>
  <c r="S372" i="1"/>
  <c r="U372" i="1"/>
  <c r="AM372" i="1" s="1"/>
  <c r="AU372" i="1" s="1"/>
  <c r="S373" i="1"/>
  <c r="U373" i="1"/>
  <c r="AM373" i="1" s="1"/>
  <c r="S374" i="1"/>
  <c r="U374" i="1"/>
  <c r="AM374" i="1" s="1"/>
  <c r="S375" i="1"/>
  <c r="U375" i="1"/>
  <c r="AM375" i="1" s="1"/>
  <c r="S376" i="1"/>
  <c r="U376" i="1"/>
  <c r="AM376" i="1" s="1"/>
  <c r="S377" i="1"/>
  <c r="U377" i="1"/>
  <c r="AM377" i="1" s="1"/>
  <c r="AU377" i="1" s="1"/>
  <c r="S378" i="1"/>
  <c r="U378" i="1"/>
  <c r="AM378" i="1" s="1"/>
  <c r="S379" i="1"/>
  <c r="U379" i="1"/>
  <c r="AM379" i="1" s="1"/>
  <c r="S380" i="1"/>
  <c r="U380" i="1"/>
  <c r="AM380" i="1" s="1"/>
  <c r="AU380" i="1"/>
  <c r="AW380" i="1"/>
  <c r="S381" i="1"/>
  <c r="U381" i="1"/>
  <c r="AM381" i="1"/>
  <c r="S382" i="1"/>
  <c r="U382" i="1"/>
  <c r="AM382" i="1" s="1"/>
  <c r="S383" i="1"/>
  <c r="U383" i="1"/>
  <c r="AM383" i="1" s="1"/>
  <c r="S384" i="1"/>
  <c r="U384" i="1"/>
  <c r="AM384" i="1" s="1"/>
  <c r="S385" i="1"/>
  <c r="U385" i="1"/>
  <c r="AM385" i="1" s="1"/>
  <c r="AU385" i="1"/>
  <c r="S386" i="1"/>
  <c r="U386" i="1"/>
  <c r="AM386" i="1"/>
  <c r="S387" i="1"/>
  <c r="U387" i="1"/>
  <c r="AM387" i="1" s="1"/>
  <c r="AV387" i="1"/>
  <c r="S388" i="1"/>
  <c r="U388" i="1"/>
  <c r="AM388" i="1" s="1"/>
  <c r="S389" i="1"/>
  <c r="U389" i="1"/>
  <c r="AM389" i="1" s="1"/>
  <c r="S390" i="1"/>
  <c r="U390" i="1"/>
  <c r="AM390" i="1" s="1"/>
  <c r="S391" i="1"/>
  <c r="U391" i="1"/>
  <c r="AM391" i="1" s="1"/>
  <c r="S392" i="1"/>
  <c r="U392" i="1"/>
  <c r="AM392" i="1"/>
  <c r="S393" i="1"/>
  <c r="U393" i="1"/>
  <c r="AM393" i="1" s="1"/>
  <c r="AV393" i="1"/>
  <c r="S394" i="1"/>
  <c r="U394" i="1"/>
  <c r="AM394" i="1" s="1"/>
  <c r="S395" i="1"/>
  <c r="U395" i="1"/>
  <c r="AM395" i="1" s="1"/>
  <c r="S396" i="1"/>
  <c r="U396" i="1"/>
  <c r="AM396" i="1" s="1"/>
  <c r="S397" i="1"/>
  <c r="U397" i="1"/>
  <c r="AM397" i="1" s="1"/>
  <c r="AV397" i="1"/>
  <c r="S398" i="1"/>
  <c r="U398" i="1"/>
  <c r="AM398" i="1" s="1"/>
  <c r="AU398" i="1"/>
  <c r="S399" i="1"/>
  <c r="U399" i="1"/>
  <c r="AM399" i="1" s="1"/>
  <c r="S400" i="1"/>
  <c r="U400" i="1"/>
  <c r="AM400" i="1" s="1"/>
  <c r="S401" i="1"/>
  <c r="U401" i="1"/>
  <c r="AM401" i="1" s="1"/>
  <c r="S402" i="1"/>
  <c r="U402" i="1"/>
  <c r="AM402" i="1" s="1"/>
  <c r="AV402" i="1" s="1"/>
  <c r="S403" i="1"/>
  <c r="U403" i="1"/>
  <c r="AM403" i="1" s="1"/>
  <c r="S404" i="1"/>
  <c r="U404" i="1"/>
  <c r="AM404" i="1" s="1"/>
  <c r="S405" i="1"/>
  <c r="U405" i="1"/>
  <c r="AM405" i="1" s="1"/>
  <c r="S406" i="1"/>
  <c r="U406" i="1"/>
  <c r="AM406" i="1" s="1"/>
  <c r="S407" i="1"/>
  <c r="U407" i="1"/>
  <c r="AM407" i="1" s="1"/>
  <c r="AV407" i="1" s="1"/>
  <c r="S408" i="1"/>
  <c r="U408" i="1"/>
  <c r="AM408" i="1" s="1"/>
  <c r="S409" i="1"/>
  <c r="U409" i="1"/>
  <c r="AM409" i="1" s="1"/>
  <c r="S410" i="1"/>
  <c r="U410" i="1"/>
  <c r="AM410" i="1" s="1"/>
  <c r="AU410" i="1"/>
  <c r="S411" i="1"/>
  <c r="U411" i="1"/>
  <c r="AM411" i="1" s="1"/>
  <c r="AU411" i="1"/>
  <c r="S412" i="1"/>
  <c r="U412" i="1"/>
  <c r="AM412" i="1" s="1"/>
  <c r="S413" i="1"/>
  <c r="U413" i="1"/>
  <c r="AM413" i="1" s="1"/>
  <c r="AV413" i="1"/>
  <c r="S414" i="1"/>
  <c r="U414" i="1"/>
  <c r="AM414" i="1" s="1"/>
  <c r="S415" i="1"/>
  <c r="U415" i="1"/>
  <c r="AM415" i="1" s="1"/>
  <c r="S416" i="1"/>
  <c r="U416" i="1"/>
  <c r="AM416" i="1"/>
  <c r="AW416" i="1"/>
  <c r="S417" i="1"/>
  <c r="U417" i="1"/>
  <c r="AM417" i="1" s="1"/>
  <c r="S418" i="1"/>
  <c r="U418" i="1"/>
  <c r="AM418" i="1" s="1"/>
  <c r="S419" i="1"/>
  <c r="U419" i="1"/>
  <c r="AM419" i="1" s="1"/>
  <c r="S420" i="1"/>
  <c r="U420" i="1"/>
  <c r="AM420" i="1" s="1"/>
  <c r="S421" i="1"/>
  <c r="U421" i="1"/>
  <c r="AM421" i="1"/>
  <c r="AV421" i="1" s="1"/>
  <c r="S422" i="1"/>
  <c r="U422" i="1"/>
  <c r="AM422" i="1" s="1"/>
  <c r="AV422" i="1" s="1"/>
  <c r="S423" i="1"/>
  <c r="U423" i="1"/>
  <c r="AM423" i="1" s="1"/>
  <c r="S424" i="1"/>
  <c r="U424" i="1"/>
  <c r="AM424" i="1" s="1"/>
  <c r="S425" i="1"/>
  <c r="U425" i="1"/>
  <c r="AM425" i="1" s="1"/>
  <c r="S426" i="1"/>
  <c r="U426" i="1"/>
  <c r="AM426" i="1" s="1"/>
  <c r="S427" i="1"/>
  <c r="U427" i="1"/>
  <c r="AM427" i="1" s="1"/>
  <c r="S428" i="1"/>
  <c r="U428" i="1"/>
  <c r="AM428" i="1" s="1"/>
  <c r="S429" i="1"/>
  <c r="U429" i="1"/>
  <c r="AM429" i="1" s="1"/>
  <c r="S430" i="1"/>
  <c r="U430" i="1"/>
  <c r="AM430" i="1" s="1"/>
  <c r="S431" i="1"/>
  <c r="U431" i="1"/>
  <c r="AM431" i="1" s="1"/>
  <c r="S432" i="1"/>
  <c r="U432" i="1"/>
  <c r="AM432" i="1" s="1"/>
  <c r="AW432" i="1" s="1"/>
  <c r="S433" i="1"/>
  <c r="U433" i="1"/>
  <c r="AM433" i="1" s="1"/>
  <c r="S434" i="1"/>
  <c r="U434" i="1"/>
  <c r="AM434" i="1"/>
  <c r="S435" i="1"/>
  <c r="U435" i="1"/>
  <c r="AM435" i="1" s="1"/>
  <c r="S436" i="1"/>
  <c r="U436" i="1"/>
  <c r="AM436" i="1"/>
  <c r="AU436" i="1" s="1"/>
  <c r="S437" i="1"/>
  <c r="U437" i="1"/>
  <c r="AM437" i="1" s="1"/>
  <c r="S438" i="1"/>
  <c r="U438" i="1"/>
  <c r="AM438" i="1" s="1"/>
  <c r="S439" i="1"/>
  <c r="U439" i="1"/>
  <c r="AM439" i="1" s="1"/>
  <c r="S440" i="1"/>
  <c r="U440" i="1"/>
  <c r="AM440" i="1" s="1"/>
  <c r="S441" i="1"/>
  <c r="U441" i="1"/>
  <c r="AM441" i="1" s="1"/>
  <c r="AU441" i="1"/>
  <c r="S442" i="1"/>
  <c r="U442" i="1"/>
  <c r="AM442" i="1"/>
  <c r="AU442" i="1" s="1"/>
  <c r="S443" i="1"/>
  <c r="U443" i="1"/>
  <c r="AM443" i="1" s="1"/>
  <c r="S444" i="1"/>
  <c r="U444" i="1"/>
  <c r="AM444" i="1" s="1"/>
  <c r="S445" i="1"/>
  <c r="U445" i="1"/>
  <c r="AM445" i="1" s="1"/>
  <c r="S446" i="1"/>
  <c r="U446" i="1"/>
  <c r="AM446" i="1" s="1"/>
  <c r="S447" i="1"/>
  <c r="U447" i="1"/>
  <c r="AM447" i="1"/>
  <c r="S448" i="1"/>
  <c r="U448" i="1"/>
  <c r="AM448" i="1" s="1"/>
  <c r="AV448" i="1"/>
  <c r="S449" i="1"/>
  <c r="U449" i="1"/>
  <c r="AM449" i="1" s="1"/>
  <c r="S450" i="1"/>
  <c r="U450" i="1"/>
  <c r="AM450" i="1"/>
  <c r="AU450" i="1"/>
  <c r="S451" i="1"/>
  <c r="U451" i="1"/>
  <c r="AM451" i="1" s="1"/>
  <c r="AV451" i="1" s="1"/>
  <c r="S452" i="1"/>
  <c r="U452" i="1"/>
  <c r="AM452" i="1" s="1"/>
  <c r="S453" i="1"/>
  <c r="U453" i="1"/>
  <c r="AM453" i="1" s="1"/>
  <c r="S454" i="1"/>
  <c r="U454" i="1"/>
  <c r="AM454" i="1" s="1"/>
  <c r="S455" i="1"/>
  <c r="U455" i="1"/>
  <c r="AM455" i="1" s="1"/>
  <c r="S456" i="1"/>
  <c r="U456" i="1"/>
  <c r="AM456" i="1" s="1"/>
  <c r="S457" i="1"/>
  <c r="U457" i="1"/>
  <c r="AM457" i="1" s="1"/>
  <c r="S458" i="1"/>
  <c r="U458" i="1"/>
  <c r="AM458" i="1"/>
  <c r="S459" i="1"/>
  <c r="U459" i="1"/>
  <c r="AM459" i="1" s="1"/>
  <c r="S460" i="1"/>
  <c r="U460" i="1"/>
  <c r="AM460" i="1" s="1"/>
  <c r="S461" i="1"/>
  <c r="U461" i="1"/>
  <c r="AM461" i="1" s="1"/>
  <c r="S462" i="1"/>
  <c r="U462" i="1"/>
  <c r="AM462" i="1" s="1"/>
  <c r="S463" i="1"/>
  <c r="U463" i="1"/>
  <c r="AM463" i="1" s="1"/>
  <c r="S464" i="1"/>
  <c r="U464" i="1"/>
  <c r="AM464" i="1" s="1"/>
  <c r="AU464" i="1"/>
  <c r="S465" i="1"/>
  <c r="U465" i="1"/>
  <c r="AM465" i="1" s="1"/>
  <c r="S466" i="1"/>
  <c r="U466" i="1"/>
  <c r="AM466" i="1" s="1"/>
  <c r="S467" i="1"/>
  <c r="U467" i="1"/>
  <c r="AM467" i="1" s="1"/>
  <c r="S468" i="1"/>
  <c r="U468" i="1"/>
  <c r="AM468" i="1" s="1"/>
  <c r="S469" i="1"/>
  <c r="U469" i="1"/>
  <c r="AM469" i="1"/>
  <c r="S470" i="1"/>
  <c r="U470" i="1"/>
  <c r="AM470" i="1" s="1"/>
  <c r="S471" i="1"/>
  <c r="U471" i="1"/>
  <c r="AM471" i="1" s="1"/>
  <c r="AW471" i="1" s="1"/>
  <c r="S472" i="1"/>
  <c r="U472" i="1"/>
  <c r="AM472" i="1" s="1"/>
  <c r="S473" i="1"/>
  <c r="U473" i="1"/>
  <c r="AM473" i="1" s="1"/>
  <c r="S474" i="1"/>
  <c r="U474" i="1"/>
  <c r="AM474" i="1" s="1"/>
  <c r="AU474" i="1" s="1"/>
  <c r="S475" i="1"/>
  <c r="U475" i="1"/>
  <c r="AM475" i="1" s="1"/>
  <c r="S476" i="1"/>
  <c r="U476" i="1"/>
  <c r="AM476" i="1" s="1"/>
  <c r="AW476" i="1" s="1"/>
  <c r="S477" i="1"/>
  <c r="U477" i="1"/>
  <c r="AM477" i="1" s="1"/>
  <c r="S478" i="1"/>
  <c r="U478" i="1"/>
  <c r="AM478" i="1"/>
  <c r="S479" i="1"/>
  <c r="U479" i="1"/>
  <c r="AM479" i="1"/>
  <c r="AU479" i="1" s="1"/>
  <c r="S480" i="1"/>
  <c r="U480" i="1"/>
  <c r="AM480" i="1" s="1"/>
  <c r="S481" i="1"/>
  <c r="U481" i="1"/>
  <c r="AM481" i="1" s="1"/>
  <c r="AU481" i="1"/>
  <c r="S482" i="1"/>
  <c r="U482" i="1"/>
  <c r="AM482" i="1" s="1"/>
  <c r="S483" i="1"/>
  <c r="U483" i="1"/>
  <c r="AM483" i="1" s="1"/>
  <c r="S484" i="1"/>
  <c r="U484" i="1"/>
  <c r="AM484" i="1" s="1"/>
  <c r="S485" i="1"/>
  <c r="U485" i="1"/>
  <c r="AM485" i="1" s="1"/>
  <c r="S486" i="1"/>
  <c r="U486" i="1"/>
  <c r="AM486" i="1" s="1"/>
  <c r="S487" i="1"/>
  <c r="U487" i="1"/>
  <c r="AM487" i="1" s="1"/>
  <c r="AU487" i="1" s="1"/>
  <c r="S488" i="1"/>
  <c r="U488" i="1"/>
  <c r="AM488" i="1"/>
  <c r="S489" i="1"/>
  <c r="U489" i="1"/>
  <c r="AM489" i="1"/>
  <c r="AU489" i="1"/>
  <c r="S490" i="1"/>
  <c r="U490" i="1"/>
  <c r="AM490" i="1" s="1"/>
  <c r="S491" i="1"/>
  <c r="U491" i="1"/>
  <c r="AM491" i="1" s="1"/>
  <c r="S492" i="1"/>
  <c r="U492" i="1"/>
  <c r="AM492" i="1" s="1"/>
  <c r="S493" i="1"/>
  <c r="U493" i="1"/>
  <c r="AM493" i="1"/>
  <c r="S494" i="1"/>
  <c r="U494" i="1"/>
  <c r="AM494" i="1" s="1"/>
  <c r="AU494" i="1" s="1"/>
  <c r="S495" i="1"/>
  <c r="U495" i="1"/>
  <c r="AM495" i="1" s="1"/>
  <c r="S496" i="1"/>
  <c r="U496" i="1"/>
  <c r="AM496" i="1" s="1"/>
  <c r="S497" i="1"/>
  <c r="U497" i="1"/>
  <c r="AM497" i="1" s="1"/>
  <c r="S498" i="1"/>
  <c r="U498" i="1"/>
  <c r="AM498" i="1" s="1"/>
  <c r="S499" i="1"/>
  <c r="U499" i="1"/>
  <c r="AM499" i="1"/>
  <c r="AU499" i="1" s="1"/>
  <c r="S500" i="1"/>
  <c r="U500" i="1"/>
  <c r="AM500" i="1" s="1"/>
  <c r="S501" i="1"/>
  <c r="U501" i="1"/>
  <c r="AM501" i="1" s="1"/>
  <c r="AU501" i="1"/>
  <c r="S502" i="1"/>
  <c r="U502" i="1"/>
  <c r="AM502" i="1" s="1"/>
  <c r="AU502" i="1" s="1"/>
  <c r="S503" i="1"/>
  <c r="U503" i="1"/>
  <c r="AM503" i="1" s="1"/>
  <c r="S504" i="1"/>
  <c r="U504" i="1"/>
  <c r="AM504" i="1"/>
  <c r="AU504" i="1" s="1"/>
  <c r="S505" i="1"/>
  <c r="U505" i="1"/>
  <c r="AM505" i="1" s="1"/>
  <c r="S506" i="1"/>
  <c r="U506" i="1"/>
  <c r="AM506" i="1" s="1"/>
  <c r="S507" i="1"/>
  <c r="U507" i="1"/>
  <c r="AM507" i="1" s="1"/>
  <c r="S508" i="1"/>
  <c r="U508" i="1"/>
  <c r="AM508" i="1"/>
  <c r="S509" i="1"/>
  <c r="U509" i="1"/>
  <c r="AM509" i="1" s="1"/>
  <c r="S510" i="1"/>
  <c r="U510" i="1"/>
  <c r="AM510" i="1" s="1"/>
  <c r="S511" i="1"/>
  <c r="U511" i="1"/>
  <c r="AM511" i="1" s="1"/>
  <c r="S512" i="1"/>
  <c r="U512" i="1"/>
  <c r="AM512" i="1" s="1"/>
  <c r="S513" i="1"/>
  <c r="U513" i="1"/>
  <c r="AM513" i="1" s="1"/>
  <c r="S514" i="1"/>
  <c r="U514" i="1"/>
  <c r="AM514" i="1" s="1"/>
  <c r="AU514" i="1"/>
  <c r="S515" i="1"/>
  <c r="U515" i="1"/>
  <c r="AM515" i="1" s="1"/>
  <c r="S516" i="1"/>
  <c r="U516" i="1"/>
  <c r="AM516" i="1" s="1"/>
  <c r="S517" i="1"/>
  <c r="U517" i="1"/>
  <c r="AM517" i="1" s="1"/>
  <c r="S518" i="1"/>
  <c r="U518" i="1"/>
  <c r="AM518" i="1"/>
  <c r="S519" i="1"/>
  <c r="U519" i="1"/>
  <c r="AM519" i="1" s="1"/>
  <c r="S520" i="1"/>
  <c r="U520" i="1"/>
  <c r="AM520" i="1" s="1"/>
  <c r="AV520" i="1"/>
  <c r="S521" i="1"/>
  <c r="U521" i="1"/>
  <c r="AM521" i="1" s="1"/>
  <c r="AU521" i="1"/>
  <c r="S522" i="1"/>
  <c r="U522" i="1"/>
  <c r="AM522" i="1" s="1"/>
  <c r="AW522" i="1"/>
  <c r="S523" i="1"/>
  <c r="U523" i="1"/>
  <c r="AM523" i="1" s="1"/>
  <c r="S524" i="1"/>
  <c r="U524" i="1"/>
  <c r="AM524" i="1"/>
  <c r="AU524" i="1" s="1"/>
  <c r="S525" i="1"/>
  <c r="U525" i="1"/>
  <c r="AM525" i="1" s="1"/>
  <c r="S526" i="1"/>
  <c r="U526" i="1"/>
  <c r="AM526" i="1" s="1"/>
  <c r="S527" i="1"/>
  <c r="U527" i="1"/>
  <c r="AM527" i="1" s="1"/>
  <c r="AW527" i="1"/>
  <c r="S528" i="1"/>
  <c r="U528" i="1"/>
  <c r="AM528" i="1" s="1"/>
  <c r="S529" i="1"/>
  <c r="U529" i="1"/>
  <c r="AM529" i="1"/>
  <c r="AU529" i="1" s="1"/>
  <c r="S530" i="1"/>
  <c r="U530" i="1"/>
  <c r="AM530" i="1" s="1"/>
  <c r="S531" i="1"/>
  <c r="U531" i="1"/>
  <c r="AM531" i="1" s="1"/>
  <c r="S532" i="1"/>
  <c r="U532" i="1"/>
  <c r="AM532" i="1" s="1"/>
  <c r="AW532" i="1"/>
  <c r="S533" i="1"/>
  <c r="U533" i="1"/>
  <c r="AM533" i="1" s="1"/>
  <c r="S534" i="1"/>
  <c r="U534" i="1"/>
  <c r="AM534" i="1"/>
  <c r="AU534" i="1" s="1"/>
  <c r="S535" i="1"/>
  <c r="U535" i="1"/>
  <c r="AM535" i="1" s="1"/>
  <c r="S536" i="1"/>
  <c r="U536" i="1"/>
  <c r="AM536" i="1" s="1"/>
  <c r="S537" i="1"/>
  <c r="U537" i="1"/>
  <c r="AM537" i="1" s="1"/>
  <c r="AW537" i="1"/>
  <c r="S538" i="1"/>
  <c r="U538" i="1"/>
  <c r="AM538" i="1" s="1"/>
  <c r="AU538" i="1" s="1"/>
  <c r="S539" i="1"/>
  <c r="U539" i="1"/>
  <c r="AM539" i="1"/>
  <c r="S540" i="1"/>
  <c r="U540" i="1"/>
  <c r="AM540" i="1" s="1"/>
  <c r="S541" i="1"/>
  <c r="U541" i="1"/>
  <c r="AM541" i="1" s="1"/>
  <c r="S542" i="1"/>
  <c r="U542" i="1"/>
  <c r="AM542" i="1" s="1"/>
  <c r="S543" i="1"/>
  <c r="U543" i="1"/>
  <c r="AM543" i="1" s="1"/>
  <c r="S544" i="1"/>
  <c r="U544" i="1"/>
  <c r="AM544" i="1" s="1"/>
  <c r="AU544" i="1" s="1"/>
  <c r="S545" i="1"/>
  <c r="U545" i="1"/>
  <c r="AM545" i="1" s="1"/>
  <c r="AV545" i="1"/>
  <c r="S546" i="1"/>
  <c r="U546" i="1"/>
  <c r="AM546" i="1" s="1"/>
  <c r="S547" i="1"/>
  <c r="U547" i="1"/>
  <c r="AM547" i="1" s="1"/>
  <c r="S548" i="1"/>
  <c r="U548" i="1"/>
  <c r="AM548" i="1" s="1"/>
  <c r="S549" i="1"/>
  <c r="U549" i="1"/>
  <c r="AM549" i="1"/>
  <c r="AU549" i="1" s="1"/>
  <c r="S550" i="1"/>
  <c r="U550" i="1"/>
  <c r="AM550" i="1" s="1"/>
  <c r="S551" i="1"/>
  <c r="U551" i="1"/>
  <c r="AM551" i="1" s="1"/>
  <c r="S552" i="1"/>
  <c r="U552" i="1"/>
  <c r="AM552" i="1" s="1"/>
  <c r="S553" i="1"/>
  <c r="U553" i="1"/>
  <c r="AM553" i="1"/>
  <c r="S554" i="1"/>
  <c r="U554" i="1"/>
  <c r="AM554" i="1" s="1"/>
  <c r="S555" i="1"/>
  <c r="U555" i="1"/>
  <c r="AM555" i="1" s="1"/>
  <c r="AW555" i="1"/>
  <c r="S556" i="1"/>
  <c r="U556" i="1"/>
  <c r="AM556" i="1" s="1"/>
  <c r="S557" i="1"/>
  <c r="U557" i="1"/>
  <c r="AM557" i="1" s="1"/>
  <c r="S558" i="1"/>
  <c r="U558" i="1"/>
  <c r="AM558" i="1"/>
  <c r="AU558" i="1" s="1"/>
  <c r="S559" i="1"/>
  <c r="U559" i="1"/>
  <c r="AM559" i="1" s="1"/>
  <c r="AU559" i="1"/>
  <c r="S560" i="1"/>
  <c r="U560" i="1"/>
  <c r="AM560" i="1" s="1"/>
  <c r="AU560" i="1" s="1"/>
  <c r="S561" i="1"/>
  <c r="U561" i="1"/>
  <c r="AM561" i="1" s="1"/>
  <c r="S562" i="1"/>
  <c r="U562" i="1"/>
  <c r="AM562" i="1" s="1"/>
  <c r="S563" i="1"/>
  <c r="U563" i="1"/>
  <c r="AM563" i="1" s="1"/>
  <c r="S564" i="1"/>
  <c r="U564" i="1"/>
  <c r="AM564" i="1"/>
  <c r="AU564" i="1"/>
  <c r="S565" i="1"/>
  <c r="U565" i="1"/>
  <c r="AM565" i="1" s="1"/>
  <c r="AW565" i="1"/>
  <c r="S566" i="1"/>
  <c r="U566" i="1"/>
  <c r="AM566" i="1" s="1"/>
  <c r="AW566" i="1" s="1"/>
  <c r="S567" i="1"/>
  <c r="U567" i="1"/>
  <c r="AM567" i="1" s="1"/>
  <c r="AV567" i="1"/>
  <c r="S568" i="1"/>
  <c r="U568" i="1"/>
  <c r="AM568" i="1" s="1"/>
  <c r="S569" i="1"/>
  <c r="U569" i="1"/>
  <c r="AM569" i="1"/>
  <c r="AU569" i="1"/>
  <c r="S570" i="1"/>
  <c r="U570" i="1"/>
  <c r="AM570" i="1" s="1"/>
  <c r="S571" i="1"/>
  <c r="U571" i="1"/>
  <c r="AM571" i="1" s="1"/>
  <c r="AU571" i="1"/>
  <c r="S572" i="1"/>
  <c r="U572" i="1"/>
  <c r="AM572" i="1" s="1"/>
  <c r="S573" i="1"/>
  <c r="U573" i="1"/>
  <c r="AM573" i="1" s="1"/>
  <c r="S574" i="1"/>
  <c r="U574" i="1"/>
  <c r="AM574" i="1"/>
  <c r="S575" i="1"/>
  <c r="U575" i="1"/>
  <c r="AM575" i="1" s="1"/>
  <c r="AW575" i="1"/>
  <c r="S576" i="1"/>
  <c r="U576" i="1"/>
  <c r="AM576" i="1" s="1"/>
  <c r="S577" i="1"/>
  <c r="U577" i="1"/>
  <c r="AM577" i="1" s="1"/>
  <c r="S578" i="1"/>
  <c r="U578" i="1"/>
  <c r="AM578" i="1"/>
  <c r="S579" i="1"/>
  <c r="U579" i="1"/>
  <c r="AM579" i="1" s="1"/>
  <c r="S580" i="1"/>
  <c r="U580" i="1"/>
  <c r="AM580" i="1" s="1"/>
  <c r="S581" i="1"/>
  <c r="U581" i="1"/>
  <c r="AM581" i="1" s="1"/>
  <c r="S582" i="1"/>
  <c r="U582" i="1"/>
  <c r="AM582" i="1"/>
  <c r="AU582" i="1" s="1"/>
  <c r="S583" i="1"/>
  <c r="U583" i="1"/>
  <c r="AM583" i="1" s="1"/>
  <c r="S584" i="1"/>
  <c r="U584" i="1"/>
  <c r="AM584" i="1" s="1"/>
  <c r="S585" i="1"/>
  <c r="U585" i="1"/>
  <c r="AM585" i="1" s="1"/>
  <c r="AV585" i="1"/>
  <c r="AU585" i="1"/>
  <c r="S586" i="1"/>
  <c r="U586" i="1"/>
  <c r="AM586" i="1" s="1"/>
  <c r="S587" i="1"/>
  <c r="U587" i="1"/>
  <c r="AM587" i="1" s="1"/>
  <c r="S588" i="1"/>
  <c r="U588" i="1"/>
  <c r="AM588" i="1" s="1"/>
  <c r="S589" i="1"/>
  <c r="U589" i="1"/>
  <c r="AM589" i="1"/>
  <c r="AV589" i="1" s="1"/>
  <c r="S590" i="1"/>
  <c r="U590" i="1"/>
  <c r="AM590" i="1" s="1"/>
  <c r="AW590" i="1"/>
  <c r="S591" i="1"/>
  <c r="U591" i="1"/>
  <c r="AM591" i="1" s="1"/>
  <c r="S592" i="1"/>
  <c r="U592" i="1"/>
  <c r="AM592" i="1" s="1"/>
  <c r="S593" i="1"/>
  <c r="U593" i="1"/>
  <c r="AM593" i="1"/>
  <c r="S594" i="1"/>
  <c r="U594" i="1"/>
  <c r="AM594" i="1"/>
  <c r="AV594" i="1"/>
  <c r="S595" i="1"/>
  <c r="U595" i="1"/>
  <c r="AM595" i="1" s="1"/>
  <c r="S596" i="1"/>
  <c r="U596" i="1"/>
  <c r="AM596" i="1" s="1"/>
  <c r="S597" i="1"/>
  <c r="U597" i="1"/>
  <c r="AM597" i="1" s="1"/>
  <c r="AU597" i="1"/>
  <c r="AV597" i="1"/>
  <c r="S598" i="1"/>
  <c r="U598" i="1"/>
  <c r="AM598" i="1" s="1"/>
  <c r="S599" i="1"/>
  <c r="U599" i="1"/>
  <c r="AM599" i="1"/>
  <c r="AV599" i="1"/>
  <c r="S600" i="1"/>
  <c r="U600" i="1"/>
  <c r="AM600" i="1" s="1"/>
  <c r="AU600" i="1"/>
  <c r="S601" i="1"/>
  <c r="U601" i="1"/>
  <c r="AM601" i="1" s="1"/>
  <c r="S602" i="1"/>
  <c r="U602" i="1"/>
  <c r="AM602" i="1" s="1"/>
  <c r="AU602" i="1"/>
  <c r="S603" i="1"/>
  <c r="U603" i="1"/>
  <c r="AM603" i="1" s="1"/>
  <c r="S604" i="1"/>
  <c r="U604" i="1"/>
  <c r="AM604" i="1"/>
  <c r="AV604" i="1" s="1"/>
  <c r="S605" i="1"/>
  <c r="U605" i="1"/>
  <c r="AM605" i="1" s="1"/>
  <c r="S606" i="1"/>
  <c r="U606" i="1"/>
  <c r="AM606" i="1" s="1"/>
  <c r="S607" i="1"/>
  <c r="U607" i="1"/>
  <c r="AM607" i="1" s="1"/>
  <c r="S608" i="1"/>
  <c r="U608" i="1"/>
  <c r="AM608" i="1"/>
  <c r="AU608" i="1" s="1"/>
  <c r="S609" i="1"/>
  <c r="U609" i="1"/>
  <c r="AM609" i="1" s="1"/>
  <c r="AV609" i="1"/>
  <c r="S610" i="1"/>
  <c r="U610" i="1"/>
  <c r="AM610" i="1" s="1"/>
  <c r="S611" i="1"/>
  <c r="U611" i="1"/>
  <c r="AM611" i="1" s="1"/>
  <c r="S612" i="1"/>
  <c r="U612" i="1"/>
  <c r="AM612" i="1" s="1"/>
  <c r="S613" i="1"/>
  <c r="U613" i="1"/>
  <c r="AM613" i="1" s="1"/>
  <c r="S614" i="1"/>
  <c r="U614" i="1"/>
  <c r="AM614" i="1" s="1"/>
  <c r="S615" i="1"/>
  <c r="U615" i="1"/>
  <c r="AM615" i="1" s="1"/>
  <c r="S616" i="1"/>
  <c r="U616" i="1"/>
  <c r="AM616" i="1" s="1"/>
  <c r="S617" i="1"/>
  <c r="U617" i="1"/>
  <c r="AM617" i="1"/>
  <c r="AW617" i="1" s="1"/>
  <c r="S618" i="1"/>
  <c r="U618" i="1"/>
  <c r="AM618" i="1" s="1"/>
  <c r="AU618" i="1"/>
  <c r="S619" i="1"/>
  <c r="U619" i="1"/>
  <c r="AM619" i="1" s="1"/>
  <c r="S620" i="1"/>
  <c r="U620" i="1"/>
  <c r="AM620" i="1"/>
  <c r="S621" i="1"/>
  <c r="U621" i="1"/>
  <c r="AM621" i="1" s="1"/>
  <c r="AW621" i="1"/>
  <c r="S622" i="1"/>
  <c r="U622" i="1"/>
  <c r="AM622" i="1"/>
  <c r="S623" i="1"/>
  <c r="U623" i="1"/>
  <c r="AM623" i="1" s="1"/>
  <c r="S624" i="1"/>
  <c r="U624" i="1"/>
  <c r="AM624" i="1" s="1"/>
  <c r="S625" i="1"/>
  <c r="U625" i="1"/>
  <c r="AM625" i="1" s="1"/>
  <c r="S626" i="1"/>
  <c r="U626" i="1"/>
  <c r="AM626" i="1" s="1"/>
  <c r="AU626" i="1"/>
  <c r="S627" i="1"/>
  <c r="U627" i="1"/>
  <c r="AM627" i="1"/>
  <c r="S628" i="1"/>
  <c r="U628" i="1"/>
  <c r="AM628" i="1"/>
  <c r="S629" i="1"/>
  <c r="U629" i="1"/>
  <c r="AM629" i="1" s="1"/>
  <c r="AU629" i="1" s="1"/>
  <c r="S630" i="1"/>
  <c r="U630" i="1"/>
  <c r="AM630" i="1" s="1"/>
  <c r="S631" i="1"/>
  <c r="U631" i="1"/>
  <c r="AM631" i="1" s="1"/>
  <c r="S632" i="1"/>
  <c r="U632" i="1"/>
  <c r="AM632" i="1"/>
  <c r="S633" i="1"/>
  <c r="U633" i="1"/>
  <c r="AM633" i="1" s="1"/>
  <c r="S634" i="1"/>
  <c r="U634" i="1"/>
  <c r="AM634" i="1" s="1"/>
  <c r="S635" i="1"/>
  <c r="U635" i="1"/>
  <c r="AM635" i="1" s="1"/>
  <c r="S636" i="1"/>
  <c r="U636" i="1"/>
  <c r="AM636" i="1" s="1"/>
  <c r="S637" i="1"/>
  <c r="U637" i="1"/>
  <c r="AM637" i="1" s="1"/>
  <c r="S638" i="1"/>
  <c r="U638" i="1"/>
  <c r="AM638" i="1" s="1"/>
  <c r="S639" i="1"/>
  <c r="U639" i="1"/>
  <c r="AM639" i="1" s="1"/>
  <c r="S640" i="1"/>
  <c r="U640" i="1"/>
  <c r="AM640" i="1" s="1"/>
  <c r="S641" i="1"/>
  <c r="U641" i="1"/>
  <c r="AM641" i="1" s="1"/>
  <c r="AU641" i="1"/>
  <c r="S642" i="1"/>
  <c r="U642" i="1"/>
  <c r="AM642" i="1"/>
  <c r="S643" i="1"/>
  <c r="U643" i="1"/>
  <c r="AM643" i="1"/>
  <c r="S644" i="1"/>
  <c r="U644" i="1"/>
  <c r="AM644" i="1"/>
  <c r="AU644" i="1" s="1"/>
  <c r="S645" i="1"/>
  <c r="U645" i="1"/>
  <c r="AM645" i="1" s="1"/>
  <c r="S646" i="1"/>
  <c r="U646" i="1"/>
  <c r="AM646" i="1" s="1"/>
  <c r="S647" i="1"/>
  <c r="U647" i="1"/>
  <c r="AM647" i="1" s="1"/>
  <c r="S648" i="1"/>
  <c r="U648" i="1"/>
  <c r="AM648" i="1"/>
  <c r="S649" i="1"/>
  <c r="U649" i="1"/>
  <c r="AM649" i="1" s="1"/>
  <c r="AV649" i="1"/>
  <c r="AW649" i="1"/>
  <c r="S650" i="1"/>
  <c r="U650" i="1"/>
  <c r="AM650" i="1" s="1"/>
  <c r="S651" i="1"/>
  <c r="U651" i="1"/>
  <c r="AM651" i="1" s="1"/>
  <c r="S652" i="1"/>
  <c r="U652" i="1"/>
  <c r="AM652" i="1"/>
  <c r="S653" i="1"/>
  <c r="U653" i="1"/>
  <c r="AM653" i="1" s="1"/>
  <c r="S654" i="1"/>
  <c r="U654" i="1"/>
  <c r="AM654" i="1" s="1"/>
  <c r="S655" i="1"/>
  <c r="U655" i="1"/>
  <c r="AM655" i="1" s="1"/>
  <c r="S656" i="1"/>
  <c r="U656" i="1"/>
  <c r="AM656" i="1" s="1"/>
  <c r="S657" i="1"/>
  <c r="U657" i="1"/>
  <c r="AM657" i="1" s="1"/>
  <c r="S658" i="1"/>
  <c r="U658" i="1"/>
  <c r="AM658" i="1" s="1"/>
  <c r="AW658" i="1"/>
  <c r="S659" i="1"/>
  <c r="U659" i="1"/>
  <c r="AM659" i="1" s="1"/>
  <c r="S660" i="1"/>
  <c r="U660" i="1"/>
  <c r="AM660" i="1" s="1"/>
  <c r="S661" i="1"/>
  <c r="U661" i="1"/>
  <c r="AM661" i="1" s="1"/>
  <c r="AU661" i="1"/>
  <c r="S662" i="1"/>
  <c r="U662" i="1"/>
  <c r="AM662" i="1"/>
  <c r="S663" i="1"/>
  <c r="U663" i="1"/>
  <c r="AM663" i="1" s="1"/>
  <c r="S664" i="1"/>
  <c r="U664" i="1"/>
  <c r="AM664" i="1"/>
  <c r="AU664" i="1" s="1"/>
  <c r="S665" i="1"/>
  <c r="U665" i="1"/>
  <c r="AM665" i="1" s="1"/>
  <c r="S666" i="1"/>
  <c r="U666" i="1"/>
  <c r="AM666" i="1" s="1"/>
  <c r="S667" i="1"/>
  <c r="U667" i="1"/>
  <c r="AM667" i="1"/>
  <c r="S668" i="1"/>
  <c r="U668" i="1"/>
  <c r="AM668" i="1" s="1"/>
  <c r="S669" i="1"/>
  <c r="U669" i="1"/>
  <c r="AM669" i="1" s="1"/>
  <c r="S670" i="1"/>
  <c r="U670" i="1"/>
  <c r="AM670" i="1" s="1"/>
  <c r="S671" i="1"/>
  <c r="U671" i="1"/>
  <c r="AM671" i="1" s="1"/>
  <c r="S672" i="1"/>
  <c r="U672" i="1"/>
  <c r="AM672" i="1"/>
  <c r="S673" i="1"/>
  <c r="U673" i="1"/>
  <c r="AM673" i="1" s="1"/>
  <c r="S674" i="1"/>
  <c r="U674" i="1"/>
  <c r="AM674" i="1"/>
  <c r="AV674" i="1"/>
  <c r="AW674" i="1"/>
  <c r="S675" i="1"/>
  <c r="U675" i="1"/>
  <c r="AM675" i="1" s="1"/>
  <c r="S676" i="1"/>
  <c r="U676" i="1"/>
  <c r="AM676" i="1" s="1"/>
  <c r="S677" i="1"/>
  <c r="U677" i="1"/>
  <c r="AM677" i="1" s="1"/>
  <c r="S678" i="1"/>
  <c r="U678" i="1"/>
  <c r="AM678" i="1"/>
  <c r="S679" i="1"/>
  <c r="U679" i="1"/>
  <c r="AM679" i="1" s="1"/>
  <c r="AV679" i="1"/>
  <c r="AW679" i="1"/>
  <c r="S680" i="1"/>
  <c r="U680" i="1"/>
  <c r="AM680" i="1" s="1"/>
  <c r="S681" i="1"/>
  <c r="U681" i="1"/>
  <c r="AM681" i="1" s="1"/>
  <c r="AU681" i="1"/>
  <c r="S682" i="1"/>
  <c r="U682" i="1"/>
  <c r="AM682" i="1" s="1"/>
  <c r="S683" i="1"/>
  <c r="U683" i="1"/>
  <c r="AM683" i="1"/>
  <c r="S684" i="1"/>
  <c r="U684" i="1"/>
  <c r="AM684" i="1"/>
  <c r="AU684" i="1"/>
  <c r="S685" i="1"/>
  <c r="U685" i="1"/>
  <c r="AM685" i="1" s="1"/>
  <c r="S686" i="1"/>
  <c r="U686" i="1"/>
  <c r="AM686" i="1" s="1"/>
  <c r="AU686" i="1"/>
  <c r="S687" i="1"/>
  <c r="U687" i="1"/>
  <c r="AM687" i="1" s="1"/>
  <c r="S688" i="1"/>
  <c r="U688" i="1"/>
  <c r="AM688" i="1"/>
  <c r="S689" i="1"/>
  <c r="U689" i="1"/>
  <c r="AM689" i="1"/>
  <c r="AU689" i="1"/>
  <c r="S690" i="1"/>
  <c r="U690" i="1"/>
  <c r="AM690" i="1" s="1"/>
  <c r="S691" i="1"/>
  <c r="U691" i="1"/>
  <c r="AM691" i="1" s="1"/>
  <c r="S692" i="1"/>
  <c r="U692" i="1"/>
  <c r="AM692" i="1" s="1"/>
  <c r="S693" i="1"/>
  <c r="U693" i="1"/>
  <c r="AM693" i="1" s="1"/>
  <c r="S694" i="1"/>
  <c r="U694" i="1"/>
  <c r="AM694" i="1"/>
  <c r="AU694" i="1"/>
  <c r="S695" i="1"/>
  <c r="U695" i="1"/>
  <c r="AM695" i="1" s="1"/>
  <c r="S696" i="1"/>
  <c r="U696" i="1"/>
  <c r="AM696" i="1" s="1"/>
  <c r="S697" i="1"/>
  <c r="U697" i="1"/>
  <c r="AM697" i="1"/>
  <c r="S698" i="1"/>
  <c r="U698" i="1"/>
  <c r="AM698" i="1" s="1"/>
  <c r="S699" i="1"/>
  <c r="U699" i="1"/>
  <c r="AM699" i="1"/>
  <c r="AU699" i="1"/>
  <c r="S700" i="1"/>
  <c r="U700" i="1"/>
  <c r="AM700" i="1" s="1"/>
  <c r="S701" i="1"/>
  <c r="U701" i="1"/>
  <c r="AM701" i="1" s="1"/>
  <c r="S702" i="1"/>
  <c r="U702" i="1"/>
  <c r="AM702" i="1" s="1"/>
  <c r="S703" i="1"/>
  <c r="U703" i="1"/>
  <c r="AM703" i="1"/>
  <c r="S704" i="1"/>
  <c r="U704" i="1"/>
  <c r="AM704" i="1"/>
  <c r="AU704" i="1" s="1"/>
  <c r="S705" i="1"/>
  <c r="U705" i="1"/>
  <c r="AM705" i="1" s="1"/>
  <c r="S706" i="1"/>
  <c r="U706" i="1"/>
  <c r="AM706" i="1" s="1"/>
  <c r="S707" i="1"/>
  <c r="U707" i="1"/>
  <c r="AM707" i="1"/>
  <c r="S708" i="1"/>
  <c r="U708" i="1"/>
  <c r="AM708" i="1"/>
  <c r="S709" i="1"/>
  <c r="U709" i="1"/>
  <c r="AM709" i="1" s="1"/>
  <c r="AU709" i="1" s="1"/>
  <c r="S710" i="1"/>
  <c r="U710" i="1"/>
  <c r="AM710" i="1" s="1"/>
  <c r="S711" i="1"/>
  <c r="U711" i="1"/>
  <c r="AM711" i="1" s="1"/>
  <c r="S712" i="1"/>
  <c r="U712" i="1"/>
  <c r="AM712" i="1"/>
  <c r="S713" i="1"/>
  <c r="U713" i="1"/>
  <c r="AM713" i="1" s="1"/>
  <c r="S714" i="1"/>
  <c r="U714" i="1"/>
  <c r="AM714" i="1"/>
  <c r="AU714" i="1" s="1"/>
  <c r="S715" i="1"/>
  <c r="U715" i="1"/>
  <c r="AM715" i="1" s="1"/>
  <c r="S716" i="1"/>
  <c r="U716" i="1"/>
  <c r="AM716" i="1" s="1"/>
  <c r="S717" i="1"/>
  <c r="U717" i="1"/>
  <c r="AM717" i="1" s="1"/>
  <c r="S718" i="1"/>
  <c r="U718" i="1"/>
  <c r="AM718" i="1"/>
  <c r="S719" i="1"/>
  <c r="U719" i="1"/>
  <c r="AM719" i="1" s="1"/>
  <c r="S720" i="1"/>
  <c r="U720" i="1"/>
  <c r="AM720" i="1" s="1"/>
  <c r="S721" i="1"/>
  <c r="U721" i="1"/>
  <c r="AM721" i="1" s="1"/>
  <c r="S722" i="1"/>
  <c r="U722" i="1"/>
  <c r="AM722" i="1" s="1"/>
  <c r="AU722" i="1"/>
  <c r="S723" i="1"/>
  <c r="U723" i="1"/>
  <c r="AM723" i="1"/>
  <c r="S724" i="1"/>
  <c r="U724" i="1"/>
  <c r="AM724" i="1" s="1"/>
  <c r="S725" i="1"/>
  <c r="U725" i="1"/>
  <c r="AM725" i="1" s="1"/>
  <c r="S726" i="1"/>
  <c r="U726" i="1"/>
  <c r="AM726" i="1" s="1"/>
  <c r="S727" i="1"/>
  <c r="U727" i="1"/>
  <c r="AM727" i="1" s="1"/>
  <c r="S728" i="1"/>
  <c r="U728" i="1"/>
  <c r="AM728" i="1"/>
  <c r="S729" i="1"/>
  <c r="U729" i="1"/>
  <c r="AM729" i="1" s="1"/>
  <c r="S730" i="1"/>
  <c r="U730" i="1"/>
  <c r="AM730" i="1" s="1"/>
  <c r="S731" i="1"/>
  <c r="U731" i="1"/>
  <c r="AM731" i="1" s="1"/>
  <c r="S732" i="1"/>
  <c r="U732" i="1"/>
  <c r="AU732" i="1"/>
  <c r="AM732" i="1"/>
  <c r="S733" i="1"/>
  <c r="U733" i="1"/>
  <c r="AW733" i="1"/>
  <c r="AM733" i="1"/>
  <c r="S734" i="1"/>
  <c r="U734" i="1"/>
  <c r="AM734" i="1"/>
  <c r="S735" i="1"/>
  <c r="U735" i="1"/>
  <c r="AM735" i="1"/>
  <c r="S736" i="1"/>
  <c r="U736" i="1"/>
  <c r="AM736" i="1" s="1"/>
  <c r="S737" i="1"/>
  <c r="U737" i="1"/>
  <c r="AM737" i="1" s="1"/>
  <c r="S738" i="1"/>
  <c r="U738" i="1"/>
  <c r="AM738" i="1"/>
  <c r="AU738" i="1" s="1"/>
  <c r="AV738" i="1"/>
  <c r="S739" i="1"/>
  <c r="U739" i="1"/>
  <c r="AM739" i="1" s="1"/>
  <c r="AU739" i="1"/>
  <c r="AV739" i="1"/>
  <c r="S740" i="1"/>
  <c r="U740" i="1"/>
  <c r="AM740" i="1"/>
  <c r="S741" i="1"/>
  <c r="U741" i="1"/>
  <c r="AM741" i="1" s="1"/>
  <c r="S742" i="1"/>
  <c r="U742" i="1"/>
  <c r="AM742" i="1" s="1"/>
  <c r="S743" i="1"/>
  <c r="U743" i="1"/>
  <c r="AM743" i="1"/>
  <c r="S744" i="1"/>
  <c r="U744" i="1"/>
  <c r="AM744" i="1"/>
  <c r="AW744" i="1" s="1"/>
  <c r="S745" i="1"/>
  <c r="U745" i="1"/>
  <c r="AM745" i="1" s="1"/>
  <c r="S746" i="1"/>
  <c r="U746" i="1"/>
  <c r="AM746" i="1" s="1"/>
  <c r="S747" i="1"/>
  <c r="U747" i="1"/>
  <c r="AM747" i="1"/>
  <c r="S748" i="1"/>
  <c r="U748" i="1"/>
  <c r="AM748" i="1" s="1"/>
  <c r="S749" i="1"/>
  <c r="U749" i="1"/>
  <c r="AM749" i="1"/>
  <c r="S750" i="1"/>
  <c r="U750" i="1"/>
  <c r="AM750" i="1" s="1"/>
  <c r="S751" i="1"/>
  <c r="U751" i="1"/>
  <c r="AM751" i="1" s="1"/>
  <c r="S752" i="1"/>
  <c r="U752" i="1"/>
  <c r="AM752" i="1" s="1"/>
  <c r="S753" i="1"/>
  <c r="U753" i="1"/>
  <c r="AM753" i="1"/>
  <c r="AU753" i="1"/>
  <c r="S754" i="1"/>
  <c r="U754" i="1"/>
  <c r="AM754" i="1" s="1"/>
  <c r="S755" i="1"/>
  <c r="U755" i="1"/>
  <c r="AM755" i="1" s="1"/>
  <c r="S756" i="1"/>
  <c r="U756" i="1"/>
  <c r="AM756" i="1" s="1"/>
  <c r="S757" i="1"/>
  <c r="U757" i="1"/>
  <c r="AM757" i="1" s="1"/>
  <c r="S758" i="1"/>
  <c r="U758" i="1"/>
  <c r="AM758" i="1" s="1"/>
  <c r="S759" i="1"/>
  <c r="U759" i="1"/>
  <c r="AM759" i="1"/>
  <c r="S760" i="1"/>
  <c r="U760" i="1"/>
  <c r="AM760" i="1" s="1"/>
  <c r="S761" i="1"/>
  <c r="U761" i="1"/>
  <c r="AM761" i="1" s="1"/>
  <c r="S762" i="1"/>
  <c r="U762" i="1"/>
  <c r="AM762" i="1"/>
  <c r="S763" i="1"/>
  <c r="U763" i="1"/>
  <c r="AM763" i="1"/>
  <c r="S764" i="1"/>
  <c r="U764" i="1"/>
  <c r="AM764" i="1" s="1"/>
  <c r="AW764" i="1" s="1"/>
  <c r="S765" i="1"/>
  <c r="U765" i="1"/>
  <c r="AM765" i="1" s="1"/>
  <c r="S766" i="1"/>
  <c r="U766" i="1"/>
  <c r="AM766" i="1" s="1"/>
  <c r="S767" i="1"/>
  <c r="U767" i="1"/>
  <c r="AM767" i="1"/>
  <c r="S768" i="1"/>
  <c r="U768" i="1"/>
  <c r="AM768" i="1"/>
  <c r="S769" i="1"/>
  <c r="U769" i="1"/>
  <c r="AM769" i="1"/>
  <c r="S770" i="1"/>
  <c r="U770" i="1"/>
  <c r="AM770" i="1" s="1"/>
  <c r="S771" i="1"/>
  <c r="U771" i="1"/>
  <c r="AM771" i="1" s="1"/>
  <c r="S772" i="1"/>
  <c r="U772" i="1"/>
  <c r="AM772" i="1" s="1"/>
  <c r="S773" i="1"/>
  <c r="U773" i="1"/>
  <c r="AM773" i="1" s="1"/>
  <c r="S774" i="1"/>
  <c r="U774" i="1"/>
  <c r="AM774" i="1" s="1"/>
  <c r="S775" i="1"/>
  <c r="U775" i="1"/>
  <c r="AM775" i="1"/>
  <c r="S776" i="1"/>
  <c r="U776" i="1"/>
  <c r="AM776" i="1" s="1"/>
  <c r="S777" i="1"/>
  <c r="U777" i="1"/>
  <c r="AM777" i="1" s="1"/>
  <c r="S778" i="1"/>
  <c r="U778" i="1"/>
  <c r="AM778" i="1" s="1"/>
  <c r="S779" i="1"/>
  <c r="U779" i="1"/>
  <c r="AM779" i="1" s="1"/>
  <c r="S780" i="1"/>
  <c r="U780" i="1"/>
  <c r="AM780" i="1"/>
  <c r="S781" i="1"/>
  <c r="U781" i="1"/>
  <c r="AM781" i="1" s="1"/>
  <c r="S782" i="1"/>
  <c r="U782" i="1"/>
  <c r="AM782" i="1" s="1"/>
  <c r="S783" i="1"/>
  <c r="U783" i="1"/>
  <c r="AM783" i="1" s="1"/>
  <c r="AW783" i="1"/>
  <c r="S784" i="1"/>
  <c r="U784" i="1"/>
  <c r="AM784" i="1" s="1"/>
  <c r="S785" i="1"/>
  <c r="U785" i="1"/>
  <c r="AM785" i="1"/>
  <c r="S786" i="1"/>
  <c r="U786" i="1"/>
  <c r="AM786" i="1" s="1"/>
  <c r="S787" i="1"/>
  <c r="U787" i="1"/>
  <c r="AM787" i="1"/>
  <c r="S788" i="1"/>
  <c r="U788" i="1"/>
  <c r="AM788" i="1" s="1"/>
  <c r="AU788" i="1" s="1"/>
  <c r="S789" i="1"/>
  <c r="U789" i="1"/>
  <c r="AM789" i="1" s="1"/>
  <c r="AW789" i="1" s="1"/>
  <c r="S790" i="1"/>
  <c r="U790" i="1"/>
  <c r="AM790" i="1" s="1"/>
  <c r="S791" i="1"/>
  <c r="U791" i="1"/>
  <c r="AM791" i="1" s="1"/>
  <c r="S792" i="1"/>
  <c r="U792" i="1"/>
  <c r="AM792" i="1"/>
  <c r="S793" i="1"/>
  <c r="U793" i="1"/>
  <c r="AM793" i="1"/>
  <c r="S794" i="1"/>
  <c r="U794" i="1"/>
  <c r="AM794" i="1" s="1"/>
  <c r="AW794" i="1" s="1"/>
  <c r="S795" i="1"/>
  <c r="U795" i="1"/>
  <c r="AM795" i="1" s="1"/>
  <c r="S796" i="1"/>
  <c r="U796" i="1"/>
  <c r="AM796" i="1" s="1"/>
  <c r="S797" i="1"/>
  <c r="U797" i="1"/>
  <c r="AM797" i="1"/>
  <c r="S798" i="1"/>
  <c r="U798" i="1"/>
  <c r="AM798" i="1"/>
  <c r="AV798" i="1" s="1"/>
  <c r="S799" i="1"/>
  <c r="U799" i="1"/>
  <c r="AM799" i="1" s="1"/>
  <c r="S800" i="1"/>
  <c r="U800" i="1"/>
  <c r="AM800" i="1" s="1"/>
  <c r="S801" i="1"/>
  <c r="U801" i="1"/>
  <c r="AM801" i="1" s="1"/>
  <c r="S802" i="1"/>
  <c r="U802" i="1"/>
  <c r="AM802" i="1" s="1"/>
  <c r="S803" i="1"/>
  <c r="U803" i="1"/>
  <c r="AM803" i="1"/>
  <c r="S804" i="1"/>
  <c r="U804" i="1"/>
  <c r="AM804" i="1" s="1"/>
  <c r="AW804" i="1"/>
  <c r="S805" i="1"/>
  <c r="U805" i="1"/>
  <c r="AM805" i="1" s="1"/>
  <c r="AW805" i="1" s="1"/>
  <c r="S806" i="1"/>
  <c r="U806" i="1"/>
  <c r="AM806" i="1" s="1"/>
  <c r="S807" i="1"/>
  <c r="U807" i="1"/>
  <c r="AM807" i="1"/>
  <c r="S808" i="1"/>
  <c r="U808" i="1"/>
  <c r="AM808" i="1" s="1"/>
  <c r="S809" i="1"/>
  <c r="U809" i="1"/>
  <c r="AM809" i="1" s="1"/>
  <c r="S810" i="1"/>
  <c r="U810" i="1"/>
  <c r="AM810" i="1"/>
  <c r="AW810" i="1" s="1"/>
  <c r="S811" i="1"/>
  <c r="U811" i="1"/>
  <c r="AM811" i="1" s="1"/>
  <c r="S812" i="1"/>
  <c r="U812" i="1"/>
  <c r="AM812" i="1"/>
  <c r="S813" i="1"/>
  <c r="U813" i="1"/>
  <c r="AM813" i="1" s="1"/>
  <c r="S814" i="1"/>
  <c r="U814" i="1"/>
  <c r="AM814" i="1" s="1"/>
  <c r="S815" i="1"/>
  <c r="U815" i="1"/>
  <c r="AM815" i="1" s="1"/>
  <c r="S816" i="1"/>
  <c r="U816" i="1"/>
  <c r="AM816" i="1" s="1"/>
  <c r="S817" i="1"/>
  <c r="U817" i="1"/>
  <c r="AM817" i="1" s="1"/>
  <c r="S818" i="1"/>
  <c r="U818" i="1"/>
  <c r="AM818" i="1" s="1"/>
  <c r="S819" i="1"/>
  <c r="U819" i="1"/>
  <c r="AM819" i="1" s="1"/>
  <c r="AW819" i="1" s="1"/>
  <c r="S820" i="1"/>
  <c r="U820" i="1"/>
  <c r="AM820" i="1"/>
  <c r="AU820" i="1" s="1"/>
  <c r="AV820" i="1"/>
  <c r="AW820" i="1"/>
  <c r="S821" i="1"/>
  <c r="U821" i="1"/>
  <c r="AM821" i="1" s="1"/>
  <c r="S822" i="1"/>
  <c r="U822" i="1"/>
  <c r="AM822" i="1" s="1"/>
  <c r="S823" i="1"/>
  <c r="U823" i="1"/>
  <c r="AM823" i="1" s="1"/>
  <c r="S824" i="1"/>
  <c r="U824" i="1"/>
  <c r="AM824" i="1" s="1"/>
  <c r="S825" i="1"/>
  <c r="U825" i="1"/>
  <c r="AM825" i="1" s="1"/>
  <c r="AV825" i="1"/>
  <c r="S826" i="1"/>
  <c r="U826" i="1"/>
  <c r="AM826" i="1" s="1"/>
  <c r="S827" i="1"/>
  <c r="U827" i="1"/>
  <c r="AM827" i="1"/>
  <c r="S828" i="1"/>
  <c r="U828" i="1"/>
  <c r="AM828" i="1" s="1"/>
  <c r="S829" i="1"/>
  <c r="U829" i="1"/>
  <c r="AM829" i="1" s="1"/>
  <c r="S830" i="1"/>
  <c r="U830" i="1"/>
  <c r="AM830" i="1" s="1"/>
  <c r="S831" i="1"/>
  <c r="U831" i="1"/>
  <c r="AM831" i="1" s="1"/>
  <c r="S832" i="1"/>
  <c r="U832" i="1"/>
  <c r="AM832" i="1" s="1"/>
  <c r="S833" i="1"/>
  <c r="U833" i="1"/>
  <c r="AM833" i="1"/>
  <c r="S834" i="1"/>
  <c r="U834" i="1"/>
  <c r="AM834" i="1" s="1"/>
  <c r="S835" i="1"/>
  <c r="U835" i="1"/>
  <c r="AM835" i="1" s="1"/>
  <c r="AV835" i="1"/>
  <c r="AW835" i="1"/>
  <c r="S836" i="1"/>
  <c r="U836" i="1"/>
  <c r="AM836" i="1" s="1"/>
  <c r="S837" i="1"/>
  <c r="U837" i="1"/>
  <c r="AM837" i="1" s="1"/>
  <c r="S838" i="1"/>
  <c r="U838" i="1"/>
  <c r="AM838" i="1"/>
  <c r="S839" i="1"/>
  <c r="U839" i="1"/>
  <c r="AM839" i="1" s="1"/>
  <c r="S840" i="1"/>
  <c r="U840" i="1"/>
  <c r="AM840" i="1" s="1"/>
  <c r="S841" i="1"/>
  <c r="U841" i="1"/>
  <c r="AM841" i="1" s="1"/>
  <c r="S842" i="1"/>
  <c r="U842" i="1"/>
  <c r="AM842" i="1" s="1"/>
  <c r="S843" i="1"/>
  <c r="U843" i="1"/>
  <c r="AM843" i="1"/>
  <c r="S844" i="1"/>
  <c r="U844" i="1"/>
  <c r="AM844" i="1" s="1"/>
  <c r="S845" i="1"/>
  <c r="U845" i="1"/>
  <c r="AM845" i="1" s="1"/>
  <c r="S846" i="1"/>
  <c r="U846" i="1"/>
  <c r="AM846" i="1" s="1"/>
  <c r="S847" i="1"/>
  <c r="U847" i="1"/>
  <c r="AM847" i="1" s="1"/>
  <c r="S848" i="1"/>
  <c r="U848" i="1"/>
  <c r="AM848" i="1" s="1"/>
  <c r="S849" i="1"/>
  <c r="U849" i="1"/>
  <c r="AM849" i="1" s="1"/>
  <c r="AV849" i="1" s="1"/>
  <c r="S850" i="1"/>
  <c r="U850" i="1"/>
  <c r="AM850" i="1" s="1"/>
  <c r="S851" i="1"/>
  <c r="U851" i="1"/>
  <c r="AM851" i="1" s="1"/>
  <c r="S852" i="1"/>
  <c r="U852" i="1"/>
  <c r="AM852" i="1" s="1"/>
  <c r="AV852" i="1" s="1"/>
  <c r="S853" i="1"/>
  <c r="U853" i="1"/>
  <c r="AM853" i="1"/>
  <c r="S854" i="1"/>
  <c r="U854" i="1"/>
  <c r="AM854" i="1" s="1"/>
  <c r="AW854" i="1" s="1"/>
  <c r="S855" i="1"/>
  <c r="U855" i="1"/>
  <c r="AM855" i="1" s="1"/>
  <c r="S856" i="1"/>
  <c r="U856" i="1"/>
  <c r="AM856" i="1"/>
  <c r="S857" i="1"/>
  <c r="U857" i="1"/>
  <c r="AM857" i="1" s="1"/>
  <c r="AU857" i="1" s="1"/>
  <c r="S858" i="1"/>
  <c r="U858" i="1"/>
  <c r="AM858" i="1" s="1"/>
  <c r="S859" i="1"/>
  <c r="U859" i="1"/>
  <c r="AM859" i="1" s="1"/>
  <c r="AW859" i="1" s="1"/>
  <c r="S860" i="1"/>
  <c r="U860" i="1"/>
  <c r="AM860" i="1"/>
  <c r="S861" i="1"/>
  <c r="U861" i="1"/>
  <c r="AM861" i="1" s="1"/>
  <c r="S862" i="1"/>
  <c r="U862" i="1"/>
  <c r="AM862" i="1"/>
  <c r="AU862" i="1"/>
  <c r="S863" i="1"/>
  <c r="U863" i="1"/>
  <c r="AM863" i="1" s="1"/>
  <c r="AV863" i="1" s="1"/>
  <c r="S864" i="1"/>
  <c r="U864" i="1"/>
  <c r="AM864" i="1"/>
  <c r="AW864" i="1" s="1"/>
  <c r="S865" i="1"/>
  <c r="U865" i="1"/>
  <c r="AM865" i="1" s="1"/>
  <c r="S866" i="1"/>
  <c r="U866" i="1"/>
  <c r="AM866" i="1" s="1"/>
  <c r="S867" i="1"/>
  <c r="U867" i="1"/>
  <c r="AM867" i="1" s="1"/>
  <c r="S868" i="1"/>
  <c r="U868" i="1"/>
  <c r="AM868" i="1" s="1"/>
  <c r="S869" i="1"/>
  <c r="U869" i="1"/>
  <c r="AM869" i="1" s="1"/>
  <c r="AW869" i="1" s="1"/>
  <c r="S870" i="1"/>
  <c r="U870" i="1"/>
  <c r="AM870" i="1"/>
  <c r="S871" i="1"/>
  <c r="U871" i="1"/>
  <c r="AM871" i="1" s="1"/>
  <c r="S872" i="1"/>
  <c r="U872" i="1"/>
  <c r="AM872" i="1"/>
  <c r="AU872" i="1" s="1"/>
  <c r="S873" i="1"/>
  <c r="U873" i="1"/>
  <c r="AM873" i="1"/>
  <c r="AV873" i="1" s="1"/>
  <c r="S874" i="1"/>
  <c r="U874" i="1"/>
  <c r="AM874" i="1" s="1"/>
  <c r="AW874" i="1" s="1"/>
  <c r="S875" i="1"/>
  <c r="U875" i="1"/>
  <c r="AM875" i="1" s="1"/>
  <c r="S876" i="1"/>
  <c r="U876" i="1"/>
  <c r="AM876" i="1" s="1"/>
  <c r="S877" i="1"/>
  <c r="U877" i="1"/>
  <c r="AM877" i="1" s="1"/>
  <c r="S878" i="1"/>
  <c r="U878" i="1"/>
  <c r="AM878" i="1"/>
  <c r="AV878" i="1" s="1"/>
  <c r="S879" i="1"/>
  <c r="U879" i="1"/>
  <c r="AM879" i="1" s="1"/>
  <c r="AW879" i="1" s="1"/>
  <c r="S880" i="1"/>
  <c r="U880" i="1"/>
  <c r="AM880" i="1"/>
  <c r="S881" i="1"/>
  <c r="U881" i="1"/>
  <c r="AM881" i="1" s="1"/>
  <c r="S882" i="1"/>
  <c r="U882" i="1"/>
  <c r="AM882" i="1" s="1"/>
  <c r="S883" i="1"/>
  <c r="U883" i="1"/>
  <c r="AM883" i="1" s="1"/>
  <c r="S884" i="1"/>
  <c r="U884" i="1"/>
  <c r="AM884" i="1" s="1"/>
  <c r="S885" i="1"/>
  <c r="U885" i="1"/>
  <c r="AM885" i="1" s="1"/>
  <c r="S886" i="1"/>
  <c r="U886" i="1"/>
  <c r="AM886" i="1" s="1"/>
  <c r="S887" i="1"/>
  <c r="U887" i="1"/>
  <c r="AM887" i="1" s="1"/>
  <c r="AU887" i="1" s="1"/>
  <c r="S888" i="1"/>
  <c r="U888" i="1"/>
  <c r="AM888" i="1"/>
  <c r="AV888" i="1"/>
  <c r="S889" i="1"/>
  <c r="U889" i="1"/>
  <c r="AM889" i="1"/>
  <c r="AW889" i="1" s="1"/>
  <c r="S890" i="1"/>
  <c r="U890" i="1"/>
  <c r="AM890" i="1" s="1"/>
  <c r="S891" i="1"/>
  <c r="U891" i="1"/>
  <c r="AM891" i="1" s="1"/>
  <c r="S892" i="1"/>
  <c r="U892" i="1"/>
  <c r="AM892" i="1" s="1"/>
  <c r="S893" i="1"/>
  <c r="U893" i="1"/>
  <c r="AM893" i="1" s="1"/>
  <c r="S894" i="1"/>
  <c r="U894" i="1"/>
  <c r="AM894" i="1" s="1"/>
  <c r="S895" i="1"/>
  <c r="U895" i="1"/>
  <c r="AM895" i="1" s="1"/>
  <c r="S896" i="1"/>
  <c r="U896" i="1"/>
  <c r="AM896" i="1" s="1"/>
  <c r="S897" i="1"/>
  <c r="U897" i="1"/>
  <c r="AM897" i="1"/>
  <c r="AU897" i="1" s="1"/>
  <c r="S898" i="1"/>
  <c r="U898" i="1"/>
  <c r="AM898" i="1" s="1"/>
  <c r="S899" i="1"/>
  <c r="U899" i="1"/>
  <c r="AM899" i="1" s="1"/>
  <c r="S900" i="1"/>
  <c r="U900" i="1"/>
  <c r="AM900" i="1"/>
  <c r="S901" i="1"/>
  <c r="U901" i="1"/>
  <c r="AM901" i="1" s="1"/>
  <c r="S902" i="1"/>
  <c r="U902" i="1"/>
  <c r="AM902" i="1"/>
  <c r="AU902" i="1"/>
  <c r="S903" i="1"/>
  <c r="U903" i="1"/>
  <c r="AM903" i="1" s="1"/>
  <c r="AV903" i="1" s="1"/>
  <c r="S904" i="1"/>
  <c r="U904" i="1"/>
  <c r="AM904" i="1"/>
  <c r="AW904" i="1" s="1"/>
  <c r="S905" i="1"/>
  <c r="U905" i="1"/>
  <c r="AM905" i="1" s="1"/>
  <c r="S906" i="1"/>
  <c r="U906" i="1"/>
  <c r="AM906" i="1" s="1"/>
  <c r="S907" i="1"/>
  <c r="U907" i="1"/>
  <c r="AM907" i="1" s="1"/>
  <c r="S908" i="1"/>
  <c r="U908" i="1"/>
  <c r="AM908" i="1" s="1"/>
  <c r="S909" i="1"/>
  <c r="U909" i="1"/>
  <c r="AM909" i="1" s="1"/>
  <c r="AW909" i="1" s="1"/>
  <c r="S910" i="1"/>
  <c r="U910" i="1"/>
  <c r="AM910" i="1"/>
  <c r="AW910" i="1" s="1"/>
  <c r="S911" i="1"/>
  <c r="U911" i="1"/>
  <c r="AM911" i="1"/>
  <c r="S912" i="1"/>
  <c r="U912" i="1"/>
  <c r="AM912" i="1" s="1"/>
  <c r="AU912" i="1" s="1"/>
  <c r="S913" i="1"/>
  <c r="U913" i="1"/>
  <c r="AM913" i="1"/>
  <c r="AV913" i="1"/>
  <c r="S914" i="1"/>
  <c r="U914" i="1"/>
  <c r="AM914" i="1" s="1"/>
  <c r="AW914" i="1" s="1"/>
  <c r="S915" i="1"/>
  <c r="U915" i="1"/>
  <c r="AM915" i="1"/>
  <c r="AW915" i="1" s="1"/>
  <c r="S916" i="1"/>
  <c r="U916" i="1"/>
  <c r="AM916" i="1" s="1"/>
  <c r="S917" i="1"/>
  <c r="U917" i="1"/>
  <c r="AM917" i="1" s="1"/>
  <c r="S918" i="1"/>
  <c r="U918" i="1"/>
  <c r="AM918" i="1" s="1"/>
  <c r="S919" i="1"/>
  <c r="U919" i="1"/>
  <c r="AM919" i="1" s="1"/>
  <c r="S920" i="1"/>
  <c r="U920" i="1"/>
  <c r="AM920" i="1" s="1"/>
  <c r="S921" i="1"/>
  <c r="U921" i="1"/>
  <c r="AM921" i="1" s="1"/>
  <c r="S922" i="1"/>
  <c r="U922" i="1"/>
  <c r="AM922" i="1"/>
  <c r="AU922" i="1"/>
  <c r="S923" i="1"/>
  <c r="U923" i="1"/>
  <c r="AM923" i="1" s="1"/>
  <c r="AV923" i="1" s="1"/>
  <c r="S924" i="1"/>
  <c r="U924" i="1"/>
  <c r="AM924" i="1"/>
  <c r="S925" i="1"/>
  <c r="U925" i="1"/>
  <c r="AM925" i="1" s="1"/>
  <c r="S926" i="1"/>
  <c r="U926" i="1"/>
  <c r="AM926" i="1"/>
  <c r="S927" i="1"/>
  <c r="U927" i="1"/>
  <c r="AM927" i="1" s="1"/>
  <c r="S928" i="1"/>
  <c r="U928" i="1"/>
  <c r="AM928" i="1"/>
  <c r="AV928" i="1" s="1"/>
  <c r="S929" i="1"/>
  <c r="U929" i="1"/>
  <c r="AM929" i="1"/>
  <c r="AW929" i="1" s="1"/>
  <c r="S930" i="1"/>
  <c r="U930" i="1"/>
  <c r="AM930" i="1" s="1"/>
  <c r="S931" i="1"/>
  <c r="U931" i="1"/>
  <c r="AM931" i="1"/>
  <c r="S932" i="1"/>
  <c r="U932" i="1"/>
  <c r="AM932" i="1" s="1"/>
  <c r="S933" i="1"/>
  <c r="U933" i="1"/>
  <c r="AM933" i="1" s="1"/>
  <c r="S934" i="1"/>
  <c r="U934" i="1"/>
  <c r="AM934" i="1" s="1"/>
  <c r="AW934" i="1" s="1"/>
  <c r="S935" i="1"/>
  <c r="U935" i="1"/>
  <c r="AM935" i="1"/>
  <c r="S936" i="1"/>
  <c r="U936" i="1"/>
  <c r="AM936" i="1" s="1"/>
  <c r="S937" i="1"/>
  <c r="U937" i="1"/>
  <c r="AM937" i="1"/>
  <c r="AU937" i="1" s="1"/>
  <c r="S938" i="1"/>
  <c r="U938" i="1"/>
  <c r="AM938" i="1" s="1"/>
  <c r="S939" i="1"/>
  <c r="U939" i="1"/>
  <c r="AM939" i="1" s="1"/>
  <c r="AW939" i="1" s="1"/>
  <c r="S940" i="1"/>
  <c r="U940" i="1"/>
  <c r="AM940" i="1" s="1"/>
  <c r="S941" i="1"/>
  <c r="U941" i="1"/>
  <c r="AM941" i="1" s="1"/>
  <c r="S942" i="1"/>
  <c r="U942" i="1"/>
  <c r="AM942" i="1" s="1"/>
  <c r="S943" i="1"/>
  <c r="U943" i="1"/>
  <c r="AM943" i="1"/>
  <c r="AV943" i="1" s="1"/>
  <c r="S944" i="1"/>
  <c r="U944" i="1"/>
  <c r="AM944" i="1" s="1"/>
  <c r="S945" i="1"/>
  <c r="U945" i="1"/>
  <c r="AM945" i="1" s="1"/>
  <c r="AW945" i="1" s="1"/>
  <c r="S946" i="1"/>
  <c r="U946" i="1"/>
  <c r="AM946" i="1"/>
  <c r="S947" i="1"/>
  <c r="U947" i="1"/>
  <c r="AM947" i="1" s="1"/>
  <c r="AU947" i="1" s="1"/>
  <c r="S948" i="1"/>
  <c r="U948" i="1"/>
  <c r="AM948" i="1" s="1"/>
  <c r="S949" i="1"/>
  <c r="U949" i="1"/>
  <c r="AM949" i="1"/>
  <c r="AW949" i="1" s="1"/>
  <c r="S950" i="1"/>
  <c r="U950" i="1"/>
  <c r="AM950" i="1" s="1"/>
  <c r="S951" i="1"/>
  <c r="U951" i="1"/>
  <c r="AM951" i="1" s="1"/>
  <c r="S952" i="1"/>
  <c r="U952" i="1"/>
  <c r="AM952" i="1"/>
  <c r="AU952" i="1" s="1"/>
  <c r="S953" i="1"/>
  <c r="U953" i="1"/>
  <c r="AM953" i="1"/>
  <c r="S954" i="1"/>
  <c r="U954" i="1"/>
  <c r="AM954" i="1" s="1"/>
  <c r="S955" i="1"/>
  <c r="U955" i="1"/>
  <c r="AV955" i="1"/>
  <c r="AM955" i="1"/>
  <c r="AW955" i="1"/>
  <c r="S956" i="1"/>
  <c r="U956" i="1"/>
  <c r="AM956" i="1" s="1"/>
  <c r="S957" i="1"/>
  <c r="U957" i="1"/>
  <c r="AM957" i="1" s="1"/>
  <c r="AU957" i="1" s="1"/>
  <c r="S958" i="1"/>
  <c r="U958" i="1"/>
  <c r="AM958" i="1" s="1"/>
  <c r="S959" i="1"/>
  <c r="U959" i="1"/>
  <c r="AM959" i="1" s="1"/>
  <c r="S960" i="1"/>
  <c r="U960" i="1"/>
  <c r="AM960" i="1" s="1"/>
  <c r="AV960" i="1"/>
  <c r="S961" i="1"/>
  <c r="U961" i="1"/>
  <c r="AM961" i="1"/>
  <c r="S962" i="1"/>
  <c r="U962" i="1"/>
  <c r="AM962" i="1"/>
  <c r="AU962" i="1"/>
  <c r="S963" i="1"/>
  <c r="U963" i="1"/>
  <c r="AM963" i="1" s="1"/>
  <c r="AV963" i="1" s="1"/>
  <c r="S964" i="1"/>
  <c r="U964" i="1"/>
  <c r="AM964" i="1"/>
  <c r="S965" i="1"/>
  <c r="U965" i="1"/>
  <c r="AM965" i="1" s="1"/>
  <c r="S966" i="1"/>
  <c r="U966" i="1"/>
  <c r="AM966" i="1"/>
  <c r="S967" i="1"/>
  <c r="U967" i="1"/>
  <c r="AM967" i="1" s="1"/>
  <c r="AU967" i="1" s="1"/>
  <c r="S968" i="1"/>
  <c r="U968" i="1"/>
  <c r="AM968" i="1" s="1"/>
  <c r="S969" i="1"/>
  <c r="U969" i="1"/>
  <c r="AM969" i="1" s="1"/>
  <c r="S970" i="1"/>
  <c r="U970" i="1"/>
  <c r="AM970" i="1" s="1"/>
  <c r="S971" i="1"/>
  <c r="U971" i="1"/>
  <c r="AM971" i="1"/>
  <c r="S972" i="1"/>
  <c r="U972" i="1"/>
  <c r="AM972" i="1" s="1"/>
  <c r="S973" i="1"/>
  <c r="U973" i="1"/>
  <c r="AM973" i="1" s="1"/>
  <c r="AV973" i="1" s="1"/>
  <c r="S974" i="1"/>
  <c r="U974" i="1"/>
  <c r="AM974" i="1" s="1"/>
  <c r="S975" i="1"/>
  <c r="U975" i="1"/>
  <c r="AM975" i="1"/>
  <c r="AW975" i="1"/>
  <c r="S976" i="1"/>
  <c r="U976" i="1"/>
  <c r="AM976" i="1" s="1"/>
  <c r="S977" i="1"/>
  <c r="U977" i="1"/>
  <c r="AM977" i="1" s="1"/>
  <c r="S978" i="1"/>
  <c r="U978" i="1"/>
  <c r="AM978" i="1" s="1"/>
  <c r="AV978" i="1" s="1"/>
  <c r="S979" i="1"/>
  <c r="U979" i="1"/>
  <c r="AM979" i="1"/>
  <c r="S980" i="1"/>
  <c r="U980" i="1"/>
  <c r="AM980" i="1"/>
  <c r="S981" i="1"/>
  <c r="U981" i="1"/>
  <c r="AM981" i="1"/>
  <c r="S982" i="1"/>
  <c r="U982" i="1"/>
  <c r="AM982" i="1" s="1"/>
  <c r="S983" i="1"/>
  <c r="U983" i="1"/>
  <c r="AM983" i="1" s="1"/>
  <c r="S984" i="1"/>
  <c r="U984" i="1"/>
  <c r="AM984" i="1" s="1"/>
  <c r="S985" i="1"/>
  <c r="U985" i="1"/>
  <c r="AM985" i="1" s="1"/>
  <c r="AV985" i="1"/>
  <c r="S986" i="1"/>
  <c r="U986" i="1"/>
  <c r="AM986" i="1"/>
  <c r="S987" i="1"/>
  <c r="U987" i="1"/>
  <c r="AM987" i="1" s="1"/>
  <c r="AV987" i="1" s="1"/>
  <c r="S988" i="1"/>
  <c r="U988" i="1"/>
  <c r="AM988" i="1" s="1"/>
  <c r="S989" i="1"/>
  <c r="U989" i="1"/>
  <c r="AM989" i="1" s="1"/>
  <c r="S990" i="1"/>
  <c r="U990" i="1"/>
  <c r="AM990" i="1" s="1"/>
  <c r="S991" i="1"/>
  <c r="U991" i="1"/>
  <c r="AM991" i="1"/>
  <c r="S992" i="1"/>
  <c r="U992" i="1"/>
  <c r="AM992" i="1" s="1"/>
  <c r="S993" i="1"/>
  <c r="U993" i="1"/>
  <c r="AM993" i="1" s="1"/>
  <c r="AV993" i="1" s="1"/>
  <c r="S994" i="1"/>
  <c r="U994" i="1"/>
  <c r="AM994" i="1"/>
  <c r="S995" i="1"/>
  <c r="U995" i="1"/>
  <c r="AM995" i="1" s="1"/>
  <c r="AV995" i="1"/>
  <c r="S996" i="1"/>
  <c r="U996" i="1"/>
  <c r="AM996" i="1"/>
  <c r="S997" i="1"/>
  <c r="U997" i="1"/>
  <c r="AM997" i="1" s="1"/>
  <c r="S998" i="1"/>
  <c r="U998" i="1"/>
  <c r="AM998" i="1" s="1"/>
  <c r="AV998" i="1"/>
  <c r="S999" i="1"/>
  <c r="U999" i="1"/>
  <c r="AM999" i="1"/>
  <c r="S1000" i="1"/>
  <c r="U1000" i="1"/>
  <c r="AM1000" i="1"/>
  <c r="S1001" i="1"/>
  <c r="U1001" i="1"/>
  <c r="AM1001" i="1" s="1"/>
  <c r="S1002" i="1"/>
  <c r="U1002" i="1"/>
  <c r="AM1002" i="1"/>
  <c r="AV1002" i="1" s="1"/>
  <c r="S1003" i="1"/>
  <c r="U1003" i="1"/>
  <c r="AM1003" i="1" s="1"/>
  <c r="S1004" i="1"/>
  <c r="U1004" i="1"/>
  <c r="AM1004" i="1" s="1"/>
  <c r="S1005" i="1"/>
  <c r="U1005" i="1"/>
  <c r="AM1005" i="1" s="1"/>
  <c r="AW1005" i="1" s="1"/>
  <c r="S1006" i="1"/>
  <c r="U1006" i="1"/>
  <c r="AM1006" i="1" s="1"/>
  <c r="S1007" i="1"/>
  <c r="U1007" i="1"/>
  <c r="AM1007" i="1"/>
  <c r="AV1007" i="1"/>
  <c r="S1008" i="1"/>
  <c r="U1008" i="1"/>
  <c r="AM1008" i="1" s="1"/>
  <c r="S1009" i="1"/>
  <c r="U1009" i="1"/>
  <c r="AM1009" i="1"/>
  <c r="S1010" i="1"/>
  <c r="U1010" i="1"/>
  <c r="AM1010" i="1"/>
  <c r="S1011" i="1"/>
  <c r="U1011" i="1"/>
  <c r="AM1011" i="1"/>
  <c r="S1012" i="1"/>
  <c r="U1012" i="1"/>
  <c r="AM1012" i="1" s="1"/>
  <c r="AV1012" i="1" s="1"/>
  <c r="S1013" i="1"/>
  <c r="U1013" i="1"/>
  <c r="AM1013" i="1"/>
  <c r="S1014" i="1"/>
  <c r="U1014" i="1"/>
  <c r="AM1014" i="1" s="1"/>
  <c r="S1015" i="1"/>
  <c r="U1015" i="1"/>
  <c r="AM1015" i="1" s="1"/>
  <c r="AW1015" i="1" s="1"/>
  <c r="S1016" i="1"/>
  <c r="U1016" i="1"/>
  <c r="AM1016" i="1"/>
  <c r="S1017" i="1"/>
  <c r="U1017" i="1"/>
  <c r="AM1017" i="1" s="1"/>
  <c r="S1018" i="1"/>
  <c r="U1018" i="1"/>
  <c r="AM1018" i="1" s="1"/>
  <c r="AV1018" i="1" s="1"/>
  <c r="S1019" i="1"/>
  <c r="U1019" i="1"/>
  <c r="AM1019" i="1"/>
  <c r="S1020" i="1"/>
  <c r="U1020" i="1"/>
  <c r="AM1020" i="1"/>
  <c r="S1021" i="1"/>
  <c r="U1021" i="1"/>
  <c r="AM1021" i="1"/>
  <c r="S1022" i="1"/>
  <c r="U1022" i="1"/>
  <c r="AM1022" i="1" s="1"/>
  <c r="S1023" i="1"/>
  <c r="U1023" i="1"/>
  <c r="AM1023" i="1" s="1"/>
  <c r="S1024" i="1"/>
  <c r="U1024" i="1"/>
  <c r="AM1024" i="1" s="1"/>
  <c r="S1025" i="1"/>
  <c r="U1025" i="1"/>
  <c r="AM1025" i="1" s="1"/>
  <c r="AV1025" i="1"/>
  <c r="S1026" i="1"/>
  <c r="U1026" i="1"/>
  <c r="AM1026" i="1"/>
  <c r="S1027" i="1"/>
  <c r="U1027" i="1"/>
  <c r="AM1027" i="1" s="1"/>
  <c r="AV1027" i="1" s="1"/>
  <c r="S1028" i="1"/>
  <c r="U1028" i="1"/>
  <c r="AM1028" i="1" s="1"/>
  <c r="S1029" i="1"/>
  <c r="U1029" i="1"/>
  <c r="AM1029" i="1" s="1"/>
  <c r="S1030" i="1"/>
  <c r="U1030" i="1"/>
  <c r="AM1030" i="1" s="1"/>
  <c r="S1031" i="1"/>
  <c r="U1031" i="1"/>
  <c r="AM1031" i="1"/>
  <c r="S1032" i="1"/>
  <c r="U1032" i="1"/>
  <c r="AM1032" i="1" s="1"/>
  <c r="S1033" i="1"/>
  <c r="U1033" i="1"/>
  <c r="AM1033" i="1" s="1"/>
  <c r="AV1033" i="1" s="1"/>
  <c r="S1034" i="1"/>
  <c r="U1034" i="1"/>
  <c r="AM1034" i="1"/>
  <c r="S1035" i="1"/>
  <c r="U1035" i="1"/>
  <c r="AM1035" i="1" s="1"/>
  <c r="S1036" i="1"/>
  <c r="U1036" i="1"/>
  <c r="AM1036" i="1"/>
  <c r="S1037" i="1"/>
  <c r="U1037" i="1"/>
  <c r="AM1037" i="1" s="1"/>
  <c r="S1038" i="1"/>
  <c r="U1038" i="1"/>
  <c r="AM1038" i="1" s="1"/>
  <c r="AV1038" i="1" s="1"/>
  <c r="S1039" i="1"/>
  <c r="U1039" i="1"/>
  <c r="AM1039" i="1" s="1"/>
  <c r="S1040" i="1"/>
  <c r="U1040" i="1"/>
  <c r="AM1040" i="1"/>
  <c r="AW1040" i="1"/>
  <c r="S1041" i="1"/>
  <c r="U1041" i="1"/>
  <c r="AM1041" i="1"/>
  <c r="S1042" i="1"/>
  <c r="U1042" i="1"/>
  <c r="AM1042" i="1" s="1"/>
  <c r="AV1042" i="1" s="1"/>
  <c r="S1043" i="1"/>
  <c r="U1043" i="1"/>
  <c r="AM1043" i="1" s="1"/>
  <c r="S1044" i="1"/>
  <c r="U1044" i="1"/>
  <c r="AM1044" i="1" s="1"/>
  <c r="S1045" i="1"/>
  <c r="U1045" i="1"/>
  <c r="AM1045" i="1"/>
  <c r="AV1045" i="1"/>
  <c r="AW1045" i="1"/>
  <c r="S1046" i="1"/>
  <c r="U1046" i="1"/>
  <c r="AM1046" i="1"/>
  <c r="S1047" i="1"/>
  <c r="U1047" i="1"/>
  <c r="AM1047" i="1"/>
  <c r="AV1047" i="1"/>
  <c r="S1048" i="1"/>
  <c r="U1048" i="1"/>
  <c r="AM1048" i="1" s="1"/>
  <c r="S1049" i="1"/>
  <c r="U1049" i="1"/>
  <c r="AM1049" i="1"/>
  <c r="S1050" i="1"/>
  <c r="U1050" i="1"/>
  <c r="AM1050" i="1" s="1"/>
  <c r="AV1050" i="1"/>
  <c r="S1051" i="1"/>
  <c r="U1051" i="1"/>
  <c r="AM1051" i="1"/>
  <c r="S1052" i="1"/>
  <c r="U1052" i="1"/>
  <c r="AM1052" i="1" s="1"/>
  <c r="AV1052" i="1" s="1"/>
  <c r="S1053" i="1"/>
  <c r="U1053" i="1"/>
  <c r="AM1053" i="1" s="1"/>
  <c r="AV1053" i="1" s="1"/>
  <c r="S1054" i="1"/>
  <c r="U1054" i="1"/>
  <c r="AM1054" i="1"/>
  <c r="S1055" i="1"/>
  <c r="U1055" i="1"/>
  <c r="AM1055" i="1" s="1"/>
  <c r="S1056" i="1"/>
  <c r="U1056" i="1"/>
  <c r="AM1056" i="1"/>
  <c r="S1057" i="1"/>
  <c r="U1057" i="1"/>
  <c r="AM1057" i="1" s="1"/>
  <c r="AV1057" i="1" s="1"/>
  <c r="S1058" i="1"/>
  <c r="U1058" i="1"/>
  <c r="AM1058" i="1"/>
  <c r="AV1058" i="1" s="1"/>
  <c r="S1059" i="1"/>
  <c r="U1059" i="1"/>
  <c r="AM1059" i="1" s="1"/>
  <c r="S1060" i="1"/>
  <c r="U1060" i="1"/>
  <c r="AM1060" i="1" s="1"/>
  <c r="AV1060" i="1"/>
  <c r="S1061" i="1"/>
  <c r="U1061" i="1"/>
  <c r="AM1061" i="1"/>
  <c r="S1062" i="1"/>
  <c r="U1062" i="1"/>
  <c r="AM1062" i="1" s="1"/>
  <c r="AV1062" i="1" s="1"/>
  <c r="S1063" i="1"/>
  <c r="U1063" i="1"/>
  <c r="AM1063" i="1"/>
  <c r="AV1063" i="1"/>
  <c r="S1064" i="1"/>
  <c r="U1064" i="1"/>
  <c r="AM1064" i="1"/>
  <c r="S1065" i="1"/>
  <c r="U1065" i="1"/>
  <c r="AM1065" i="1"/>
  <c r="AV1065" i="1"/>
  <c r="AW1065" i="1"/>
  <c r="S1066" i="1"/>
  <c r="U1066" i="1"/>
  <c r="AM1066" i="1" s="1"/>
  <c r="S1067" i="1"/>
  <c r="U1067" i="1"/>
  <c r="AM1067" i="1" s="1"/>
  <c r="S1068" i="1"/>
  <c r="U1068" i="1"/>
  <c r="AM1068" i="1" s="1"/>
  <c r="AV1068" i="1" s="1"/>
  <c r="S1069" i="1"/>
  <c r="U1069" i="1"/>
  <c r="AM1069" i="1"/>
  <c r="S1070" i="1"/>
  <c r="U1070" i="1"/>
  <c r="AM1070" i="1"/>
  <c r="AV1070" i="1"/>
  <c r="AW1070" i="1"/>
  <c r="S1071" i="1"/>
  <c r="U1071" i="1"/>
  <c r="AM1071" i="1" s="1"/>
  <c r="S1072" i="1"/>
  <c r="U1072" i="1"/>
  <c r="AM1072" i="1"/>
  <c r="AV1072" i="1" s="1"/>
  <c r="S1073" i="1"/>
  <c r="U1073" i="1"/>
  <c r="AM1073" i="1" s="1"/>
  <c r="AV1073" i="1"/>
  <c r="S1074" i="1"/>
  <c r="U1074" i="1"/>
  <c r="AM1074" i="1"/>
  <c r="S1075" i="1"/>
  <c r="U1075" i="1"/>
  <c r="AM1075" i="1" s="1"/>
  <c r="S1076" i="1"/>
  <c r="U1076" i="1"/>
  <c r="AM1076" i="1" s="1"/>
  <c r="S1077" i="1"/>
  <c r="U1077" i="1"/>
  <c r="AM1077" i="1"/>
  <c r="AV1077" i="1" s="1"/>
  <c r="S1078" i="1"/>
  <c r="U1078" i="1"/>
  <c r="AM1078" i="1" s="1"/>
  <c r="S1079" i="1"/>
  <c r="U1079" i="1"/>
  <c r="AM1079" i="1"/>
  <c r="S1080" i="1"/>
  <c r="U1080" i="1"/>
  <c r="AM1080" i="1" s="1"/>
  <c r="S1081" i="1"/>
  <c r="U1081" i="1"/>
  <c r="AM1081" i="1" s="1"/>
  <c r="S1082" i="1"/>
  <c r="U1082" i="1"/>
  <c r="AM1082" i="1" s="1"/>
  <c r="S1083" i="1"/>
  <c r="U1083" i="1"/>
  <c r="AM1083" i="1" s="1"/>
  <c r="AV1083" i="1" s="1"/>
  <c r="S1084" i="1"/>
  <c r="U1084" i="1"/>
  <c r="AM1084" i="1"/>
  <c r="S1085" i="1"/>
  <c r="U1085" i="1"/>
  <c r="AM1085" i="1" s="1"/>
  <c r="AV1085" i="1"/>
  <c r="S1086" i="1"/>
  <c r="U1086" i="1"/>
  <c r="AM1086" i="1" s="1"/>
  <c r="S1087" i="1"/>
  <c r="U1087" i="1"/>
  <c r="AM1087" i="1" s="1"/>
  <c r="AV1087" i="1" s="1"/>
  <c r="S1088" i="1"/>
  <c r="U1088" i="1"/>
  <c r="AM1088" i="1"/>
  <c r="AV1088" i="1" s="1"/>
  <c r="S1089" i="1"/>
  <c r="U1089" i="1"/>
  <c r="AM1089" i="1"/>
  <c r="S1090" i="1"/>
  <c r="U1090" i="1"/>
  <c r="AM1090" i="1" s="1"/>
  <c r="AW1090" i="1"/>
  <c r="S1091" i="1"/>
  <c r="U1091" i="1"/>
  <c r="AM1091" i="1" s="1"/>
  <c r="S1092" i="1"/>
  <c r="U1092" i="1"/>
  <c r="AM1092" i="1" s="1"/>
  <c r="AV1092" i="1" s="1"/>
  <c r="S1093" i="1"/>
  <c r="U1093" i="1"/>
  <c r="AM1093" i="1" s="1"/>
  <c r="S1094" i="1"/>
  <c r="U1094" i="1"/>
  <c r="AM1094" i="1"/>
  <c r="S1095" i="1"/>
  <c r="U1095" i="1"/>
  <c r="AM1095" i="1" s="1"/>
  <c r="S1096" i="1"/>
  <c r="U1096" i="1"/>
  <c r="AM1096" i="1" s="1"/>
  <c r="S1097" i="1"/>
  <c r="U1097" i="1"/>
  <c r="AM1097" i="1"/>
  <c r="AV1097" i="1"/>
  <c r="S1098" i="1"/>
  <c r="U1098" i="1"/>
  <c r="AM1098" i="1" s="1"/>
  <c r="S1099" i="1"/>
  <c r="U1099" i="1"/>
  <c r="AM1099" i="1" s="1"/>
  <c r="S1100" i="1"/>
  <c r="U1100" i="1"/>
  <c r="AM1100" i="1" s="1"/>
  <c r="S1101" i="1"/>
  <c r="U1101" i="1"/>
  <c r="AM1101" i="1" s="1"/>
  <c r="S1102" i="1"/>
  <c r="U1102" i="1"/>
  <c r="AM1102" i="1"/>
  <c r="AV1102" i="1"/>
  <c r="S1103" i="1"/>
  <c r="U1103" i="1"/>
  <c r="AM1103" i="1" s="1"/>
  <c r="S1104" i="1"/>
  <c r="U1104" i="1"/>
  <c r="AM1104" i="1" s="1"/>
  <c r="S1105" i="1"/>
  <c r="U1105" i="1"/>
  <c r="AM1105" i="1" s="1"/>
  <c r="S1106" i="1"/>
  <c r="U1106" i="1"/>
  <c r="AM1106" i="1" s="1"/>
  <c r="S1107" i="1"/>
  <c r="U1107" i="1"/>
  <c r="AM1107" i="1" s="1"/>
  <c r="AV1107" i="1" s="1"/>
  <c r="S1108" i="1"/>
  <c r="U1108" i="1"/>
  <c r="AM1108" i="1"/>
  <c r="AV1108" i="1"/>
  <c r="S1109" i="1"/>
  <c r="U1109" i="1"/>
  <c r="AM1109" i="1" s="1"/>
  <c r="S1110" i="1"/>
  <c r="U1110" i="1"/>
  <c r="AM1110" i="1" s="1"/>
  <c r="S1111" i="1"/>
  <c r="U1111" i="1"/>
  <c r="AM1111" i="1" s="1"/>
  <c r="S1112" i="1"/>
  <c r="U1112" i="1"/>
  <c r="AM1112" i="1" s="1"/>
  <c r="S1113" i="1"/>
  <c r="U1113" i="1"/>
  <c r="AM1113" i="1"/>
  <c r="AV1113" i="1"/>
  <c r="S1114" i="1"/>
  <c r="U1114" i="1"/>
  <c r="AM1114" i="1"/>
  <c r="S1115" i="1"/>
  <c r="U1115" i="1"/>
  <c r="AM1115" i="1"/>
  <c r="S1116" i="1"/>
  <c r="U1116" i="1"/>
  <c r="AM1116" i="1" s="1"/>
  <c r="S1117" i="1"/>
  <c r="U1117" i="1"/>
  <c r="AM1117" i="1"/>
  <c r="AV1117" i="1" s="1"/>
  <c r="S1118" i="1"/>
  <c r="U1118" i="1"/>
  <c r="AM1118" i="1" s="1"/>
  <c r="AV1118" i="1"/>
  <c r="S1119" i="1"/>
  <c r="U1119" i="1"/>
  <c r="AM1119" i="1"/>
  <c r="S1120" i="1"/>
  <c r="U1120" i="1"/>
  <c r="AM1120" i="1" s="1"/>
  <c r="AV1120" i="1" s="1"/>
  <c r="S1121" i="1"/>
  <c r="U1121" i="1"/>
  <c r="AM1121" i="1" s="1"/>
  <c r="S1122" i="1"/>
  <c r="U1122" i="1"/>
  <c r="AM1122" i="1"/>
  <c r="AV1122" i="1"/>
  <c r="S1123" i="1"/>
  <c r="U1123" i="1"/>
  <c r="AM1123" i="1" s="1"/>
  <c r="S1124" i="1"/>
  <c r="U1124" i="1"/>
  <c r="AM1124" i="1"/>
  <c r="S1125" i="1"/>
  <c r="U1125" i="1"/>
  <c r="AM1125" i="1"/>
  <c r="S1126" i="1"/>
  <c r="U1126" i="1"/>
  <c r="AM1126" i="1"/>
  <c r="S1127" i="1"/>
  <c r="U1127" i="1"/>
  <c r="AM1127" i="1" s="1"/>
  <c r="AV1127" i="1" s="1"/>
  <c r="S1128" i="1"/>
  <c r="U1128" i="1"/>
  <c r="AM1128" i="1"/>
  <c r="AV1128" i="1"/>
  <c r="S1129" i="1"/>
  <c r="U1129" i="1"/>
  <c r="AM1129" i="1" s="1"/>
  <c r="AU719" i="1" l="1"/>
  <c r="AV719" i="1"/>
  <c r="AV1020" i="1"/>
  <c r="AW1020" i="1"/>
  <c r="AV980" i="1"/>
  <c r="AW980" i="1"/>
  <c r="AV842" i="1"/>
  <c r="AV1115" i="1"/>
  <c r="AV1095" i="1"/>
  <c r="AW1095" i="1"/>
  <c r="AU406" i="1"/>
  <c r="AW1060" i="1"/>
  <c r="AW1025" i="1"/>
  <c r="AW985" i="1"/>
  <c r="AV953" i="1"/>
  <c r="AU877" i="1"/>
  <c r="AV613" i="1"/>
  <c r="AU575" i="1"/>
  <c r="AU539" i="1"/>
  <c r="AW496" i="1"/>
  <c r="AU459" i="1"/>
  <c r="AW447" i="1"/>
  <c r="AU416" i="1"/>
  <c r="AU362" i="1"/>
  <c r="AU177" i="1"/>
  <c r="AW154" i="1"/>
  <c r="AW61" i="1"/>
  <c r="AV10" i="1"/>
  <c r="AV1037" i="1"/>
  <c r="AV418" i="1"/>
  <c r="AW215" i="1"/>
  <c r="AV997" i="1"/>
  <c r="AW191" i="1"/>
  <c r="AU197" i="1"/>
  <c r="AW1050" i="1"/>
  <c r="AV1112" i="1"/>
  <c r="AW899" i="1"/>
  <c r="AU84" i="1"/>
  <c r="AV1040" i="1"/>
  <c r="AU975" i="1"/>
  <c r="AW694" i="1"/>
  <c r="AV15" i="1"/>
  <c r="AU917" i="1"/>
  <c r="AW576" i="1"/>
  <c r="AU932" i="1"/>
  <c r="AU850" i="1"/>
  <c r="AU649" i="1"/>
  <c r="AW1035" i="1"/>
  <c r="AU1000" i="1"/>
  <c r="AW970" i="1"/>
  <c r="AV948" i="1"/>
  <c r="AU942" i="1"/>
  <c r="AV893" i="1"/>
  <c r="AU882" i="1"/>
  <c r="AU825" i="1"/>
  <c r="AU590" i="1"/>
  <c r="AU563" i="1"/>
  <c r="AU551" i="1"/>
  <c r="AV357" i="1"/>
  <c r="AU293" i="1"/>
  <c r="AU287" i="1"/>
  <c r="AW171" i="1"/>
  <c r="AU165" i="1"/>
  <c r="AW159" i="1"/>
  <c r="AU89" i="1"/>
  <c r="AU192" i="1"/>
  <c r="AV1032" i="1"/>
  <c r="AU184" i="1"/>
  <c r="AW894" i="1"/>
  <c r="AW689" i="1"/>
  <c r="AW202" i="1"/>
  <c r="AV1078" i="1"/>
  <c r="AW995" i="1"/>
  <c r="AV958" i="1"/>
  <c r="AU898" i="1"/>
  <c r="AW699" i="1"/>
  <c r="AW633" i="1"/>
  <c r="AU588" i="1"/>
  <c r="AV80" i="1"/>
  <c r="AU554" i="1"/>
  <c r="AW486" i="1"/>
  <c r="AW1075" i="1"/>
  <c r="AU320" i="1"/>
  <c r="AW884" i="1"/>
  <c r="AU497" i="1"/>
  <c r="AV883" i="1"/>
  <c r="AW581" i="1"/>
  <c r="AV1125" i="1"/>
  <c r="AV1048" i="1"/>
  <c r="AU876" i="1"/>
  <c r="AV778" i="1"/>
  <c r="AU743" i="1"/>
  <c r="AV704" i="1"/>
  <c r="AU595" i="1"/>
  <c r="AW446" i="1"/>
  <c r="AV351" i="1"/>
  <c r="AW195" i="1"/>
  <c r="AU49" i="1"/>
  <c r="AU977" i="1"/>
  <c r="AU627" i="1"/>
  <c r="AV938" i="1"/>
  <c r="AU126" i="1"/>
  <c r="AU927" i="1"/>
  <c r="AV347" i="1"/>
  <c r="AV1093" i="1"/>
  <c r="AU867" i="1"/>
  <c r="AU762" i="1"/>
  <c r="AU172" i="1"/>
  <c r="AW1010" i="1"/>
  <c r="AU892" i="1"/>
  <c r="AW830" i="1"/>
  <c r="AW754" i="1"/>
  <c r="AV482" i="1"/>
  <c r="AV317" i="1"/>
  <c r="AV305" i="1"/>
  <c r="AW152" i="1"/>
  <c r="AV3" i="1"/>
  <c r="AV992" i="1"/>
  <c r="AW944" i="1"/>
  <c r="AV85" i="1"/>
  <c r="AU587" i="1"/>
  <c r="AV336" i="1"/>
  <c r="AW960" i="1"/>
  <c r="AW698" i="1"/>
  <c r="AU605" i="1"/>
  <c r="AV361" i="1"/>
  <c r="AU111" i="1"/>
  <c r="AU76" i="1"/>
  <c r="AU54" i="1"/>
  <c r="AV19" i="1"/>
  <c r="AW799" i="1"/>
  <c r="AV370" i="1"/>
  <c r="AV162" i="1"/>
  <c r="AU639" i="1"/>
  <c r="AW430" i="1"/>
  <c r="AU838" i="1"/>
  <c r="AW208" i="1"/>
  <c r="AU96" i="1"/>
  <c r="AU734" i="1"/>
  <c r="AU573" i="1"/>
  <c r="AV396" i="1"/>
  <c r="AU200" i="1"/>
  <c r="AW181" i="1"/>
  <c r="AW164" i="1"/>
  <c r="AU492" i="1"/>
  <c r="AW1085" i="1"/>
  <c r="AV839" i="1"/>
  <c r="AV358" i="1"/>
  <c r="AW546" i="1"/>
  <c r="AV330" i="1"/>
  <c r="AW919" i="1"/>
  <c r="AV1043" i="1"/>
  <c r="AV1028" i="1"/>
  <c r="AV1013" i="1"/>
  <c r="AV988" i="1"/>
  <c r="AV968" i="1"/>
  <c r="AU924" i="1"/>
  <c r="AV617" i="1"/>
  <c r="AW561" i="1"/>
  <c r="AW506" i="1"/>
  <c r="AU433" i="1"/>
  <c r="AW408" i="1"/>
  <c r="AV205" i="1"/>
  <c r="AU187" i="1"/>
  <c r="AU972" i="1"/>
  <c r="AW516" i="1"/>
  <c r="AU341" i="1"/>
  <c r="AW1100" i="1"/>
  <c r="AV1090" i="1"/>
  <c r="AV858" i="1"/>
  <c r="AV829" i="1"/>
  <c r="AV823" i="1"/>
  <c r="AU759" i="1"/>
  <c r="AV753" i="1"/>
  <c r="AU634" i="1"/>
  <c r="AU543" i="1"/>
  <c r="AU512" i="1"/>
  <c r="AU426" i="1"/>
  <c r="AU371" i="1"/>
  <c r="AV321" i="1"/>
  <c r="AU279" i="1"/>
  <c r="AU199" i="1"/>
  <c r="AU169" i="1"/>
  <c r="AU99" i="1"/>
  <c r="AU59" i="1"/>
  <c r="AW857" i="1"/>
  <c r="AV933" i="1"/>
  <c r="AV868" i="1"/>
  <c r="AV40" i="1"/>
  <c r="AU34" i="1"/>
  <c r="AW466" i="1"/>
  <c r="AV1067" i="1"/>
  <c r="AV918" i="1"/>
  <c r="AU907" i="1"/>
  <c r="AW628" i="1"/>
  <c r="AU610" i="1"/>
  <c r="AV572" i="1"/>
  <c r="AV560" i="1"/>
  <c r="AU555" i="1"/>
  <c r="AU438" i="1"/>
  <c r="AV1017" i="1"/>
  <c r="AV1103" i="1"/>
  <c r="AU1011" i="1"/>
  <c r="AU423" i="1"/>
  <c r="AW1110" i="1"/>
  <c r="AV908" i="1"/>
  <c r="AV1082" i="1"/>
  <c r="AU1022" i="1"/>
  <c r="AV945" i="1"/>
  <c r="AW840" i="1"/>
  <c r="AU651" i="1"/>
  <c r="AU583" i="1"/>
  <c r="AW560" i="1"/>
  <c r="AW542" i="1"/>
  <c r="AU511" i="1"/>
  <c r="AV382" i="1"/>
  <c r="AW216" i="1"/>
  <c r="AU614" i="1"/>
  <c r="AW614" i="1"/>
  <c r="AU815" i="1"/>
  <c r="AV815" i="1"/>
  <c r="AV744" i="1"/>
  <c r="AW849" i="1"/>
  <c r="AV1035" i="1"/>
  <c r="AV970" i="1"/>
  <c r="AU808" i="1"/>
  <c r="AV808" i="1"/>
  <c r="AW749" i="1"/>
  <c r="AV749" i="1"/>
  <c r="AU654" i="1"/>
  <c r="AV654" i="1"/>
  <c r="AW654" i="1"/>
  <c r="AU624" i="1"/>
  <c r="AV624" i="1"/>
  <c r="AW624" i="1"/>
  <c r="AU659" i="1"/>
  <c r="AV659" i="1"/>
  <c r="AW659" i="1"/>
  <c r="AV1110" i="1"/>
  <c r="AV1023" i="1"/>
  <c r="AV983" i="1"/>
  <c r="AW824" i="1"/>
  <c r="AV824" i="1"/>
  <c r="AU748" i="1"/>
  <c r="AV748" i="1"/>
  <c r="AW709" i="1"/>
  <c r="AV1105" i="1"/>
  <c r="AV1100" i="1"/>
  <c r="AV847" i="1"/>
  <c r="AV664" i="1"/>
  <c r="AV1003" i="1"/>
  <c r="AU729" i="1"/>
  <c r="AV729" i="1"/>
  <c r="AU669" i="1"/>
  <c r="AW669" i="1"/>
  <c r="AV799" i="1"/>
  <c r="AU793" i="1"/>
  <c r="AV793" i="1"/>
  <c r="AW769" i="1"/>
  <c r="AV769" i="1"/>
  <c r="AU758" i="1"/>
  <c r="AV758" i="1"/>
  <c r="AU724" i="1"/>
  <c r="AV724" i="1"/>
  <c r="AV768" i="1"/>
  <c r="AU768" i="1"/>
  <c r="AV1098" i="1"/>
  <c r="AV1075" i="1"/>
  <c r="AV763" i="1"/>
  <c r="AU609" i="1"/>
  <c r="AW609" i="1"/>
  <c r="AU1069" i="1"/>
  <c r="AU1051" i="1"/>
  <c r="AU1044" i="1"/>
  <c r="AU1026" i="1"/>
  <c r="AU1019" i="1"/>
  <c r="AU1008" i="1"/>
  <c r="AW1000" i="1"/>
  <c r="AU986" i="1"/>
  <c r="AU979" i="1"/>
  <c r="AV975" i="1"/>
  <c r="AU961" i="1"/>
  <c r="AU946" i="1"/>
  <c r="AU903" i="1"/>
  <c r="AU741" i="1"/>
  <c r="AV392" i="1"/>
  <c r="AV197" i="1"/>
  <c r="AW197" i="1"/>
  <c r="AU144" i="1"/>
  <c r="AV45" i="1"/>
  <c r="AV1022" i="1"/>
  <c r="AU1004" i="1"/>
  <c r="AU982" i="1"/>
  <c r="AU950" i="1"/>
  <c r="AU916" i="1"/>
  <c r="AV898" i="1"/>
  <c r="AU894" i="1"/>
  <c r="AU881" i="1"/>
  <c r="AU854" i="1"/>
  <c r="AU833" i="1"/>
  <c r="AV788" i="1"/>
  <c r="AV783" i="1"/>
  <c r="AW773" i="1"/>
  <c r="AU773" i="1"/>
  <c r="AV773" i="1"/>
  <c r="AU301" i="1"/>
  <c r="AV301" i="1"/>
  <c r="AU51" i="1"/>
  <c r="AW51" i="1"/>
  <c r="AU1112" i="1"/>
  <c r="AU1030" i="1"/>
  <c r="AU965" i="1"/>
  <c r="AU886" i="1"/>
  <c r="AU1058" i="1"/>
  <c r="AU1033" i="1"/>
  <c r="AU1015" i="1"/>
  <c r="AU993" i="1"/>
  <c r="AU968" i="1"/>
  <c r="AU933" i="1"/>
  <c r="AW924" i="1"/>
  <c r="AW862" i="1"/>
  <c r="AV838" i="1"/>
  <c r="AU783" i="1"/>
  <c r="AW778" i="1"/>
  <c r="AU778" i="1"/>
  <c r="AU754" i="1"/>
  <c r="AV754" i="1"/>
  <c r="AU731" i="1"/>
  <c r="AW644" i="1"/>
  <c r="AV639" i="1"/>
  <c r="AW639" i="1"/>
  <c r="AU519" i="1"/>
  <c r="AV352" i="1"/>
  <c r="AV307" i="1"/>
  <c r="AU1062" i="1"/>
  <c r="AU1101" i="1"/>
  <c r="AW763" i="1"/>
  <c r="AU763" i="1"/>
  <c r="AV525" i="1"/>
  <c r="AW525" i="1"/>
  <c r="AU50" i="1"/>
  <c r="AV50" i="1"/>
  <c r="AU1086" i="1"/>
  <c r="AU1079" i="1"/>
  <c r="AU1061" i="1"/>
  <c r="AU1054" i="1"/>
  <c r="AU1036" i="1"/>
  <c r="AU1029" i="1"/>
  <c r="AU996" i="1"/>
  <c r="AU989" i="1"/>
  <c r="AU971" i="1"/>
  <c r="AU964" i="1"/>
  <c r="AU953" i="1"/>
  <c r="AU911" i="1"/>
  <c r="AU889" i="1"/>
  <c r="AU843" i="1"/>
  <c r="AW788" i="1"/>
  <c r="AU749" i="1"/>
  <c r="AV644" i="1"/>
  <c r="AU592" i="1"/>
  <c r="AV592" i="1"/>
  <c r="AU451" i="1"/>
  <c r="AV440" i="1"/>
  <c r="AU440" i="1"/>
  <c r="AU367" i="1"/>
  <c r="AV367" i="1"/>
  <c r="AU312" i="1"/>
  <c r="AV312" i="1"/>
  <c r="AV250" i="1"/>
  <c r="AW250" i="1"/>
  <c r="AW56" i="1"/>
  <c r="AU1037" i="1"/>
  <c r="AU1065" i="1"/>
  <c r="AU1111" i="1"/>
  <c r="AU1007" i="1"/>
  <c r="AU928" i="1"/>
  <c r="AU871" i="1"/>
  <c r="AW808" i="1"/>
  <c r="AW684" i="1"/>
  <c r="AU617" i="1"/>
  <c r="AU506" i="1"/>
  <c r="AU469" i="1"/>
  <c r="AU250" i="1"/>
  <c r="AW225" i="1"/>
  <c r="AU225" i="1"/>
  <c r="AV225" i="1"/>
  <c r="AU95" i="1"/>
  <c r="AV95" i="1"/>
  <c r="AU1119" i="1"/>
  <c r="AU1108" i="1"/>
  <c r="AU1040" i="1"/>
  <c r="AU1104" i="1"/>
  <c r="AU1122" i="1"/>
  <c r="AU1093" i="1"/>
  <c r="AU1068" i="1"/>
  <c r="AU1043" i="1"/>
  <c r="AU1018" i="1"/>
  <c r="AU978" i="1"/>
  <c r="AU941" i="1"/>
  <c r="AU919" i="1"/>
  <c r="AU893" i="1"/>
  <c r="AW758" i="1"/>
  <c r="AV714" i="1"/>
  <c r="AV699" i="1"/>
  <c r="AV694" i="1"/>
  <c r="AV689" i="1"/>
  <c r="AV684" i="1"/>
  <c r="AU322" i="1"/>
  <c r="AV322" i="1"/>
  <c r="AV306" i="1"/>
  <c r="AU189" i="1"/>
  <c r="AV189" i="1"/>
  <c r="AW189" i="1"/>
  <c r="AV629" i="1"/>
  <c r="AU1083" i="1"/>
  <c r="AU1072" i="1"/>
  <c r="AU1050" i="1"/>
  <c r="AU1014" i="1"/>
  <c r="AU992" i="1"/>
  <c r="AU985" i="1"/>
  <c r="AU960" i="1"/>
  <c r="AU956" i="1"/>
  <c r="AU945" i="1"/>
  <c r="AU906" i="1"/>
  <c r="AU866" i="1"/>
  <c r="AU744" i="1"/>
  <c r="AW664" i="1"/>
  <c r="AV530" i="1"/>
  <c r="AW530" i="1"/>
  <c r="AV372" i="1"/>
  <c r="AU990" i="1"/>
  <c r="AU1076" i="1"/>
  <c r="AU1003" i="1"/>
  <c r="AU1114" i="1"/>
  <c r="AU1089" i="1"/>
  <c r="AU1071" i="1"/>
  <c r="AU1064" i="1"/>
  <c r="AU1046" i="1"/>
  <c r="AU1039" i="1"/>
  <c r="AU1021" i="1"/>
  <c r="AU999" i="1"/>
  <c r="AU981" i="1"/>
  <c r="AU974" i="1"/>
  <c r="AU923" i="1"/>
  <c r="AV734" i="1"/>
  <c r="AV709" i="1"/>
  <c r="AW704" i="1"/>
  <c r="AU679" i="1"/>
  <c r="AU674" i="1"/>
  <c r="AV669" i="1"/>
  <c r="AU637" i="1"/>
  <c r="AW591" i="1"/>
  <c r="AU176" i="1"/>
  <c r="AW176" i="1"/>
  <c r="AV100" i="1"/>
  <c r="AU100" i="1"/>
  <c r="AW71" i="1"/>
  <c r="AU66" i="1"/>
  <c r="AW66" i="1"/>
  <c r="AU55" i="1"/>
  <c r="AV55" i="1"/>
  <c r="AV25" i="1"/>
  <c r="AU1080" i="1"/>
  <c r="AU1090" i="1"/>
  <c r="AU1057" i="1"/>
  <c r="AU1032" i="1"/>
  <c r="AU1096" i="1"/>
  <c r="AU1125" i="1"/>
  <c r="AU1010" i="1"/>
  <c r="AU936" i="1"/>
  <c r="AU888" i="1"/>
  <c r="AW753" i="1"/>
  <c r="AW739" i="1"/>
  <c r="AW734" i="1"/>
  <c r="AW595" i="1"/>
  <c r="AU432" i="1"/>
  <c r="AU356" i="1"/>
  <c r="AU350" i="1"/>
  <c r="AV350" i="1"/>
  <c r="AW350" i="1"/>
  <c r="AV176" i="1"/>
  <c r="AV14" i="1"/>
  <c r="AU1123" i="1"/>
  <c r="AU1097" i="1"/>
  <c r="AU1129" i="1"/>
  <c r="AU1025" i="1"/>
  <c r="AU1121" i="1"/>
  <c r="AU1103" i="1"/>
  <c r="AU1078" i="1"/>
  <c r="AU1053" i="1"/>
  <c r="AU1028" i="1"/>
  <c r="AU1006" i="1"/>
  <c r="AU988" i="1"/>
  <c r="AU963" i="1"/>
  <c r="AU948" i="1"/>
  <c r="AU901" i="1"/>
  <c r="AU861" i="1"/>
  <c r="AW825" i="1"/>
  <c r="AU761" i="1"/>
  <c r="AW653" i="1"/>
  <c r="AW600" i="1"/>
  <c r="AV590" i="1"/>
  <c r="AU548" i="1"/>
  <c r="AV432" i="1"/>
  <c r="AU327" i="1"/>
  <c r="AV327" i="1"/>
  <c r="AV292" i="1"/>
  <c r="AW144" i="1"/>
  <c r="AV144" i="1"/>
  <c r="AU1047" i="1"/>
  <c r="AU1082" i="1"/>
  <c r="AU1060" i="1"/>
  <c r="AU1042" i="1"/>
  <c r="AU1035" i="1"/>
  <c r="AU1017" i="1"/>
  <c r="AU995" i="1"/>
  <c r="AU970" i="1"/>
  <c r="AU959" i="1"/>
  <c r="AU944" i="1"/>
  <c r="AU918" i="1"/>
  <c r="AU883" i="1"/>
  <c r="AU874" i="1"/>
  <c r="AW663" i="1"/>
  <c r="AV535" i="1"/>
  <c r="AW535" i="1"/>
  <c r="AV377" i="1"/>
  <c r="AU316" i="1"/>
  <c r="AV316" i="1"/>
  <c r="AU60" i="1"/>
  <c r="AV60" i="1"/>
  <c r="AU839" i="1"/>
  <c r="AU1085" i="1"/>
  <c r="AU1049" i="1"/>
  <c r="AU1002" i="1"/>
  <c r="AU991" i="1"/>
  <c r="AU984" i="1"/>
  <c r="AU966" i="1"/>
  <c r="AU931" i="1"/>
  <c r="AU909" i="1"/>
  <c r="AW708" i="1"/>
  <c r="AV595" i="1"/>
  <c r="AW326" i="1"/>
  <c r="AV326" i="1"/>
  <c r="AU310" i="1"/>
  <c r="AW81" i="1"/>
  <c r="AU1081" i="1"/>
  <c r="AU1128" i="1"/>
  <c r="AU1013" i="1"/>
  <c r="AU896" i="1"/>
  <c r="AU856" i="1"/>
  <c r="AW743" i="1"/>
  <c r="AV743" i="1"/>
  <c r="AW693" i="1"/>
  <c r="AW683" i="1"/>
  <c r="AU647" i="1"/>
  <c r="AV437" i="1"/>
  <c r="AU437" i="1"/>
  <c r="AU382" i="1"/>
  <c r="AV337" i="1"/>
  <c r="AU326" i="1"/>
  <c r="AW315" i="1"/>
  <c r="AU315" i="1"/>
  <c r="AV315" i="1"/>
  <c r="AW36" i="1"/>
  <c r="AU997" i="1"/>
  <c r="AU938" i="1"/>
  <c r="AV614" i="1"/>
  <c r="AU1126" i="1"/>
  <c r="AU1117" i="1"/>
  <c r="AU1113" i="1"/>
  <c r="AU1088" i="1"/>
  <c r="AU1063" i="1"/>
  <c r="AU1038" i="1"/>
  <c r="AU1009" i="1"/>
  <c r="AU998" i="1"/>
  <c r="AU973" i="1"/>
  <c r="AU955" i="1"/>
  <c r="AU951" i="1"/>
  <c r="AU913" i="1"/>
  <c r="AU835" i="1"/>
  <c r="AU830" i="1"/>
  <c r="AW738" i="1"/>
  <c r="AW723" i="1"/>
  <c r="AU652" i="1"/>
  <c r="AU553" i="1"/>
  <c r="AW413" i="1"/>
  <c r="AU413" i="1"/>
  <c r="AV291" i="1"/>
  <c r="AV210" i="1"/>
  <c r="AW210" i="1"/>
  <c r="AV186" i="1"/>
  <c r="AW186" i="1"/>
  <c r="AU86" i="1"/>
  <c r="AW86" i="1"/>
  <c r="AU41" i="1"/>
  <c r="AW41" i="1"/>
  <c r="AV18" i="1"/>
  <c r="AU1055" i="1"/>
  <c r="AW634" i="1"/>
  <c r="AU1075" i="1"/>
  <c r="AU1092" i="1"/>
  <c r="AU1099" i="1"/>
  <c r="AU1074" i="1"/>
  <c r="AU1124" i="1"/>
  <c r="AW1105" i="1"/>
  <c r="AU1102" i="1"/>
  <c r="AU1095" i="1"/>
  <c r="AW1080" i="1"/>
  <c r="AU1077" i="1"/>
  <c r="AU1070" i="1"/>
  <c r="AW1055" i="1"/>
  <c r="AU1052" i="1"/>
  <c r="AU1045" i="1"/>
  <c r="AW1030" i="1"/>
  <c r="AU1027" i="1"/>
  <c r="AU1020" i="1"/>
  <c r="AW990" i="1"/>
  <c r="AU987" i="1"/>
  <c r="AU980" i="1"/>
  <c r="AW965" i="1"/>
  <c r="AU926" i="1"/>
  <c r="AV540" i="1"/>
  <c r="AW540" i="1"/>
  <c r="AU297" i="1"/>
  <c r="AU210" i="1"/>
  <c r="AU186" i="1"/>
  <c r="AU110" i="1"/>
  <c r="AV110" i="1"/>
  <c r="AU75" i="1"/>
  <c r="AV75" i="1"/>
  <c r="AU1087" i="1"/>
  <c r="AU1118" i="1"/>
  <c r="AU1056" i="1"/>
  <c r="AU1120" i="1"/>
  <c r="AU1109" i="1"/>
  <c r="AU1091" i="1"/>
  <c r="AU1084" i="1"/>
  <c r="AV1080" i="1"/>
  <c r="AU1066" i="1"/>
  <c r="AU1059" i="1"/>
  <c r="AV1055" i="1"/>
  <c r="AU1041" i="1"/>
  <c r="AU1034" i="1"/>
  <c r="AV1030" i="1"/>
  <c r="AU1016" i="1"/>
  <c r="AU1005" i="1"/>
  <c r="AU994" i="1"/>
  <c r="AV990" i="1"/>
  <c r="AU976" i="1"/>
  <c r="AU969" i="1"/>
  <c r="AV965" i="1"/>
  <c r="AU943" i="1"/>
  <c r="AU891" i="1"/>
  <c r="AU840" i="1"/>
  <c r="AU774" i="1"/>
  <c r="AV759" i="1"/>
  <c r="AU712" i="1"/>
  <c r="AU672" i="1"/>
  <c r="AW629" i="1"/>
  <c r="AU509" i="1"/>
  <c r="AU448" i="1"/>
  <c r="AU1105" i="1"/>
  <c r="AU1115" i="1"/>
  <c r="AU1107" i="1"/>
  <c r="AU1110" i="1"/>
  <c r="AU1067" i="1"/>
  <c r="AU1106" i="1"/>
  <c r="AU1024" i="1"/>
  <c r="AV1123" i="1"/>
  <c r="AU1116" i="1"/>
  <c r="AV1008" i="1"/>
  <c r="AU1001" i="1"/>
  <c r="AU958" i="1"/>
  <c r="AW950" i="1"/>
  <c r="AU908" i="1"/>
  <c r="AU868" i="1"/>
  <c r="AU845" i="1"/>
  <c r="AV789" i="1"/>
  <c r="AU764" i="1"/>
  <c r="AV764" i="1"/>
  <c r="AW759" i="1"/>
  <c r="AU742" i="1"/>
  <c r="AU682" i="1"/>
  <c r="AU677" i="1"/>
  <c r="AV634" i="1"/>
  <c r="AU46" i="1"/>
  <c r="AW46" i="1"/>
  <c r="AU35" i="1"/>
  <c r="AV35" i="1"/>
  <c r="AU799" i="1"/>
  <c r="AU1094" i="1"/>
  <c r="AU1100" i="1"/>
  <c r="AU1031" i="1"/>
  <c r="AU1127" i="1"/>
  <c r="AU1098" i="1"/>
  <c r="AU1073" i="1"/>
  <c r="AU1048" i="1"/>
  <c r="AU1023" i="1"/>
  <c r="AU1012" i="1"/>
  <c r="AU983" i="1"/>
  <c r="AV950" i="1"/>
  <c r="AU921" i="1"/>
  <c r="AU789" i="1"/>
  <c r="AU484" i="1"/>
  <c r="AU342" i="1"/>
  <c r="AV342" i="1"/>
  <c r="AU331" i="1"/>
  <c r="AV331" i="1"/>
  <c r="AU296" i="1"/>
  <c r="AV296" i="1"/>
  <c r="AU240" i="1"/>
  <c r="AV240" i="1"/>
  <c r="AU215" i="1"/>
  <c r="AU613" i="1"/>
  <c r="AU603" i="1"/>
  <c r="AW552" i="1"/>
  <c r="AU516" i="1"/>
  <c r="AV483" i="1"/>
  <c r="AU466" i="1"/>
  <c r="AW435" i="1"/>
  <c r="AV425" i="1"/>
  <c r="AU388" i="1"/>
  <c r="AU259" i="1"/>
  <c r="AW231" i="1"/>
  <c r="AU205" i="1"/>
  <c r="AV192" i="1"/>
  <c r="AV142" i="1"/>
  <c r="AW110" i="1"/>
  <c r="AW35" i="1"/>
  <c r="AW341" i="1"/>
  <c r="AW30" i="1"/>
  <c r="AW585" i="1"/>
  <c r="AU581" i="1"/>
  <c r="AU566" i="1"/>
  <c r="AU561" i="1"/>
  <c r="AW541" i="1"/>
  <c r="AW536" i="1"/>
  <c r="AW531" i="1"/>
  <c r="AW526" i="1"/>
  <c r="AW521" i="1"/>
  <c r="AU415" i="1"/>
  <c r="AW410" i="1"/>
  <c r="AW311" i="1"/>
  <c r="AU201" i="1"/>
  <c r="AU179" i="1"/>
  <c r="AV165" i="1"/>
  <c r="AW105" i="1"/>
  <c r="AW65" i="1"/>
  <c r="AW361" i="1"/>
  <c r="AW336" i="1"/>
  <c r="AU769" i="1"/>
  <c r="AW597" i="1"/>
  <c r="AU593" i="1"/>
  <c r="AW571" i="1"/>
  <c r="AW556" i="1"/>
  <c r="AW551" i="1"/>
  <c r="AU476" i="1"/>
  <c r="AU264" i="1"/>
  <c r="AV191" i="1"/>
  <c r="AV160" i="1"/>
  <c r="AW100" i="1"/>
  <c r="AV11" i="1"/>
  <c r="AW748" i="1"/>
  <c r="AU706" i="1"/>
  <c r="AU692" i="1"/>
  <c r="AW673" i="1"/>
  <c r="AV487" i="1"/>
  <c r="AU453" i="1"/>
  <c r="AW331" i="1"/>
  <c r="AW310" i="1"/>
  <c r="AU209" i="1"/>
  <c r="AW60" i="1"/>
  <c r="AV24" i="1"/>
  <c r="AU204" i="1"/>
  <c r="AU606" i="1"/>
  <c r="AU570" i="1"/>
  <c r="AU565" i="1"/>
  <c r="AU550" i="1"/>
  <c r="AU545" i="1"/>
  <c r="AU540" i="1"/>
  <c r="AU535" i="1"/>
  <c r="AU530" i="1"/>
  <c r="AU525" i="1"/>
  <c r="AW481" i="1"/>
  <c r="AW438" i="1"/>
  <c r="AW218" i="1"/>
  <c r="AW363" i="1"/>
  <c r="AW306" i="1"/>
  <c r="AU269" i="1"/>
  <c r="AU208" i="1"/>
  <c r="AW122" i="1"/>
  <c r="AW55" i="1"/>
  <c r="AV497" i="1"/>
  <c r="AW433" i="1"/>
  <c r="AU418" i="1"/>
  <c r="AU228" i="1"/>
  <c r="AU195" i="1"/>
  <c r="AU28" i="1"/>
  <c r="AV5" i="1"/>
  <c r="AW321" i="1"/>
  <c r="AW85" i="1"/>
  <c r="AU777" i="1"/>
  <c r="AW768" i="1"/>
  <c r="AU676" i="1"/>
  <c r="AV502" i="1"/>
  <c r="AW491" i="1"/>
  <c r="AU363" i="1"/>
  <c r="AW305" i="1"/>
  <c r="AW301" i="1"/>
  <c r="AU268" i="1"/>
  <c r="AW223" i="1"/>
  <c r="AU203" i="1"/>
  <c r="AW50" i="1"/>
  <c r="AU496" i="1"/>
  <c r="AU396" i="1"/>
  <c r="AW351" i="1"/>
  <c r="AW296" i="1"/>
  <c r="AV172" i="1"/>
  <c r="AV4" i="1"/>
  <c r="AW291" i="1"/>
  <c r="AW80" i="1"/>
  <c r="AV518" i="1"/>
  <c r="AU507" i="1"/>
  <c r="AV468" i="1"/>
  <c r="AV385" i="1"/>
  <c r="AV320" i="1"/>
  <c r="AW286" i="1"/>
  <c r="AW261" i="1"/>
  <c r="AU239" i="1"/>
  <c r="AW211" i="1"/>
  <c r="AU157" i="1"/>
  <c r="AW45" i="1"/>
  <c r="AV9" i="1"/>
  <c r="AV618" i="1"/>
  <c r="AV587" i="1"/>
  <c r="AV512" i="1"/>
  <c r="AW501" i="1"/>
  <c r="AV462" i="1"/>
  <c r="AW441" i="1"/>
  <c r="AV416" i="1"/>
  <c r="AV406" i="1"/>
  <c r="AU395" i="1"/>
  <c r="AV375" i="1"/>
  <c r="AU162" i="1"/>
  <c r="AV152" i="1"/>
  <c r="AW316" i="1"/>
  <c r="AW226" i="1"/>
  <c r="AW75" i="1"/>
  <c r="AW456" i="1"/>
  <c r="AW436" i="1"/>
  <c r="AU421" i="1"/>
  <c r="AU400" i="1"/>
  <c r="AW370" i="1"/>
  <c r="AU358" i="1"/>
  <c r="AV215" i="1"/>
  <c r="AU202" i="1"/>
  <c r="AW40" i="1"/>
  <c r="AV17" i="1"/>
  <c r="AV478" i="1"/>
  <c r="AW266" i="1"/>
  <c r="AW205" i="1"/>
  <c r="AV185" i="1"/>
  <c r="AV30" i="1"/>
  <c r="AV13" i="1"/>
  <c r="AW586" i="1"/>
  <c r="AW582" i="1"/>
  <c r="AW547" i="1"/>
  <c r="AW511" i="1"/>
  <c r="AW461" i="1"/>
  <c r="AW450" i="1"/>
  <c r="AW405" i="1"/>
  <c r="AW366" i="1"/>
  <c r="AV311" i="1"/>
  <c r="AW179" i="1"/>
  <c r="AU105" i="1"/>
  <c r="AW70" i="1"/>
  <c r="AV65" i="1"/>
  <c r="AU880" i="1"/>
  <c r="AV880" i="1"/>
  <c r="AW880" i="1"/>
  <c r="AU848" i="1"/>
  <c r="AV848" i="1"/>
  <c r="AU828" i="1"/>
  <c r="AV828" i="1"/>
  <c r="AW809" i="1"/>
  <c r="AV809" i="1"/>
  <c r="AU949" i="1"/>
  <c r="AU915" i="1"/>
  <c r="AW814" i="1"/>
  <c r="AV814" i="1"/>
  <c r="AU875" i="1"/>
  <c r="AV875" i="1"/>
  <c r="AW875" i="1"/>
  <c r="AU884" i="1"/>
  <c r="AU803" i="1"/>
  <c r="AV803" i="1"/>
  <c r="AU910" i="1"/>
  <c r="AU870" i="1"/>
  <c r="AV870" i="1"/>
  <c r="AW870" i="1"/>
  <c r="AU813" i="1"/>
  <c r="AV940" i="1"/>
  <c r="AW940" i="1"/>
  <c r="AU914" i="1"/>
  <c r="AU879" i="1"/>
  <c r="AW852" i="1"/>
  <c r="AU818" i="1"/>
  <c r="AU940" i="1"/>
  <c r="AU905" i="1"/>
  <c r="AV905" i="1"/>
  <c r="AW905" i="1"/>
  <c r="AU865" i="1"/>
  <c r="AV865" i="1"/>
  <c r="AW865" i="1"/>
  <c r="AV935" i="1"/>
  <c r="AW935" i="1"/>
  <c r="AU935" i="1"/>
  <c r="AU900" i="1"/>
  <c r="AV900" i="1"/>
  <c r="AW900" i="1"/>
  <c r="AU878" i="1"/>
  <c r="AU869" i="1"/>
  <c r="AU860" i="1"/>
  <c r="AV860" i="1"/>
  <c r="AW860" i="1"/>
  <c r="AU939" i="1"/>
  <c r="AV930" i="1"/>
  <c r="AW930" i="1"/>
  <c r="AU904" i="1"/>
  <c r="AU873" i="1"/>
  <c r="AU864" i="1"/>
  <c r="AU930" i="1"/>
  <c r="AU895" i="1"/>
  <c r="AV895" i="1"/>
  <c r="AW895" i="1"/>
  <c r="AU855" i="1"/>
  <c r="AV855" i="1"/>
  <c r="AW855" i="1"/>
  <c r="AU934" i="1"/>
  <c r="AU954" i="1"/>
  <c r="AV925" i="1"/>
  <c r="AW925" i="1"/>
  <c r="AU899" i="1"/>
  <c r="AU859" i="1"/>
  <c r="AU925" i="1"/>
  <c r="AU890" i="1"/>
  <c r="AV890" i="1"/>
  <c r="AW890" i="1"/>
  <c r="AU863" i="1"/>
  <c r="AU929" i="1"/>
  <c r="AV920" i="1"/>
  <c r="AW920" i="1"/>
  <c r="AV844" i="1"/>
  <c r="AW844" i="1"/>
  <c r="AV834" i="1"/>
  <c r="AW834" i="1"/>
  <c r="AU920" i="1"/>
  <c r="AU885" i="1"/>
  <c r="AV885" i="1"/>
  <c r="AW885" i="1"/>
  <c r="AU858" i="1"/>
  <c r="AU798" i="1"/>
  <c r="AV784" i="1"/>
  <c r="AW784" i="1"/>
  <c r="AU779" i="1"/>
  <c r="AU736" i="1"/>
  <c r="AU693" i="1"/>
  <c r="AV693" i="1"/>
  <c r="AU650" i="1"/>
  <c r="AV650" i="1"/>
  <c r="AW650" i="1"/>
  <c r="AU631" i="1"/>
  <c r="AW1125" i="1"/>
  <c r="AW1120" i="1"/>
  <c r="AW1115" i="1"/>
  <c r="AW853" i="1"/>
  <c r="AU827" i="1"/>
  <c r="AV827" i="1"/>
  <c r="AW827" i="1"/>
  <c r="AU811" i="1"/>
  <c r="AV811" i="1"/>
  <c r="AW811" i="1"/>
  <c r="AW803" i="1"/>
  <c r="AV779" i="1"/>
  <c r="AW779" i="1"/>
  <c r="AU757" i="1"/>
  <c r="AU717" i="1"/>
  <c r="AU688" i="1"/>
  <c r="AV688" i="1"/>
  <c r="AU645" i="1"/>
  <c r="AV645" i="1"/>
  <c r="AW645" i="1"/>
  <c r="AV1015" i="1"/>
  <c r="AV1010" i="1"/>
  <c r="AV1005" i="1"/>
  <c r="AV1000" i="1"/>
  <c r="AV915" i="1"/>
  <c r="AV910" i="1"/>
  <c r="AW845" i="1"/>
  <c r="AV830" i="1"/>
  <c r="AW823" i="1"/>
  <c r="AU819" i="1"/>
  <c r="AU807" i="1"/>
  <c r="AV807" i="1"/>
  <c r="AW807" i="1"/>
  <c r="AV774" i="1"/>
  <c r="AW774" i="1"/>
  <c r="AU765" i="1"/>
  <c r="AV765" i="1"/>
  <c r="AW765" i="1"/>
  <c r="AU726" i="1"/>
  <c r="AU707" i="1"/>
  <c r="AW688" i="1"/>
  <c r="AU683" i="1"/>
  <c r="AV683" i="1"/>
  <c r="AU640" i="1"/>
  <c r="AV640" i="1"/>
  <c r="AW640" i="1"/>
  <c r="AU849" i="1"/>
  <c r="AV845" i="1"/>
  <c r="AU842" i="1"/>
  <c r="AW842" i="1"/>
  <c r="AW798" i="1"/>
  <c r="AU735" i="1"/>
  <c r="AV735" i="1"/>
  <c r="AW735" i="1"/>
  <c r="AU721" i="1"/>
  <c r="AU702" i="1"/>
  <c r="AU678" i="1"/>
  <c r="AV678" i="1"/>
  <c r="AU635" i="1"/>
  <c r="AV635" i="1"/>
  <c r="AW635" i="1"/>
  <c r="AU612" i="1"/>
  <c r="AU834" i="1"/>
  <c r="AU826" i="1"/>
  <c r="AV826" i="1"/>
  <c r="AW826" i="1"/>
  <c r="AW793" i="1"/>
  <c r="AU756" i="1"/>
  <c r="AU730" i="1"/>
  <c r="AV730" i="1"/>
  <c r="AW730" i="1"/>
  <c r="AU716" i="1"/>
  <c r="AU711" i="1"/>
  <c r="AU697" i="1"/>
  <c r="AW678" i="1"/>
  <c r="AU673" i="1"/>
  <c r="AV673" i="1"/>
  <c r="AU630" i="1"/>
  <c r="AV630" i="1"/>
  <c r="AW630" i="1"/>
  <c r="AU607" i="1"/>
  <c r="AW1127" i="1"/>
  <c r="AW1122" i="1"/>
  <c r="AW1117" i="1"/>
  <c r="AW1112" i="1"/>
  <c r="AW1107" i="1"/>
  <c r="AW1102" i="1"/>
  <c r="AW1097" i="1"/>
  <c r="AW1092" i="1"/>
  <c r="AW1087" i="1"/>
  <c r="AW1082" i="1"/>
  <c r="AW1077" i="1"/>
  <c r="AW1072" i="1"/>
  <c r="AW1067" i="1"/>
  <c r="AW1062" i="1"/>
  <c r="AW1057" i="1"/>
  <c r="AW1052" i="1"/>
  <c r="AW1047" i="1"/>
  <c r="AW1042" i="1"/>
  <c r="AW1037" i="1"/>
  <c r="AW1032" i="1"/>
  <c r="AW1027" i="1"/>
  <c r="AW1022" i="1"/>
  <c r="AW1017" i="1"/>
  <c r="AW1012" i="1"/>
  <c r="AW1007" i="1"/>
  <c r="AW1002" i="1"/>
  <c r="AW997" i="1"/>
  <c r="AW992" i="1"/>
  <c r="AW987" i="1"/>
  <c r="AW982" i="1"/>
  <c r="AW977" i="1"/>
  <c r="AW972" i="1"/>
  <c r="AW967" i="1"/>
  <c r="AW962" i="1"/>
  <c r="AW957" i="1"/>
  <c r="AW952" i="1"/>
  <c r="AW947" i="1"/>
  <c r="AW942" i="1"/>
  <c r="AW937" i="1"/>
  <c r="AW932" i="1"/>
  <c r="AW927" i="1"/>
  <c r="AW922" i="1"/>
  <c r="AW917" i="1"/>
  <c r="AW912" i="1"/>
  <c r="AW907" i="1"/>
  <c r="AW902" i="1"/>
  <c r="AW897" i="1"/>
  <c r="AW892" i="1"/>
  <c r="AW887" i="1"/>
  <c r="AW882" i="1"/>
  <c r="AW877" i="1"/>
  <c r="AW872" i="1"/>
  <c r="AW867" i="1"/>
  <c r="AW838" i="1"/>
  <c r="AV818" i="1"/>
  <c r="AU810" i="1"/>
  <c r="AV810" i="1"/>
  <c r="AU806" i="1"/>
  <c r="AV806" i="1"/>
  <c r="AW806" i="1"/>
  <c r="AU802" i="1"/>
  <c r="AV802" i="1"/>
  <c r="AW802" i="1"/>
  <c r="AU760" i="1"/>
  <c r="AV760" i="1"/>
  <c r="AW760" i="1"/>
  <c r="AU752" i="1"/>
  <c r="AU725" i="1"/>
  <c r="AV725" i="1"/>
  <c r="AW725" i="1"/>
  <c r="AU668" i="1"/>
  <c r="AV668" i="1"/>
  <c r="AU625" i="1"/>
  <c r="AV625" i="1"/>
  <c r="AW625" i="1"/>
  <c r="AU580" i="1"/>
  <c r="AV982" i="1"/>
  <c r="AV977" i="1"/>
  <c r="AV972" i="1"/>
  <c r="AV967" i="1"/>
  <c r="AV962" i="1"/>
  <c r="AV957" i="1"/>
  <c r="AV952" i="1"/>
  <c r="AV947" i="1"/>
  <c r="AV942" i="1"/>
  <c r="AV937" i="1"/>
  <c r="AV932" i="1"/>
  <c r="AV927" i="1"/>
  <c r="AV922" i="1"/>
  <c r="AV917" i="1"/>
  <c r="AV912" i="1"/>
  <c r="AV907" i="1"/>
  <c r="AV902" i="1"/>
  <c r="AV897" i="1"/>
  <c r="AV892" i="1"/>
  <c r="AV887" i="1"/>
  <c r="AV882" i="1"/>
  <c r="AV877" i="1"/>
  <c r="AV872" i="1"/>
  <c r="AV867" i="1"/>
  <c r="AV862" i="1"/>
  <c r="AV857" i="1"/>
  <c r="AU841" i="1"/>
  <c r="AV841" i="1"/>
  <c r="AW841" i="1"/>
  <c r="AU822" i="1"/>
  <c r="AV822" i="1"/>
  <c r="AW822" i="1"/>
  <c r="AU720" i="1"/>
  <c r="AV720" i="1"/>
  <c r="AW720" i="1"/>
  <c r="AU701" i="1"/>
  <c r="AU687" i="1"/>
  <c r="AW668" i="1"/>
  <c r="AU663" i="1"/>
  <c r="AV663" i="1"/>
  <c r="AU620" i="1"/>
  <c r="AV620" i="1"/>
  <c r="AV833" i="1"/>
  <c r="AW829" i="1"/>
  <c r="AU814" i="1"/>
  <c r="AU797" i="1"/>
  <c r="AV797" i="1"/>
  <c r="AW797" i="1"/>
  <c r="AU755" i="1"/>
  <c r="AV755" i="1"/>
  <c r="AW755" i="1"/>
  <c r="AU696" i="1"/>
  <c r="AU658" i="1"/>
  <c r="AV658" i="1"/>
  <c r="AW620" i="1"/>
  <c r="AU852" i="1"/>
  <c r="AU801" i="1"/>
  <c r="AV801" i="1"/>
  <c r="AW801" i="1"/>
  <c r="AU792" i="1"/>
  <c r="AV792" i="1"/>
  <c r="AW792" i="1"/>
  <c r="AU751" i="1"/>
  <c r="AU715" i="1"/>
  <c r="AV715" i="1"/>
  <c r="AW715" i="1"/>
  <c r="AU710" i="1"/>
  <c r="AV710" i="1"/>
  <c r="AW710" i="1"/>
  <c r="AU691" i="1"/>
  <c r="AU653" i="1"/>
  <c r="AV653" i="1"/>
  <c r="AU615" i="1"/>
  <c r="AV615" i="1"/>
  <c r="AW615" i="1"/>
  <c r="AW1129" i="1"/>
  <c r="AW1124" i="1"/>
  <c r="AW1119" i="1"/>
  <c r="AW1114" i="1"/>
  <c r="AW1109" i="1"/>
  <c r="AW1104" i="1"/>
  <c r="AW1099" i="1"/>
  <c r="AW1094" i="1"/>
  <c r="AW1089" i="1"/>
  <c r="AW1084" i="1"/>
  <c r="AW1079" i="1"/>
  <c r="AW1074" i="1"/>
  <c r="AW1069" i="1"/>
  <c r="AW1064" i="1"/>
  <c r="AW1059" i="1"/>
  <c r="AW1054" i="1"/>
  <c r="AW1049" i="1"/>
  <c r="AW1044" i="1"/>
  <c r="AW1039" i="1"/>
  <c r="AW1034" i="1"/>
  <c r="AW1029" i="1"/>
  <c r="AW1024" i="1"/>
  <c r="AW1019" i="1"/>
  <c r="AW1014" i="1"/>
  <c r="AW1009" i="1"/>
  <c r="AW1004" i="1"/>
  <c r="AW999" i="1"/>
  <c r="AW994" i="1"/>
  <c r="AW989" i="1"/>
  <c r="AW984" i="1"/>
  <c r="AW979" i="1"/>
  <c r="AW974" i="1"/>
  <c r="AW969" i="1"/>
  <c r="AW964" i="1"/>
  <c r="AW959" i="1"/>
  <c r="AW954" i="1"/>
  <c r="AU837" i="1"/>
  <c r="AV837" i="1"/>
  <c r="AW837" i="1"/>
  <c r="AU821" i="1"/>
  <c r="AV821" i="1"/>
  <c r="AW821" i="1"/>
  <c r="AW818" i="1"/>
  <c r="AU787" i="1"/>
  <c r="AV787" i="1"/>
  <c r="AW787" i="1"/>
  <c r="AU747" i="1"/>
  <c r="AU705" i="1"/>
  <c r="AV705" i="1"/>
  <c r="AW705" i="1"/>
  <c r="AU648" i="1"/>
  <c r="AV648" i="1"/>
  <c r="AV1129" i="1"/>
  <c r="AV1124" i="1"/>
  <c r="AV1119" i="1"/>
  <c r="AV1114" i="1"/>
  <c r="AV1109" i="1"/>
  <c r="AV1104" i="1"/>
  <c r="AV1099" i="1"/>
  <c r="AV1094" i="1"/>
  <c r="AV1089" i="1"/>
  <c r="AV1084" i="1"/>
  <c r="AV1079" i="1"/>
  <c r="AV1074" i="1"/>
  <c r="AV1069" i="1"/>
  <c r="AV1064" i="1"/>
  <c r="AV1059" i="1"/>
  <c r="AV1054" i="1"/>
  <c r="AV1049" i="1"/>
  <c r="AV1044" i="1"/>
  <c r="AV1039" i="1"/>
  <c r="AV1034" i="1"/>
  <c r="AV1029" i="1"/>
  <c r="AV1024" i="1"/>
  <c r="AV1019" i="1"/>
  <c r="AV1014" i="1"/>
  <c r="AV1009" i="1"/>
  <c r="AV1004" i="1"/>
  <c r="AV999" i="1"/>
  <c r="AV994" i="1"/>
  <c r="AV989" i="1"/>
  <c r="AV984" i="1"/>
  <c r="AV979" i="1"/>
  <c r="AV974" i="1"/>
  <c r="AV969" i="1"/>
  <c r="AV964" i="1"/>
  <c r="AV959" i="1"/>
  <c r="AV954" i="1"/>
  <c r="AV949" i="1"/>
  <c r="AV944" i="1"/>
  <c r="AV939" i="1"/>
  <c r="AV934" i="1"/>
  <c r="AV929" i="1"/>
  <c r="AV924" i="1"/>
  <c r="AV919" i="1"/>
  <c r="AV914" i="1"/>
  <c r="AV909" i="1"/>
  <c r="AV904" i="1"/>
  <c r="AV899" i="1"/>
  <c r="AV894" i="1"/>
  <c r="AV889" i="1"/>
  <c r="AV884" i="1"/>
  <c r="AV879" i="1"/>
  <c r="AV874" i="1"/>
  <c r="AV869" i="1"/>
  <c r="AV864" i="1"/>
  <c r="AV859" i="1"/>
  <c r="AV854" i="1"/>
  <c r="AW848" i="1"/>
  <c r="AV840" i="1"/>
  <c r="AU829" i="1"/>
  <c r="AV813" i="1"/>
  <c r="AU805" i="1"/>
  <c r="AV805" i="1"/>
  <c r="AU796" i="1"/>
  <c r="AV796" i="1"/>
  <c r="AW796" i="1"/>
  <c r="AU782" i="1"/>
  <c r="AU700" i="1"/>
  <c r="AV700" i="1"/>
  <c r="AW700" i="1"/>
  <c r="AU667" i="1"/>
  <c r="AW648" i="1"/>
  <c r="AU643" i="1"/>
  <c r="AV643" i="1"/>
  <c r="AU619" i="1"/>
  <c r="AV619" i="1"/>
  <c r="AW619" i="1"/>
  <c r="AU851" i="1"/>
  <c r="AV851" i="1"/>
  <c r="AW851" i="1"/>
  <c r="AU844" i="1"/>
  <c r="AW833" i="1"/>
  <c r="AU809" i="1"/>
  <c r="AU791" i="1"/>
  <c r="AV791" i="1"/>
  <c r="AW791" i="1"/>
  <c r="AU750" i="1"/>
  <c r="AV750" i="1"/>
  <c r="AW750" i="1"/>
  <c r="AU695" i="1"/>
  <c r="AV695" i="1"/>
  <c r="AW695" i="1"/>
  <c r="AU662" i="1"/>
  <c r="AW643" i="1"/>
  <c r="AU638" i="1"/>
  <c r="AV638" i="1"/>
  <c r="AU836" i="1"/>
  <c r="AV836" i="1"/>
  <c r="AW836" i="1"/>
  <c r="AV804" i="1"/>
  <c r="AU800" i="1"/>
  <c r="AV800" i="1"/>
  <c r="AW800" i="1"/>
  <c r="AU786" i="1"/>
  <c r="AV786" i="1"/>
  <c r="AW786" i="1"/>
  <c r="AU772" i="1"/>
  <c r="AU746" i="1"/>
  <c r="AU690" i="1"/>
  <c r="AV690" i="1"/>
  <c r="AW690" i="1"/>
  <c r="AU671" i="1"/>
  <c r="AU657" i="1"/>
  <c r="AW638" i="1"/>
  <c r="AU633" i="1"/>
  <c r="AV633" i="1"/>
  <c r="AW1126" i="1"/>
  <c r="AW1121" i="1"/>
  <c r="AW1116" i="1"/>
  <c r="AW1111" i="1"/>
  <c r="AW1106" i="1"/>
  <c r="AW1101" i="1"/>
  <c r="AW1096" i="1"/>
  <c r="AW1091" i="1"/>
  <c r="AW1086" i="1"/>
  <c r="AW1081" i="1"/>
  <c r="AW1076" i="1"/>
  <c r="AW1071" i="1"/>
  <c r="AW1066" i="1"/>
  <c r="AW1061" i="1"/>
  <c r="AW1056" i="1"/>
  <c r="AW1051" i="1"/>
  <c r="AW1046" i="1"/>
  <c r="AW1041" i="1"/>
  <c r="AW1036" i="1"/>
  <c r="AW1031" i="1"/>
  <c r="AW1026" i="1"/>
  <c r="AW1021" i="1"/>
  <c r="AW1016" i="1"/>
  <c r="AW1011" i="1"/>
  <c r="AW1006" i="1"/>
  <c r="AW1001" i="1"/>
  <c r="AW996" i="1"/>
  <c r="AW991" i="1"/>
  <c r="AW986" i="1"/>
  <c r="AW981" i="1"/>
  <c r="AW976" i="1"/>
  <c r="AW971" i="1"/>
  <c r="AW966" i="1"/>
  <c r="AW961" i="1"/>
  <c r="AW956" i="1"/>
  <c r="AW951" i="1"/>
  <c r="AW946" i="1"/>
  <c r="AW941" i="1"/>
  <c r="AW936" i="1"/>
  <c r="AW931" i="1"/>
  <c r="AW926" i="1"/>
  <c r="AW921" i="1"/>
  <c r="AW916" i="1"/>
  <c r="AW911" i="1"/>
  <c r="AW906" i="1"/>
  <c r="AW901" i="1"/>
  <c r="AW896" i="1"/>
  <c r="AW891" i="1"/>
  <c r="AW886" i="1"/>
  <c r="AW881" i="1"/>
  <c r="AW876" i="1"/>
  <c r="AW871" i="1"/>
  <c r="AW866" i="1"/>
  <c r="AW861" i="1"/>
  <c r="AW856" i="1"/>
  <c r="AU817" i="1"/>
  <c r="AV817" i="1"/>
  <c r="AW817" i="1"/>
  <c r="AU781" i="1"/>
  <c r="AV781" i="1"/>
  <c r="AW781" i="1"/>
  <c r="AU733" i="1"/>
  <c r="AV733" i="1"/>
  <c r="AU685" i="1"/>
  <c r="AV685" i="1"/>
  <c r="AW685" i="1"/>
  <c r="AU666" i="1"/>
  <c r="AU628" i="1"/>
  <c r="AV628" i="1"/>
  <c r="AV1126" i="1"/>
  <c r="AV1121" i="1"/>
  <c r="AV1116" i="1"/>
  <c r="AV1111" i="1"/>
  <c r="AV1106" i="1"/>
  <c r="AV1101" i="1"/>
  <c r="AV1096" i="1"/>
  <c r="AV1091" i="1"/>
  <c r="AV1086" i="1"/>
  <c r="AV1081" i="1"/>
  <c r="AV1076" i="1"/>
  <c r="AV1071" i="1"/>
  <c r="AV1066" i="1"/>
  <c r="AV1061" i="1"/>
  <c r="AV1056" i="1"/>
  <c r="AV1051" i="1"/>
  <c r="AV1046" i="1"/>
  <c r="AV1041" i="1"/>
  <c r="AV1036" i="1"/>
  <c r="AV1031" i="1"/>
  <c r="AV1026" i="1"/>
  <c r="AV1021" i="1"/>
  <c r="AV1016" i="1"/>
  <c r="AV1011" i="1"/>
  <c r="AV1006" i="1"/>
  <c r="AV1001" i="1"/>
  <c r="AV996" i="1"/>
  <c r="AV991" i="1"/>
  <c r="AV986" i="1"/>
  <c r="AV981" i="1"/>
  <c r="AV976" i="1"/>
  <c r="AV971" i="1"/>
  <c r="AV966" i="1"/>
  <c r="AV961" i="1"/>
  <c r="AV956" i="1"/>
  <c r="AV951" i="1"/>
  <c r="AV946" i="1"/>
  <c r="AV941" i="1"/>
  <c r="AV936" i="1"/>
  <c r="AV931" i="1"/>
  <c r="AV926" i="1"/>
  <c r="AV921" i="1"/>
  <c r="AV916" i="1"/>
  <c r="AV911" i="1"/>
  <c r="AV906" i="1"/>
  <c r="AV901" i="1"/>
  <c r="AV896" i="1"/>
  <c r="AV891" i="1"/>
  <c r="AV886" i="1"/>
  <c r="AV881" i="1"/>
  <c r="AV876" i="1"/>
  <c r="AV871" i="1"/>
  <c r="AV866" i="1"/>
  <c r="AV861" i="1"/>
  <c r="AV856" i="1"/>
  <c r="AW850" i="1"/>
  <c r="AV843" i="1"/>
  <c r="AW813" i="1"/>
  <c r="AU804" i="1"/>
  <c r="AU795" i="1"/>
  <c r="AV795" i="1"/>
  <c r="AW795" i="1"/>
  <c r="AU776" i="1"/>
  <c r="AV776" i="1"/>
  <c r="AW776" i="1"/>
  <c r="AU728" i="1"/>
  <c r="AV728" i="1"/>
  <c r="AU680" i="1"/>
  <c r="AV680" i="1"/>
  <c r="AW680" i="1"/>
  <c r="AU623" i="1"/>
  <c r="AV623" i="1"/>
  <c r="AU578" i="1"/>
  <c r="AV850" i="1"/>
  <c r="AW839" i="1"/>
  <c r="AU832" i="1"/>
  <c r="AV832" i="1"/>
  <c r="AW832" i="1"/>
  <c r="AU824" i="1"/>
  <c r="AU790" i="1"/>
  <c r="AV790" i="1"/>
  <c r="AW790" i="1"/>
  <c r="AU785" i="1"/>
  <c r="AV785" i="1"/>
  <c r="AW785" i="1"/>
  <c r="AU771" i="1"/>
  <c r="AV771" i="1"/>
  <c r="AW771" i="1"/>
  <c r="AU767" i="1"/>
  <c r="AU745" i="1"/>
  <c r="AV745" i="1"/>
  <c r="AW745" i="1"/>
  <c r="AW728" i="1"/>
  <c r="AU723" i="1"/>
  <c r="AV723" i="1"/>
  <c r="AU675" i="1"/>
  <c r="AV675" i="1"/>
  <c r="AW675" i="1"/>
  <c r="AU656" i="1"/>
  <c r="AU642" i="1"/>
  <c r="AW623" i="1"/>
  <c r="AU847" i="1"/>
  <c r="AW847" i="1"/>
  <c r="AU816" i="1"/>
  <c r="AV816" i="1"/>
  <c r="AW816" i="1"/>
  <c r="AV794" i="1"/>
  <c r="AU780" i="1"/>
  <c r="AV780" i="1"/>
  <c r="AW780" i="1"/>
  <c r="AU718" i="1"/>
  <c r="AV718" i="1"/>
  <c r="AU713" i="1"/>
  <c r="AV713" i="1"/>
  <c r="AU670" i="1"/>
  <c r="AV670" i="1"/>
  <c r="AW670" i="1"/>
  <c r="AW1128" i="1"/>
  <c r="AW1123" i="1"/>
  <c r="AW1118" i="1"/>
  <c r="AW1113" i="1"/>
  <c r="AW1108" i="1"/>
  <c r="AW1103" i="1"/>
  <c r="AW1098" i="1"/>
  <c r="AW1093" i="1"/>
  <c r="AW1088" i="1"/>
  <c r="AW1083" i="1"/>
  <c r="AW1078" i="1"/>
  <c r="AW1073" i="1"/>
  <c r="AW1068" i="1"/>
  <c r="AW1063" i="1"/>
  <c r="AW1058" i="1"/>
  <c r="AW1053" i="1"/>
  <c r="AW1048" i="1"/>
  <c r="AW1043" i="1"/>
  <c r="AW1038" i="1"/>
  <c r="AW1033" i="1"/>
  <c r="AW1028" i="1"/>
  <c r="AW1023" i="1"/>
  <c r="AW1018" i="1"/>
  <c r="AW1013" i="1"/>
  <c r="AW1008" i="1"/>
  <c r="AW1003" i="1"/>
  <c r="AW998" i="1"/>
  <c r="AW993" i="1"/>
  <c r="AW988" i="1"/>
  <c r="AW983" i="1"/>
  <c r="AW978" i="1"/>
  <c r="AW973" i="1"/>
  <c r="AW968" i="1"/>
  <c r="AW963" i="1"/>
  <c r="AW958" i="1"/>
  <c r="AW953" i="1"/>
  <c r="AW948" i="1"/>
  <c r="AW943" i="1"/>
  <c r="AW938" i="1"/>
  <c r="AW933" i="1"/>
  <c r="AW928" i="1"/>
  <c r="AW923" i="1"/>
  <c r="AW918" i="1"/>
  <c r="AW913" i="1"/>
  <c r="AW908" i="1"/>
  <c r="AW903" i="1"/>
  <c r="AW898" i="1"/>
  <c r="AW893" i="1"/>
  <c r="AW888" i="1"/>
  <c r="AW883" i="1"/>
  <c r="AW878" i="1"/>
  <c r="AW873" i="1"/>
  <c r="AW868" i="1"/>
  <c r="AW863" i="1"/>
  <c r="AW858" i="1"/>
  <c r="AV853" i="1"/>
  <c r="AW828" i="1"/>
  <c r="AU794" i="1"/>
  <c r="AU775" i="1"/>
  <c r="AV775" i="1"/>
  <c r="AW775" i="1"/>
  <c r="AU737" i="1"/>
  <c r="AW718" i="1"/>
  <c r="AW713" i="1"/>
  <c r="AU708" i="1"/>
  <c r="AV708" i="1"/>
  <c r="AU665" i="1"/>
  <c r="AV665" i="1"/>
  <c r="AW665" i="1"/>
  <c r="AU646" i="1"/>
  <c r="AU632" i="1"/>
  <c r="AU853" i="1"/>
  <c r="AW843" i="1"/>
  <c r="AU831" i="1"/>
  <c r="AV831" i="1"/>
  <c r="AW831" i="1"/>
  <c r="AU812" i="1"/>
  <c r="AV812" i="1"/>
  <c r="AW812" i="1"/>
  <c r="AU766" i="1"/>
  <c r="AV766" i="1"/>
  <c r="AW766" i="1"/>
  <c r="AU703" i="1"/>
  <c r="AV703" i="1"/>
  <c r="AU660" i="1"/>
  <c r="AV660" i="1"/>
  <c r="AW660" i="1"/>
  <c r="AV577" i="1"/>
  <c r="AU577" i="1"/>
  <c r="AU846" i="1"/>
  <c r="AV846" i="1"/>
  <c r="AW846" i="1"/>
  <c r="AU823" i="1"/>
  <c r="AV819" i="1"/>
  <c r="AW815" i="1"/>
  <c r="AU784" i="1"/>
  <c r="AU770" i="1"/>
  <c r="AV770" i="1"/>
  <c r="AW770" i="1"/>
  <c r="AU740" i="1"/>
  <c r="AV740" i="1"/>
  <c r="AW740" i="1"/>
  <c r="AU727" i="1"/>
  <c r="AW703" i="1"/>
  <c r="AU698" i="1"/>
  <c r="AV698" i="1"/>
  <c r="AU655" i="1"/>
  <c r="AV655" i="1"/>
  <c r="AW655" i="1"/>
  <c r="AU636" i="1"/>
  <c r="AU622" i="1"/>
  <c r="AU576" i="1"/>
  <c r="AU572" i="1"/>
  <c r="AW545" i="1"/>
  <c r="AU505" i="1"/>
  <c r="AV505" i="1"/>
  <c r="AW505" i="1"/>
  <c r="AU472" i="1"/>
  <c r="AW472" i="1"/>
  <c r="AU455" i="1"/>
  <c r="AV455" i="1"/>
  <c r="AW455" i="1"/>
  <c r="AU420" i="1"/>
  <c r="AV598" i="1"/>
  <c r="AW598" i="1"/>
  <c r="AU594" i="1"/>
  <c r="AW594" i="1"/>
  <c r="AV568" i="1"/>
  <c r="AW568" i="1"/>
  <c r="AU536" i="1"/>
  <c r="AU531" i="1"/>
  <c r="AU526" i="1"/>
  <c r="AV477" i="1"/>
  <c r="AU435" i="1"/>
  <c r="AV435" i="1"/>
  <c r="AV420" i="1"/>
  <c r="AW420" i="1"/>
  <c r="AU383" i="1"/>
  <c r="AV383" i="1"/>
  <c r="AW383" i="1"/>
  <c r="AU601" i="1"/>
  <c r="AW572" i="1"/>
  <c r="AU510" i="1"/>
  <c r="AV510" i="1"/>
  <c r="AW510" i="1"/>
  <c r="AV488" i="1"/>
  <c r="AU477" i="1"/>
  <c r="AW477" i="1"/>
  <c r="AU471" i="1"/>
  <c r="AU460" i="1"/>
  <c r="AV460" i="1"/>
  <c r="AW460" i="1"/>
  <c r="AV454" i="1"/>
  <c r="AU430" i="1"/>
  <c r="AU393" i="1"/>
  <c r="AW393" i="1"/>
  <c r="AV373" i="1"/>
  <c r="AW373" i="1"/>
  <c r="AW587" i="1"/>
  <c r="AV415" i="1"/>
  <c r="AW415" i="1"/>
  <c r="AU611" i="1"/>
  <c r="AV583" i="1"/>
  <c r="AW583" i="1"/>
  <c r="AU579" i="1"/>
  <c r="AV579" i="1"/>
  <c r="AW579" i="1"/>
  <c r="AV575" i="1"/>
  <c r="AU567" i="1"/>
  <c r="AU515" i="1"/>
  <c r="AV515" i="1"/>
  <c r="AW515" i="1"/>
  <c r="AV493" i="1"/>
  <c r="AU482" i="1"/>
  <c r="AW482" i="1"/>
  <c r="AU465" i="1"/>
  <c r="AV465" i="1"/>
  <c r="AW465" i="1"/>
  <c r="AV608" i="1"/>
  <c r="AW608" i="1"/>
  <c r="AU604" i="1"/>
  <c r="AW604" i="1"/>
  <c r="AV563" i="1"/>
  <c r="AW563" i="1"/>
  <c r="AU403" i="1"/>
  <c r="AV600" i="1"/>
  <c r="AU586" i="1"/>
  <c r="AW567" i="1"/>
  <c r="AU520" i="1"/>
  <c r="AW520" i="1"/>
  <c r="AV498" i="1"/>
  <c r="AU470" i="1"/>
  <c r="AV470" i="1"/>
  <c r="AW470" i="1"/>
  <c r="AW443" i="1"/>
  <c r="AV368" i="1"/>
  <c r="AW782" i="1"/>
  <c r="AW777" i="1"/>
  <c r="AW772" i="1"/>
  <c r="AW767" i="1"/>
  <c r="AW762" i="1"/>
  <c r="AW757" i="1"/>
  <c r="AW752" i="1"/>
  <c r="AW747" i="1"/>
  <c r="AW742" i="1"/>
  <c r="AW737" i="1"/>
  <c r="AW732" i="1"/>
  <c r="AW727" i="1"/>
  <c r="AW722" i="1"/>
  <c r="AW717" i="1"/>
  <c r="AW712" i="1"/>
  <c r="AW707" i="1"/>
  <c r="AW702" i="1"/>
  <c r="AW697" i="1"/>
  <c r="AW692" i="1"/>
  <c r="AW687" i="1"/>
  <c r="AW682" i="1"/>
  <c r="AW677" i="1"/>
  <c r="AW672" i="1"/>
  <c r="AW667" i="1"/>
  <c r="AW662" i="1"/>
  <c r="AW657" i="1"/>
  <c r="AW652" i="1"/>
  <c r="AW647" i="1"/>
  <c r="AW642" i="1"/>
  <c r="AW637" i="1"/>
  <c r="AW632" i="1"/>
  <c r="AW627" i="1"/>
  <c r="AW622" i="1"/>
  <c r="AW610" i="1"/>
  <c r="AV582" i="1"/>
  <c r="AV558" i="1"/>
  <c r="AW558" i="1"/>
  <c r="AV492" i="1"/>
  <c r="AU443" i="1"/>
  <c r="AV443" i="1"/>
  <c r="AU408" i="1"/>
  <c r="AV782" i="1"/>
  <c r="AV777" i="1"/>
  <c r="AV772" i="1"/>
  <c r="AV767" i="1"/>
  <c r="AV762" i="1"/>
  <c r="AV757" i="1"/>
  <c r="AV752" i="1"/>
  <c r="AV747" i="1"/>
  <c r="AV742" i="1"/>
  <c r="AV737" i="1"/>
  <c r="AV732" i="1"/>
  <c r="AV727" i="1"/>
  <c r="AV722" i="1"/>
  <c r="AV717" i="1"/>
  <c r="AV712" i="1"/>
  <c r="AV707" i="1"/>
  <c r="AV702" i="1"/>
  <c r="AV697" i="1"/>
  <c r="AV692" i="1"/>
  <c r="AV687" i="1"/>
  <c r="AV682" i="1"/>
  <c r="AV677" i="1"/>
  <c r="AV672" i="1"/>
  <c r="AV667" i="1"/>
  <c r="AV662" i="1"/>
  <c r="AV657" i="1"/>
  <c r="AV652" i="1"/>
  <c r="AV647" i="1"/>
  <c r="AV642" i="1"/>
  <c r="AV637" i="1"/>
  <c r="AV632" i="1"/>
  <c r="AV627" i="1"/>
  <c r="AV622" i="1"/>
  <c r="AV610" i="1"/>
  <c r="AV607" i="1"/>
  <c r="AW570" i="1"/>
  <c r="AW562" i="1"/>
  <c r="AV503" i="1"/>
  <c r="AU486" i="1"/>
  <c r="AU475" i="1"/>
  <c r="AV475" i="1"/>
  <c r="AW475" i="1"/>
  <c r="AU428" i="1"/>
  <c r="AV593" i="1"/>
  <c r="AW593" i="1"/>
  <c r="AU589" i="1"/>
  <c r="AW589" i="1"/>
  <c r="AU574" i="1"/>
  <c r="AV574" i="1"/>
  <c r="AW574" i="1"/>
  <c r="AV570" i="1"/>
  <c r="AU562" i="1"/>
  <c r="AV562" i="1"/>
  <c r="AV553" i="1"/>
  <c r="AW553" i="1"/>
  <c r="AU452" i="1"/>
  <c r="AV452" i="1"/>
  <c r="AW452" i="1"/>
  <c r="AU386" i="1"/>
  <c r="AV386" i="1"/>
  <c r="AU381" i="1"/>
  <c r="AV381" i="1"/>
  <c r="AU616" i="1"/>
  <c r="AV616" i="1"/>
  <c r="AW616" i="1"/>
  <c r="AU596" i="1"/>
  <c r="AW557" i="1"/>
  <c r="AV508" i="1"/>
  <c r="AU491" i="1"/>
  <c r="AU480" i="1"/>
  <c r="AV480" i="1"/>
  <c r="AW480" i="1"/>
  <c r="AV458" i="1"/>
  <c r="AW729" i="1"/>
  <c r="AW724" i="1"/>
  <c r="AW719" i="1"/>
  <c r="AW714" i="1"/>
  <c r="AW607" i="1"/>
  <c r="AU557" i="1"/>
  <c r="AV557" i="1"/>
  <c r="AV548" i="1"/>
  <c r="AW548" i="1"/>
  <c r="AU391" i="1"/>
  <c r="AV391" i="1"/>
  <c r="AU376" i="1"/>
  <c r="AV376" i="1"/>
  <c r="AV578" i="1"/>
  <c r="AW578" i="1"/>
  <c r="AV513" i="1"/>
  <c r="AU485" i="1"/>
  <c r="AV485" i="1"/>
  <c r="AW485" i="1"/>
  <c r="AV463" i="1"/>
  <c r="AU427" i="1"/>
  <c r="AV427" i="1"/>
  <c r="AW427" i="1"/>
  <c r="AW613" i="1"/>
  <c r="AV603" i="1"/>
  <c r="AW603" i="1"/>
  <c r="AU599" i="1"/>
  <c r="AW599" i="1"/>
  <c r="AV565" i="1"/>
  <c r="AU556" i="1"/>
  <c r="AU552" i="1"/>
  <c r="AV552" i="1"/>
  <c r="AV543" i="1"/>
  <c r="AW543" i="1"/>
  <c r="AV507" i="1"/>
  <c r="AV457" i="1"/>
  <c r="AU417" i="1"/>
  <c r="AV417" i="1"/>
  <c r="AW417" i="1"/>
  <c r="AW390" i="1"/>
  <c r="AU490" i="1"/>
  <c r="AV490" i="1"/>
  <c r="AW490" i="1"/>
  <c r="AU457" i="1"/>
  <c r="AW457" i="1"/>
  <c r="AU390" i="1"/>
  <c r="AV390" i="1"/>
  <c r="AW761" i="1"/>
  <c r="AW756" i="1"/>
  <c r="AW751" i="1"/>
  <c r="AW746" i="1"/>
  <c r="AW741" i="1"/>
  <c r="AW736" i="1"/>
  <c r="AW731" i="1"/>
  <c r="AW726" i="1"/>
  <c r="AW721" i="1"/>
  <c r="AW716" i="1"/>
  <c r="AW711" i="1"/>
  <c r="AW706" i="1"/>
  <c r="AW701" i="1"/>
  <c r="AW696" i="1"/>
  <c r="AW691" i="1"/>
  <c r="AW686" i="1"/>
  <c r="AW681" i="1"/>
  <c r="AW676" i="1"/>
  <c r="AW671" i="1"/>
  <c r="AW666" i="1"/>
  <c r="AW661" i="1"/>
  <c r="AW656" i="1"/>
  <c r="AW651" i="1"/>
  <c r="AW646" i="1"/>
  <c r="AW641" i="1"/>
  <c r="AW636" i="1"/>
  <c r="AW631" i="1"/>
  <c r="AW626" i="1"/>
  <c r="AW592" i="1"/>
  <c r="AU547" i="1"/>
  <c r="AV547" i="1"/>
  <c r="AV538" i="1"/>
  <c r="AW538" i="1"/>
  <c r="AV533" i="1"/>
  <c r="AW533" i="1"/>
  <c r="AU533" i="1"/>
  <c r="AV528" i="1"/>
  <c r="AW528" i="1"/>
  <c r="AU528" i="1"/>
  <c r="AV523" i="1"/>
  <c r="AW523" i="1"/>
  <c r="AU523" i="1"/>
  <c r="AV761" i="1"/>
  <c r="AV756" i="1"/>
  <c r="AV751" i="1"/>
  <c r="AV746" i="1"/>
  <c r="AV741" i="1"/>
  <c r="AV736" i="1"/>
  <c r="AV731" i="1"/>
  <c r="AV726" i="1"/>
  <c r="AV721" i="1"/>
  <c r="AV716" i="1"/>
  <c r="AV711" i="1"/>
  <c r="AV706" i="1"/>
  <c r="AV701" i="1"/>
  <c r="AV696" i="1"/>
  <c r="AV691" i="1"/>
  <c r="AV686" i="1"/>
  <c r="AV681" i="1"/>
  <c r="AV676" i="1"/>
  <c r="AV671" i="1"/>
  <c r="AV666" i="1"/>
  <c r="AV661" i="1"/>
  <c r="AV656" i="1"/>
  <c r="AV651" i="1"/>
  <c r="AV646" i="1"/>
  <c r="AV641" i="1"/>
  <c r="AV636" i="1"/>
  <c r="AV631" i="1"/>
  <c r="AV626" i="1"/>
  <c r="AU621" i="1"/>
  <c r="AV621" i="1"/>
  <c r="AW612" i="1"/>
  <c r="AV602" i="1"/>
  <c r="AU584" i="1"/>
  <c r="AV584" i="1"/>
  <c r="AW584" i="1"/>
  <c r="AU495" i="1"/>
  <c r="AV495" i="1"/>
  <c r="AW495" i="1"/>
  <c r="AV473" i="1"/>
  <c r="AU462" i="1"/>
  <c r="AW462" i="1"/>
  <c r="AU456" i="1"/>
  <c r="AU412" i="1"/>
  <c r="AV412" i="1"/>
  <c r="AW412" i="1"/>
  <c r="AV612" i="1"/>
  <c r="AW605" i="1"/>
  <c r="AV588" i="1"/>
  <c r="AW588" i="1"/>
  <c r="AW580" i="1"/>
  <c r="AW577" i="1"/>
  <c r="AV573" i="1"/>
  <c r="AW573" i="1"/>
  <c r="AV555" i="1"/>
  <c r="AU546" i="1"/>
  <c r="AU542" i="1"/>
  <c r="AV542" i="1"/>
  <c r="AW517" i="1"/>
  <c r="AV467" i="1"/>
  <c r="AU446" i="1"/>
  <c r="AV446" i="1"/>
  <c r="AV605" i="1"/>
  <c r="AU598" i="1"/>
  <c r="AU591" i="1"/>
  <c r="AV580" i="1"/>
  <c r="AU568" i="1"/>
  <c r="AW550" i="1"/>
  <c r="AU517" i="1"/>
  <c r="AV517" i="1"/>
  <c r="AU500" i="1"/>
  <c r="AV500" i="1"/>
  <c r="AW500" i="1"/>
  <c r="AU467" i="1"/>
  <c r="AW467" i="1"/>
  <c r="AU461" i="1"/>
  <c r="AU405" i="1"/>
  <c r="AW618" i="1"/>
  <c r="AW602" i="1"/>
  <c r="AV550" i="1"/>
  <c r="AU541" i="1"/>
  <c r="AU537" i="1"/>
  <c r="AV537" i="1"/>
  <c r="AU532" i="1"/>
  <c r="AV532" i="1"/>
  <c r="AU527" i="1"/>
  <c r="AV527" i="1"/>
  <c r="AU522" i="1"/>
  <c r="AV522" i="1"/>
  <c r="AV472" i="1"/>
  <c r="AU445" i="1"/>
  <c r="AU431" i="1"/>
  <c r="AU518" i="1"/>
  <c r="AU513" i="1"/>
  <c r="AU508" i="1"/>
  <c r="AU503" i="1"/>
  <c r="AU498" i="1"/>
  <c r="AU493" i="1"/>
  <c r="AU488" i="1"/>
  <c r="AU483" i="1"/>
  <c r="AU478" i="1"/>
  <c r="AU473" i="1"/>
  <c r="AU468" i="1"/>
  <c r="AU463" i="1"/>
  <c r="AU458" i="1"/>
  <c r="AV450" i="1"/>
  <c r="AV447" i="1"/>
  <c r="AU439" i="1"/>
  <c r="AV439" i="1"/>
  <c r="AW439" i="1"/>
  <c r="AV436" i="1"/>
  <c r="AV433" i="1"/>
  <c r="AU425" i="1"/>
  <c r="AU422" i="1"/>
  <c r="AU375" i="1"/>
  <c r="AU298" i="1"/>
  <c r="AU284" i="1"/>
  <c r="AU248" i="1"/>
  <c r="AU242" i="1"/>
  <c r="AV242" i="1"/>
  <c r="AW242" i="1"/>
  <c r="AU175" i="1"/>
  <c r="AV175" i="1"/>
  <c r="AU447" i="1"/>
  <c r="AU404" i="1"/>
  <c r="AV404" i="1"/>
  <c r="AW404" i="1"/>
  <c r="AU345" i="1"/>
  <c r="AW345" i="1"/>
  <c r="AU271" i="1"/>
  <c r="AV271" i="1"/>
  <c r="AU237" i="1"/>
  <c r="AV237" i="1"/>
  <c r="AW237" i="1"/>
  <c r="AU220" i="1"/>
  <c r="AV220" i="1"/>
  <c r="AW220" i="1"/>
  <c r="AV184" i="1"/>
  <c r="AU419" i="1"/>
  <c r="AV419" i="1"/>
  <c r="AW419" i="1"/>
  <c r="AW401" i="1"/>
  <c r="AU378" i="1"/>
  <c r="AU303" i="1"/>
  <c r="AU288" i="1"/>
  <c r="AW271" i="1"/>
  <c r="AU265" i="1"/>
  <c r="AV265" i="1"/>
  <c r="AW265" i="1"/>
  <c r="AU241" i="1"/>
  <c r="AV241" i="1"/>
  <c r="AU170" i="1"/>
  <c r="AV170" i="1"/>
  <c r="AU155" i="1"/>
  <c r="AV155" i="1"/>
  <c r="AU407" i="1"/>
  <c r="AW407" i="1"/>
  <c r="AU394" i="1"/>
  <c r="AV394" i="1"/>
  <c r="AW394" i="1"/>
  <c r="AU360" i="1"/>
  <c r="AW360" i="1"/>
  <c r="AU344" i="1"/>
  <c r="AV344" i="1"/>
  <c r="AW344" i="1"/>
  <c r="AU277" i="1"/>
  <c r="AV277" i="1"/>
  <c r="AW277" i="1"/>
  <c r="AU252" i="1"/>
  <c r="AV252" i="1"/>
  <c r="AW252" i="1"/>
  <c r="AW241" i="1"/>
  <c r="AU236" i="1"/>
  <c r="AV236" i="1"/>
  <c r="AU219" i="1"/>
  <c r="AU160" i="1"/>
  <c r="AU444" i="1"/>
  <c r="AV444" i="1"/>
  <c r="AW444" i="1"/>
  <c r="AV441" i="1"/>
  <c r="AV438" i="1"/>
  <c r="AV430" i="1"/>
  <c r="AV410" i="1"/>
  <c r="AW403" i="1"/>
  <c r="AU397" i="1"/>
  <c r="AW397" i="1"/>
  <c r="AW391" i="1"/>
  <c r="AU374" i="1"/>
  <c r="AV374" i="1"/>
  <c r="AW374" i="1"/>
  <c r="AW371" i="1"/>
  <c r="AU348" i="1"/>
  <c r="AV348" i="1"/>
  <c r="AW348" i="1"/>
  <c r="AU318" i="1"/>
  <c r="AV318" i="1"/>
  <c r="AW318" i="1"/>
  <c r="AU247" i="1"/>
  <c r="AV247" i="1"/>
  <c r="AW247" i="1"/>
  <c r="AW236" i="1"/>
  <c r="AU230" i="1"/>
  <c r="AV230" i="1"/>
  <c r="AW230" i="1"/>
  <c r="AU214" i="1"/>
  <c r="AU174" i="1"/>
  <c r="AV174" i="1"/>
  <c r="AW174" i="1"/>
  <c r="AW421" i="1"/>
  <c r="AW418" i="1"/>
  <c r="AV403" i="1"/>
  <c r="AW400" i="1"/>
  <c r="AU384" i="1"/>
  <c r="AV384" i="1"/>
  <c r="AW384" i="1"/>
  <c r="AU359" i="1"/>
  <c r="AV359" i="1"/>
  <c r="AW359" i="1"/>
  <c r="AW356" i="1"/>
  <c r="AU340" i="1"/>
  <c r="AW340" i="1"/>
  <c r="AU276" i="1"/>
  <c r="AV276" i="1"/>
  <c r="AU251" i="1"/>
  <c r="AV251" i="1"/>
  <c r="AU150" i="1"/>
  <c r="AW512" i="1"/>
  <c r="AW507" i="1"/>
  <c r="AW502" i="1"/>
  <c r="AW497" i="1"/>
  <c r="AW492" i="1"/>
  <c r="AW487" i="1"/>
  <c r="AV400" i="1"/>
  <c r="AU387" i="1"/>
  <c r="AW387" i="1"/>
  <c r="AW381" i="1"/>
  <c r="AU302" i="1"/>
  <c r="AV302" i="1"/>
  <c r="AW302" i="1"/>
  <c r="AW276" i="1"/>
  <c r="AU270" i="1"/>
  <c r="AV270" i="1"/>
  <c r="AW270" i="1"/>
  <c r="AW251" i="1"/>
  <c r="AU246" i="1"/>
  <c r="AV246" i="1"/>
  <c r="AU229" i="1"/>
  <c r="AU196" i="1"/>
  <c r="AU424" i="1"/>
  <c r="AV424" i="1"/>
  <c r="AW424" i="1"/>
  <c r="AU339" i="1"/>
  <c r="AV339" i="1"/>
  <c r="AW339" i="1"/>
  <c r="AU335" i="1"/>
  <c r="AW335" i="1"/>
  <c r="AU314" i="1"/>
  <c r="AU282" i="1"/>
  <c r="AV282" i="1"/>
  <c r="AW282" i="1"/>
  <c r="AU263" i="1"/>
  <c r="AU257" i="1"/>
  <c r="AV257" i="1"/>
  <c r="AW257" i="1"/>
  <c r="AW246" i="1"/>
  <c r="AU224" i="1"/>
  <c r="AU213" i="1"/>
  <c r="AV187" i="1"/>
  <c r="AU449" i="1"/>
  <c r="AV449" i="1"/>
  <c r="AW449" i="1"/>
  <c r="AU343" i="1"/>
  <c r="AV343" i="1"/>
  <c r="AW343" i="1"/>
  <c r="AU235" i="1"/>
  <c r="AV235" i="1"/>
  <c r="AW235" i="1"/>
  <c r="AU182" i="1"/>
  <c r="AV182" i="1"/>
  <c r="AW182" i="1"/>
  <c r="AU140" i="1"/>
  <c r="AV140" i="1"/>
  <c r="AU334" i="1"/>
  <c r="AV334" i="1"/>
  <c r="AW334" i="1"/>
  <c r="AU330" i="1"/>
  <c r="AW330" i="1"/>
  <c r="AU281" i="1"/>
  <c r="AV281" i="1"/>
  <c r="AU256" i="1"/>
  <c r="AV256" i="1"/>
  <c r="AW569" i="1"/>
  <c r="AW564" i="1"/>
  <c r="AW559" i="1"/>
  <c r="AW554" i="1"/>
  <c r="AW549" i="1"/>
  <c r="AW544" i="1"/>
  <c r="AW539" i="1"/>
  <c r="AW534" i="1"/>
  <c r="AW529" i="1"/>
  <c r="AW524" i="1"/>
  <c r="AW519" i="1"/>
  <c r="AW514" i="1"/>
  <c r="AW509" i="1"/>
  <c r="AW504" i="1"/>
  <c r="AW499" i="1"/>
  <c r="AW494" i="1"/>
  <c r="AW489" i="1"/>
  <c r="AW484" i="1"/>
  <c r="AW479" i="1"/>
  <c r="AW474" i="1"/>
  <c r="AW469" i="1"/>
  <c r="AW464" i="1"/>
  <c r="AW459" i="1"/>
  <c r="AW454" i="1"/>
  <c r="AW426" i="1"/>
  <c r="AW423" i="1"/>
  <c r="AV380" i="1"/>
  <c r="AU355" i="1"/>
  <c r="AW355" i="1"/>
  <c r="AU338" i="1"/>
  <c r="AV338" i="1"/>
  <c r="AW338" i="1"/>
  <c r="AU313" i="1"/>
  <c r="AV313" i="1"/>
  <c r="AW313" i="1"/>
  <c r="AW281" i="1"/>
  <c r="AU275" i="1"/>
  <c r="AV275" i="1"/>
  <c r="AW275" i="1"/>
  <c r="AW256" i="1"/>
  <c r="AU217" i="1"/>
  <c r="AV217" i="1"/>
  <c r="AW217" i="1"/>
  <c r="AV569" i="1"/>
  <c r="AV564" i="1"/>
  <c r="AV559" i="1"/>
  <c r="AV554" i="1"/>
  <c r="AV549" i="1"/>
  <c r="AV544" i="1"/>
  <c r="AV539" i="1"/>
  <c r="AV534" i="1"/>
  <c r="AV529" i="1"/>
  <c r="AV524" i="1"/>
  <c r="AV519" i="1"/>
  <c r="AV514" i="1"/>
  <c r="AV509" i="1"/>
  <c r="AV504" i="1"/>
  <c r="AV499" i="1"/>
  <c r="AV494" i="1"/>
  <c r="AV489" i="1"/>
  <c r="AV484" i="1"/>
  <c r="AV479" i="1"/>
  <c r="AV474" i="1"/>
  <c r="AV469" i="1"/>
  <c r="AV464" i="1"/>
  <c r="AV459" i="1"/>
  <c r="AW451" i="1"/>
  <c r="AW448" i="1"/>
  <c r="AW440" i="1"/>
  <c r="AW437" i="1"/>
  <c r="AV426" i="1"/>
  <c r="AV423" i="1"/>
  <c r="AU409" i="1"/>
  <c r="AV409" i="1"/>
  <c r="AW409" i="1"/>
  <c r="AW406" i="1"/>
  <c r="AU373" i="1"/>
  <c r="AU329" i="1"/>
  <c r="AV329" i="1"/>
  <c r="AW329" i="1"/>
  <c r="AU325" i="1"/>
  <c r="AW325" i="1"/>
  <c r="AU262" i="1"/>
  <c r="AV262" i="1"/>
  <c r="AW262" i="1"/>
  <c r="AU245" i="1"/>
  <c r="AV245" i="1"/>
  <c r="AW245" i="1"/>
  <c r="AU212" i="1"/>
  <c r="AV212" i="1"/>
  <c r="AW212" i="1"/>
  <c r="AV199" i="1"/>
  <c r="AW199" i="1"/>
  <c r="AU190" i="1"/>
  <c r="AV190" i="1"/>
  <c r="AU429" i="1"/>
  <c r="AV429" i="1"/>
  <c r="AW429" i="1"/>
  <c r="AU399" i="1"/>
  <c r="AV399" i="1"/>
  <c r="AW399" i="1"/>
  <c r="AU354" i="1"/>
  <c r="AV354" i="1"/>
  <c r="AW354" i="1"/>
  <c r="AU333" i="1"/>
  <c r="AV333" i="1"/>
  <c r="AW333" i="1"/>
  <c r="AU274" i="1"/>
  <c r="AU216" i="1"/>
  <c r="AV216" i="1"/>
  <c r="AU207" i="1"/>
  <c r="AV207" i="1"/>
  <c r="AW207" i="1"/>
  <c r="AU454" i="1"/>
  <c r="AU402" i="1"/>
  <c r="AW402" i="1"/>
  <c r="AW396" i="1"/>
  <c r="AU369" i="1"/>
  <c r="AV369" i="1"/>
  <c r="AW369" i="1"/>
  <c r="AV346" i="1"/>
  <c r="AU324" i="1"/>
  <c r="AU309" i="1"/>
  <c r="AU261" i="1"/>
  <c r="AV261" i="1"/>
  <c r="AU244" i="1"/>
  <c r="AU233" i="1"/>
  <c r="AU227" i="1"/>
  <c r="AV227" i="1"/>
  <c r="AW227" i="1"/>
  <c r="AU211" i="1"/>
  <c r="AV211" i="1"/>
  <c r="AU194" i="1"/>
  <c r="AV194" i="1"/>
  <c r="AW194" i="1"/>
  <c r="AW611" i="1"/>
  <c r="AW606" i="1"/>
  <c r="AW601" i="1"/>
  <c r="AW596" i="1"/>
  <c r="AU389" i="1"/>
  <c r="AV389" i="1"/>
  <c r="AW389" i="1"/>
  <c r="AU328" i="1"/>
  <c r="AV328" i="1"/>
  <c r="AW328" i="1"/>
  <c r="AU280" i="1"/>
  <c r="AV280" i="1"/>
  <c r="AW280" i="1"/>
  <c r="AU255" i="1"/>
  <c r="AV255" i="1"/>
  <c r="AW255" i="1"/>
  <c r="AU222" i="1"/>
  <c r="AV222" i="1"/>
  <c r="AW222" i="1"/>
  <c r="AU206" i="1"/>
  <c r="AV206" i="1"/>
  <c r="AU167" i="1"/>
  <c r="AV167" i="1"/>
  <c r="AW167" i="1"/>
  <c r="AV611" i="1"/>
  <c r="AV606" i="1"/>
  <c r="AV601" i="1"/>
  <c r="AV596" i="1"/>
  <c r="AV591" i="1"/>
  <c r="AV586" i="1"/>
  <c r="AV581" i="1"/>
  <c r="AV576" i="1"/>
  <c r="AV571" i="1"/>
  <c r="AV566" i="1"/>
  <c r="AV561" i="1"/>
  <c r="AV556" i="1"/>
  <c r="AV551" i="1"/>
  <c r="AV546" i="1"/>
  <c r="AV541" i="1"/>
  <c r="AV536" i="1"/>
  <c r="AV531" i="1"/>
  <c r="AV526" i="1"/>
  <c r="AV521" i="1"/>
  <c r="AV516" i="1"/>
  <c r="AV511" i="1"/>
  <c r="AV506" i="1"/>
  <c r="AV501" i="1"/>
  <c r="AV496" i="1"/>
  <c r="AV491" i="1"/>
  <c r="AV486" i="1"/>
  <c r="AV481" i="1"/>
  <c r="AV476" i="1"/>
  <c r="AV471" i="1"/>
  <c r="AV466" i="1"/>
  <c r="AV461" i="1"/>
  <c r="AV456" i="1"/>
  <c r="AW445" i="1"/>
  <c r="AW442" i="1"/>
  <c r="AW431" i="1"/>
  <c r="AW428" i="1"/>
  <c r="AW411" i="1"/>
  <c r="AV408" i="1"/>
  <c r="AV405" i="1"/>
  <c r="AW398" i="1"/>
  <c r="AU392" i="1"/>
  <c r="AW392" i="1"/>
  <c r="AW386" i="1"/>
  <c r="AU379" i="1"/>
  <c r="AV379" i="1"/>
  <c r="AW379" i="1"/>
  <c r="AW376" i="1"/>
  <c r="AU361" i="1"/>
  <c r="AU300" i="1"/>
  <c r="AV300" i="1"/>
  <c r="AW300" i="1"/>
  <c r="AU273" i="1"/>
  <c r="AU267" i="1"/>
  <c r="AV267" i="1"/>
  <c r="AW267" i="1"/>
  <c r="AU226" i="1"/>
  <c r="AV226" i="1"/>
  <c r="AW206" i="1"/>
  <c r="AU125" i="1"/>
  <c r="AV125" i="1"/>
  <c r="AW453" i="1"/>
  <c r="AV445" i="1"/>
  <c r="AV442" i="1"/>
  <c r="AU434" i="1"/>
  <c r="AV434" i="1"/>
  <c r="AW434" i="1"/>
  <c r="AV431" i="1"/>
  <c r="AV428" i="1"/>
  <c r="AV411" i="1"/>
  <c r="AV398" i="1"/>
  <c r="AW395" i="1"/>
  <c r="AW368" i="1"/>
  <c r="AU353" i="1"/>
  <c r="AV353" i="1"/>
  <c r="AW353" i="1"/>
  <c r="AW346" i="1"/>
  <c r="AU295" i="1"/>
  <c r="AV295" i="1"/>
  <c r="AW295" i="1"/>
  <c r="AU221" i="1"/>
  <c r="AV221" i="1"/>
  <c r="AU115" i="1"/>
  <c r="AV115" i="1"/>
  <c r="AV453" i="1"/>
  <c r="AU414" i="1"/>
  <c r="AV414" i="1"/>
  <c r="AW414" i="1"/>
  <c r="AV395" i="1"/>
  <c r="AW388" i="1"/>
  <c r="AU365" i="1"/>
  <c r="AW365" i="1"/>
  <c r="AV341" i="1"/>
  <c r="AU299" i="1"/>
  <c r="AU290" i="1"/>
  <c r="AV290" i="1"/>
  <c r="AW290" i="1"/>
  <c r="AU266" i="1"/>
  <c r="AV266" i="1"/>
  <c r="AU249" i="1"/>
  <c r="AU238" i="1"/>
  <c r="AU232" i="1"/>
  <c r="AV232" i="1"/>
  <c r="AW232" i="1"/>
  <c r="AW221" i="1"/>
  <c r="AU185" i="1"/>
  <c r="AU180" i="1"/>
  <c r="AV180" i="1"/>
  <c r="AW518" i="1"/>
  <c r="AW513" i="1"/>
  <c r="AW508" i="1"/>
  <c r="AW503" i="1"/>
  <c r="AW498" i="1"/>
  <c r="AW493" i="1"/>
  <c r="AW488" i="1"/>
  <c r="AW483" i="1"/>
  <c r="AW478" i="1"/>
  <c r="AW473" i="1"/>
  <c r="AW468" i="1"/>
  <c r="AW463" i="1"/>
  <c r="AW458" i="1"/>
  <c r="AW425" i="1"/>
  <c r="AW422" i="1"/>
  <c r="AV401" i="1"/>
  <c r="AV388" i="1"/>
  <c r="AW385" i="1"/>
  <c r="AW378" i="1"/>
  <c r="AW375" i="1"/>
  <c r="AU323" i="1"/>
  <c r="AV323" i="1"/>
  <c r="AW323" i="1"/>
  <c r="AU294" i="1"/>
  <c r="AU285" i="1"/>
  <c r="AV285" i="1"/>
  <c r="AW285" i="1"/>
  <c r="AU260" i="1"/>
  <c r="AV260" i="1"/>
  <c r="AW260" i="1"/>
  <c r="AU401" i="1"/>
  <c r="AV378" i="1"/>
  <c r="AU368" i="1"/>
  <c r="AU364" i="1"/>
  <c r="AV364" i="1"/>
  <c r="AW364" i="1"/>
  <c r="AU349" i="1"/>
  <c r="AV349" i="1"/>
  <c r="AW349" i="1"/>
  <c r="AV345" i="1"/>
  <c r="AU304" i="1"/>
  <c r="AU289" i="1"/>
  <c r="AU278" i="1"/>
  <c r="AU272" i="1"/>
  <c r="AV272" i="1"/>
  <c r="AW272" i="1"/>
  <c r="AU253" i="1"/>
  <c r="AU231" i="1"/>
  <c r="AV231" i="1"/>
  <c r="AU166" i="1"/>
  <c r="AV166" i="1"/>
  <c r="AU134" i="1"/>
  <c r="AW134" i="1"/>
  <c r="AU109" i="1"/>
  <c r="AV109" i="1"/>
  <c r="AW109" i="1"/>
  <c r="AU52" i="1"/>
  <c r="AV52" i="1"/>
  <c r="AW52" i="1"/>
  <c r="AU351" i="1"/>
  <c r="AW198" i="1"/>
  <c r="AU193" i="1"/>
  <c r="AV193" i="1"/>
  <c r="AW184" i="1"/>
  <c r="AV181" i="1"/>
  <c r="AV169" i="1"/>
  <c r="AV159" i="1"/>
  <c r="AU152" i="1"/>
  <c r="AU78" i="1"/>
  <c r="AV78" i="1"/>
  <c r="AW78" i="1"/>
  <c r="AU178" i="1"/>
  <c r="AV178" i="1"/>
  <c r="AW178" i="1"/>
  <c r="AW162" i="1"/>
  <c r="AU159" i="1"/>
  <c r="AW145" i="1"/>
  <c r="AW130" i="1"/>
  <c r="AU113" i="1"/>
  <c r="AV113" i="1"/>
  <c r="AW113" i="1"/>
  <c r="AU82" i="1"/>
  <c r="AV82" i="1"/>
  <c r="AW82" i="1"/>
  <c r="AU43" i="1"/>
  <c r="AW308" i="1"/>
  <c r="AW303" i="1"/>
  <c r="AW298" i="1"/>
  <c r="AW293" i="1"/>
  <c r="AW288" i="1"/>
  <c r="AW283" i="1"/>
  <c r="AW278" i="1"/>
  <c r="AW273" i="1"/>
  <c r="AW268" i="1"/>
  <c r="AW263" i="1"/>
  <c r="AW258" i="1"/>
  <c r="AW253" i="1"/>
  <c r="AW248" i="1"/>
  <c r="AW243" i="1"/>
  <c r="AW238" i="1"/>
  <c r="AW233" i="1"/>
  <c r="AW228" i="1"/>
  <c r="AU117" i="1"/>
  <c r="AV117" i="1"/>
  <c r="AU47" i="1"/>
  <c r="AV47" i="1"/>
  <c r="AW47" i="1"/>
  <c r="AV308" i="1"/>
  <c r="AV303" i="1"/>
  <c r="AV298" i="1"/>
  <c r="AV293" i="1"/>
  <c r="AV288" i="1"/>
  <c r="AV283" i="1"/>
  <c r="AV278" i="1"/>
  <c r="AV273" i="1"/>
  <c r="AV268" i="1"/>
  <c r="AV263" i="1"/>
  <c r="AV258" i="1"/>
  <c r="AV253" i="1"/>
  <c r="AV248" i="1"/>
  <c r="AV243" i="1"/>
  <c r="AV238" i="1"/>
  <c r="AV233" i="1"/>
  <c r="AV228" i="1"/>
  <c r="AV223" i="1"/>
  <c r="AV218" i="1"/>
  <c r="AV213" i="1"/>
  <c r="AV208" i="1"/>
  <c r="AV203" i="1"/>
  <c r="AU198" i="1"/>
  <c r="AV195" i="1"/>
  <c r="AW192" i="1"/>
  <c r="AW190" i="1"/>
  <c r="AW175" i="1"/>
  <c r="AU148" i="1"/>
  <c r="AV148" i="1"/>
  <c r="AW148" i="1"/>
  <c r="AU137" i="1"/>
  <c r="AV90" i="1"/>
  <c r="AU73" i="1"/>
  <c r="AV73" i="1"/>
  <c r="AW73" i="1"/>
  <c r="AW200" i="1"/>
  <c r="AW177" i="1"/>
  <c r="AU151" i="1"/>
  <c r="AV151" i="1"/>
  <c r="AW151" i="1"/>
  <c r="AU133" i="1"/>
  <c r="AV133" i="1"/>
  <c r="AW133" i="1"/>
  <c r="AU129" i="1"/>
  <c r="AV129" i="1"/>
  <c r="AW129" i="1"/>
  <c r="AU108" i="1"/>
  <c r="AV108" i="1"/>
  <c r="AW108" i="1"/>
  <c r="AW95" i="1"/>
  <c r="AU77" i="1"/>
  <c r="AV77" i="1"/>
  <c r="AW77" i="1"/>
  <c r="AU38" i="1"/>
  <c r="AV200" i="1"/>
  <c r="AV177" i="1"/>
  <c r="AW155" i="1"/>
  <c r="AW125" i="1"/>
  <c r="AV120" i="1"/>
  <c r="AU112" i="1"/>
  <c r="AV112" i="1"/>
  <c r="AW112" i="1"/>
  <c r="AU42" i="1"/>
  <c r="AV42" i="1"/>
  <c r="AW42" i="1"/>
  <c r="AV171" i="1"/>
  <c r="AW90" i="1"/>
  <c r="AU68" i="1"/>
  <c r="AU168" i="1"/>
  <c r="AV168" i="1"/>
  <c r="AW168" i="1"/>
  <c r="AU158" i="1"/>
  <c r="AV158" i="1"/>
  <c r="AW158" i="1"/>
  <c r="AU103" i="1"/>
  <c r="AV103" i="1"/>
  <c r="AW103" i="1"/>
  <c r="AU72" i="1"/>
  <c r="AV72" i="1"/>
  <c r="AW72" i="1"/>
  <c r="AU33" i="1"/>
  <c r="AU183" i="1"/>
  <c r="AV183" i="1"/>
  <c r="AW183" i="1"/>
  <c r="AW165" i="1"/>
  <c r="AU161" i="1"/>
  <c r="AV161" i="1"/>
  <c r="AW161" i="1"/>
  <c r="AW140" i="1"/>
  <c r="AU124" i="1"/>
  <c r="AV124" i="1"/>
  <c r="AW124" i="1"/>
  <c r="AU107" i="1"/>
  <c r="AV107" i="1"/>
  <c r="AW107" i="1"/>
  <c r="AU37" i="1"/>
  <c r="AV37" i="1"/>
  <c r="AW37" i="1"/>
  <c r="AV202" i="1"/>
  <c r="AU154" i="1"/>
  <c r="AV150" i="1"/>
  <c r="AU132" i="1"/>
  <c r="AU128" i="1"/>
  <c r="AV128" i="1"/>
  <c r="AW128" i="1"/>
  <c r="AW120" i="1"/>
  <c r="AW382" i="1"/>
  <c r="AW377" i="1"/>
  <c r="AW372" i="1"/>
  <c r="AW367" i="1"/>
  <c r="AW362" i="1"/>
  <c r="AW357" i="1"/>
  <c r="AW352" i="1"/>
  <c r="AW347" i="1"/>
  <c r="AW342" i="1"/>
  <c r="AW337" i="1"/>
  <c r="AW332" i="1"/>
  <c r="AW327" i="1"/>
  <c r="AW322" i="1"/>
  <c r="AW317" i="1"/>
  <c r="AW312" i="1"/>
  <c r="AW307" i="1"/>
  <c r="AW297" i="1"/>
  <c r="AW292" i="1"/>
  <c r="AW287" i="1"/>
  <c r="AW180" i="1"/>
  <c r="AW157" i="1"/>
  <c r="AU98" i="1"/>
  <c r="AV98" i="1"/>
  <c r="AW98" i="1"/>
  <c r="AU67" i="1"/>
  <c r="AV67" i="1"/>
  <c r="AW67" i="1"/>
  <c r="AV164" i="1"/>
  <c r="AV157" i="1"/>
  <c r="AU143" i="1"/>
  <c r="AV143" i="1"/>
  <c r="AW143" i="1"/>
  <c r="AV139" i="1"/>
  <c r="AV135" i="1"/>
  <c r="AU102" i="1"/>
  <c r="AV102" i="1"/>
  <c r="AW102" i="1"/>
  <c r="AU32" i="1"/>
  <c r="AV32" i="1"/>
  <c r="AW32" i="1"/>
  <c r="AU164" i="1"/>
  <c r="AU139" i="1"/>
  <c r="AU119" i="1"/>
  <c r="AV119" i="1"/>
  <c r="AW119" i="1"/>
  <c r="AU93" i="1"/>
  <c r="AV93" i="1"/>
  <c r="AW93" i="1"/>
  <c r="AU58" i="1"/>
  <c r="AU27" i="1"/>
  <c r="AV27" i="1"/>
  <c r="AW27" i="1"/>
  <c r="AW150" i="1"/>
  <c r="AU123" i="1"/>
  <c r="AV123" i="1"/>
  <c r="AW123" i="1"/>
  <c r="AW115" i="1"/>
  <c r="AU62" i="1"/>
  <c r="AV62" i="1"/>
  <c r="AW62" i="1"/>
  <c r="AU31" i="1"/>
  <c r="AV31" i="1"/>
  <c r="AW31" i="1"/>
  <c r="AW324" i="1"/>
  <c r="AW319" i="1"/>
  <c r="AW314" i="1"/>
  <c r="AW309" i="1"/>
  <c r="AW304" i="1"/>
  <c r="AW299" i="1"/>
  <c r="AW294" i="1"/>
  <c r="AW289" i="1"/>
  <c r="AW284" i="1"/>
  <c r="AW279" i="1"/>
  <c r="AW274" i="1"/>
  <c r="AW269" i="1"/>
  <c r="AW264" i="1"/>
  <c r="AW259" i="1"/>
  <c r="AW254" i="1"/>
  <c r="AW249" i="1"/>
  <c r="AW244" i="1"/>
  <c r="AW239" i="1"/>
  <c r="AW234" i="1"/>
  <c r="AW229" i="1"/>
  <c r="AW224" i="1"/>
  <c r="AW219" i="1"/>
  <c r="AW214" i="1"/>
  <c r="AW209" i="1"/>
  <c r="AW204" i="1"/>
  <c r="AW196" i="1"/>
  <c r="AU188" i="1"/>
  <c r="AV188" i="1"/>
  <c r="AW188" i="1"/>
  <c r="AV179" i="1"/>
  <c r="AU173" i="1"/>
  <c r="AV173" i="1"/>
  <c r="AW173" i="1"/>
  <c r="AW142" i="1"/>
  <c r="AU127" i="1"/>
  <c r="AV127" i="1"/>
  <c r="AU97" i="1"/>
  <c r="AV97" i="1"/>
  <c r="AW97" i="1"/>
  <c r="AU88" i="1"/>
  <c r="AV88" i="1"/>
  <c r="AW88" i="1"/>
  <c r="AU26" i="1"/>
  <c r="AV26" i="1"/>
  <c r="AW26" i="1"/>
  <c r="AV324" i="1"/>
  <c r="AV319" i="1"/>
  <c r="AV314" i="1"/>
  <c r="AV309" i="1"/>
  <c r="AV304" i="1"/>
  <c r="AV299" i="1"/>
  <c r="AV294" i="1"/>
  <c r="AV289" i="1"/>
  <c r="AV284" i="1"/>
  <c r="AV279" i="1"/>
  <c r="AV274" i="1"/>
  <c r="AV269" i="1"/>
  <c r="AV264" i="1"/>
  <c r="AV259" i="1"/>
  <c r="AV254" i="1"/>
  <c r="AV249" i="1"/>
  <c r="AV244" i="1"/>
  <c r="AV239" i="1"/>
  <c r="AV234" i="1"/>
  <c r="AV229" i="1"/>
  <c r="AV224" i="1"/>
  <c r="AV219" i="1"/>
  <c r="AV214" i="1"/>
  <c r="AV209" i="1"/>
  <c r="AV204" i="1"/>
  <c r="AV196" i="1"/>
  <c r="AU153" i="1"/>
  <c r="AV153" i="1"/>
  <c r="AW153" i="1"/>
  <c r="AW135" i="1"/>
  <c r="AU53" i="1"/>
  <c r="AW201" i="1"/>
  <c r="AW170" i="1"/>
  <c r="AU156" i="1"/>
  <c r="AV156" i="1"/>
  <c r="AW156" i="1"/>
  <c r="AV149" i="1"/>
  <c r="AU142" i="1"/>
  <c r="AU114" i="1"/>
  <c r="AV114" i="1"/>
  <c r="AW114" i="1"/>
  <c r="AU92" i="1"/>
  <c r="AV92" i="1"/>
  <c r="AW92" i="1"/>
  <c r="AU57" i="1"/>
  <c r="AV57" i="1"/>
  <c r="AW57" i="1"/>
  <c r="AV201" i="1"/>
  <c r="AW187" i="1"/>
  <c r="AW185" i="1"/>
  <c r="AW172" i="1"/>
  <c r="AW160" i="1"/>
  <c r="AU149" i="1"/>
  <c r="AV145" i="1"/>
  <c r="AV130" i="1"/>
  <c r="AU118" i="1"/>
  <c r="AV118" i="1"/>
  <c r="AW118" i="1"/>
  <c r="AU83" i="1"/>
  <c r="AV83" i="1"/>
  <c r="AW83" i="1"/>
  <c r="AW193" i="1"/>
  <c r="AW166" i="1"/>
  <c r="AU163" i="1"/>
  <c r="AV163" i="1"/>
  <c r="AW163" i="1"/>
  <c r="AU145" i="1"/>
  <c r="AU138" i="1"/>
  <c r="AV138" i="1"/>
  <c r="AW138" i="1"/>
  <c r="AV134" i="1"/>
  <c r="AU130" i="1"/>
  <c r="AU122" i="1"/>
  <c r="AV122" i="1"/>
  <c r="AU87" i="1"/>
  <c r="AV87" i="1"/>
  <c r="AW87" i="1"/>
  <c r="AU48" i="1"/>
  <c r="AU7" i="1"/>
  <c r="AW7" i="1"/>
  <c r="AU22" i="1"/>
  <c r="AW22" i="1"/>
  <c r="AU25" i="1"/>
  <c r="AU18" i="1"/>
  <c r="AW18" i="1"/>
  <c r="AU2" i="1"/>
  <c r="AW2" i="1"/>
  <c r="AU14" i="1"/>
  <c r="AW14" i="1"/>
  <c r="AU10" i="1"/>
  <c r="AW10" i="1"/>
  <c r="AU6" i="1"/>
  <c r="AW6" i="1"/>
  <c r="AU21" i="1"/>
  <c r="AW21" i="1"/>
  <c r="AW104" i="1"/>
  <c r="AW99" i="1"/>
  <c r="AW94" i="1"/>
  <c r="AW89" i="1"/>
  <c r="AW84" i="1"/>
  <c r="AW79" i="1"/>
  <c r="AW74" i="1"/>
  <c r="AW69" i="1"/>
  <c r="AW64" i="1"/>
  <c r="AW59" i="1"/>
  <c r="AW54" i="1"/>
  <c r="AW49" i="1"/>
  <c r="AW44" i="1"/>
  <c r="AW39" i="1"/>
  <c r="AW34" i="1"/>
  <c r="AW29" i="1"/>
  <c r="AV104" i="1"/>
  <c r="AV99" i="1"/>
  <c r="AV94" i="1"/>
  <c r="AV89" i="1"/>
  <c r="AV84" i="1"/>
  <c r="AV79" i="1"/>
  <c r="AV74" i="1"/>
  <c r="AV69" i="1"/>
  <c r="AV64" i="1"/>
  <c r="AV59" i="1"/>
  <c r="AV54" i="1"/>
  <c r="AV49" i="1"/>
  <c r="AV44" i="1"/>
  <c r="AV39" i="1"/>
  <c r="AV34" i="1"/>
  <c r="AV29" i="1"/>
  <c r="AW20" i="1"/>
  <c r="AU17" i="1"/>
  <c r="AW17" i="1"/>
  <c r="AU24" i="1"/>
  <c r="AW24" i="1"/>
  <c r="AU5" i="1"/>
  <c r="AW5" i="1"/>
  <c r="AU13" i="1"/>
  <c r="AW13" i="1"/>
  <c r="AU9" i="1"/>
  <c r="AW9" i="1"/>
  <c r="AW146" i="1"/>
  <c r="AW141" i="1"/>
  <c r="AW136" i="1"/>
  <c r="AW131" i="1"/>
  <c r="AW126" i="1"/>
  <c r="AW121" i="1"/>
  <c r="AW116" i="1"/>
  <c r="AW111" i="1"/>
  <c r="AW106" i="1"/>
  <c r="AW101" i="1"/>
  <c r="AW96" i="1"/>
  <c r="AW91" i="1"/>
  <c r="AV146" i="1"/>
  <c r="AV141" i="1"/>
  <c r="AV136" i="1"/>
  <c r="AV131" i="1"/>
  <c r="AV126" i="1"/>
  <c r="AV121" i="1"/>
  <c r="AV116" i="1"/>
  <c r="AV111" i="1"/>
  <c r="AV106" i="1"/>
  <c r="AV101" i="1"/>
  <c r="AV96" i="1"/>
  <c r="AV91" i="1"/>
  <c r="AV86" i="1"/>
  <c r="AV81" i="1"/>
  <c r="AV76" i="1"/>
  <c r="AV71" i="1"/>
  <c r="AV66" i="1"/>
  <c r="AV61" i="1"/>
  <c r="AV56" i="1"/>
  <c r="AV51" i="1"/>
  <c r="AV46" i="1"/>
  <c r="AV41" i="1"/>
  <c r="AV36" i="1"/>
  <c r="AW23" i="1"/>
  <c r="AU20" i="1"/>
  <c r="AU16" i="1"/>
  <c r="AW16" i="1"/>
  <c r="AV23" i="1"/>
  <c r="AU4" i="1"/>
  <c r="AW4" i="1"/>
  <c r="AU12" i="1"/>
  <c r="AW12" i="1"/>
  <c r="AW68" i="1"/>
  <c r="AW63" i="1"/>
  <c r="AW58" i="1"/>
  <c r="AW53" i="1"/>
  <c r="AW48" i="1"/>
  <c r="AW43" i="1"/>
  <c r="AW38" i="1"/>
  <c r="AW33" i="1"/>
  <c r="AW28" i="1"/>
  <c r="AV68" i="1"/>
  <c r="AV63" i="1"/>
  <c r="AV58" i="1"/>
  <c r="AV53" i="1"/>
  <c r="AV48" i="1"/>
  <c r="AV43" i="1"/>
  <c r="AV38" i="1"/>
  <c r="AV33" i="1"/>
  <c r="AV28" i="1"/>
  <c r="AU8" i="1"/>
  <c r="AW8" i="1"/>
  <c r="AU19" i="1"/>
  <c r="AW19" i="1"/>
  <c r="AU15" i="1"/>
  <c r="AW15" i="1"/>
  <c r="AU11" i="1"/>
  <c r="AW11" i="1"/>
  <c r="AW25" i="1"/>
  <c r="AV7" i="1"/>
  <c r="AU3" i="1"/>
  <c r="AW3" i="1"/>
</calcChain>
</file>

<file path=xl/sharedStrings.xml><?xml version="1.0" encoding="utf-8"?>
<sst xmlns="http://schemas.openxmlformats.org/spreadsheetml/2006/main" count="21587" uniqueCount="12808">
  <si>
    <t>n</t>
  </si>
  <si>
    <t>undefined</t>
  </si>
  <si>
    <t>['œîœµ ).', 'œîn varied', 'œîn values', 'various types', 'tolane groups', 'substantial birefringence', 'new types', 'microwave region', 'including nematics', 'francis group', 'electric fields', 'different frequencies', 'crossover œîœµ', 'cholesteric nematics', '30 ghz']</t>
  </si>
  <si>
    <t>Many liquid crystals are found to have relatively high birefringence (Œîn) values in the microwave and millimeter wave regions, as calculated from the phase shift induced by their reorientation by magnetic or electric fields. At 30 GHz, Œîn values were obtained in the range of 0.08 to 0.18 for eleven liquid crystal mixtures of various types. The most favourable liquid crystal structures for high millimeter wave birefringence are highly conjugated rod-like molecules containing biphenyl, terphenyl, phenylpyrimidine, biphenylpyrimidine, and tolane groups in nematics of positive dielectric anisotropy (ŒîŒµ). However, other liquid crystal structures including Schiffs base, azoxybenzene, and aromatic ester groups also have substantial birefringence, including nematics with negative and crossover ŒîŒµ, as well as cholesteric nematics. The Œîn varied only slightly at different frequencies of microwave millimeter wave in the 15‚Äì94 GHz range. Studies on magnetic and electrical field liquid crystal orientation in specially designed waveguides provide a basis for new types of modulators and scanning array antennae in the millimeter wave region, where more compact liquid crystal modulation media can be used than in the microwave region. These scanners can be used for both sending and receiving radar signals for potentially low cost radar systems. ¬© 1993 Taylor and Francis Group, LLC.</t>
  </si>
  <si>
    <t>327-337</t>
  </si>
  <si>
    <t>Journal</t>
  </si>
  <si>
    <t>Liquid Crystals</t>
  </si>
  <si>
    <t>60021939;60021939;60021939;60021939;60021939;60021939</t>
  </si>
  <si>
    <t>16488299200;6701730445;7004326653;7404986943;7005978943;55479622500</t>
  </si>
  <si>
    <t>Lim, K. C.;Margerum, J. D.;Lackner, A. M.;Miller, L. J.;Sherman, E.;Smith, W. H.</t>
  </si>
  <si>
    <t>United States</t>
  </si>
  <si>
    <t>Malibu</t>
  </si>
  <si>
    <t>HRL Laboratories</t>
  </si>
  <si>
    <t>Lim K.</t>
  </si>
  <si>
    <t>Article</t>
  </si>
  <si>
    <t>ar</t>
  </si>
  <si>
    <t>Liquid crystal birefringence for millimeter wave radar</t>
  </si>
  <si>
    <t>10.1080/02678299308027647</t>
  </si>
  <si>
    <t>2-s2.0-0000177822</t>
  </si>
  <si>
    <t>['¬© 1993', 'values predicted', 'theoretical model', 'satisfactory agreement', 'noise behavior', 'must satisfy', 'low temperatures', 'good value', 'good stability', 'geometrical parameters', 'general requirements', 'evading measurements', 'electrical resonance', '8 ppm', '123 khz']</t>
  </si>
  <si>
    <t>We present the design, development, and test of a resonant capacitive transducer for gravitational wave antennas suitable for back-action-evading measurements. We describe a detailed theoretical model of such a transducer, analyze the general requirements that it must satisfy, and report the results of some tests at low temperatures. We obtain on our prototype a good value of the mechanical merit factor (2.8√ó106), a satisfactory geometrical balance, and a good stability of the electrical and geometrical parameters. The bridge readout circuit was balanced down to 0.8 ppm and an electrical quality factor Qe 6√ó103 was measured for the electrical resonance at 123 kHz. The noise behavior of the system is in satisfactory agreement with the values predicted by our theoretical model. ¬© 1993 The American Physical Society.</t>
  </si>
  <si>
    <t>448-465</t>
  </si>
  <si>
    <t>Physical Review D</t>
  </si>
  <si>
    <t>60032350;60021660-60010146;60032350-60021660;60032350-60021660</t>
  </si>
  <si>
    <t>22960373100;7003816910;7003636273;7103269533</t>
  </si>
  <si>
    <t>Cinquegrana, C.;Majorana, E.;Rapagnani, P.;Ricci, F.</t>
  </si>
  <si>
    <t>Italy;Italy;Italy</t>
  </si>
  <si>
    <t>Rome;Rome;Catania</t>
  </si>
  <si>
    <t>Sapienza Universit√† di Roma;Istituto Nazionale di Fisica Nucleare - INFN;Universit√† degli Studi di Catania</t>
  </si>
  <si>
    <t>60032350;60021660;60010146</t>
  </si>
  <si>
    <t>Cinquegrana C.</t>
  </si>
  <si>
    <t>Back-action-evading transducing scheme for cryogenic gravitational wave antennas</t>
  </si>
  <si>
    <t>10.1103/PhysRevD.48.448</t>
  </si>
  <si>
    <t>2-s2.0-0000217185</t>
  </si>
  <si>
    <t>['¬© 1993', 'strongly deterred', 'spodoptera littoralis', 'six compounds', 'single terpene', 'seven types', 'sensillum recordings', 'response relationships', 'olfactory sensilla', 'larval frass', 'frass compounds', 'female antenna', 'deterrent effect', 'also found']</t>
  </si>
  <si>
    <t>Benzaldehyde | Chemoreceptors | Cotton | Oviposition deterrent | Sensillum | Synergism | Terpenes</t>
  </si>
  <si>
    <t>Oviposition in Spodoptera littoralis was strongly deterred by a mixture of six compounds, benzaldehyde and the five terpenes carvacrol, eugenol, nerolidol, phytol and thymol, identified from conspecific larval frass. If one of the compounds was excluded from the mixture the deterrent effect was lost. An electroantennogram-screening was performed on 15 compounds identified from the larval frass. Of the behaviourally active compounds, dose-response relationships were obtained for benzaldehyde, eugenol and nerolidol. Seven types of receptor cells specifically tuned to compounds from the larval frass were identified by single-sensillum recordings from olfactory sensilla on the female antenna. The most abundant of these was a receptor cell type responding equally well to the three aromatic terpenes carvacrol, eugenol and thymol. Receptor cells responding to only a single terpene were found for carvacrol, eugenol, nerolidol and phytol. Receptor cells responding to other frass compounds, green leaf odours and sex pheromone components were also found. No receptor cell responding to benzaldehyde was identified. ¬© 1993.</t>
  </si>
  <si>
    <t>129-137</t>
  </si>
  <si>
    <t>Journal of Insect Physiology</t>
  </si>
  <si>
    <t>60029170;60023208;60029170;60031514;60016908;60016908</t>
  </si>
  <si>
    <t>16485957900;7006391110;7103226689;7801624360;56238849800;7003741881</t>
  </si>
  <si>
    <t>Anderson, P.;Hilker, M.;Hansson, B. S.;Bombosch, S.;Klein, B.;Schildknecht, H.</t>
  </si>
  <si>
    <t>Germany;Sweden;Germany;Germany</t>
  </si>
  <si>
    <t>Gottingen;Lund;Bayreuth;Heidelberg</t>
  </si>
  <si>
    <t>Georg-August-Universit√§t G√∂ttingen;Lunds Universitet;Universit√§t Bayreuth;Universit√§t Heidelberg</t>
  </si>
  <si>
    <t>60031514;60029170;60023208;60016908</t>
  </si>
  <si>
    <t>Anderson P.</t>
  </si>
  <si>
    <t>Oviposition deterring components in larval frass of Spodoptera littoralis (Boisd.) (Lepidoptera: Noctuidae): A behavioural and electrophysiological evaluation</t>
  </si>
  <si>
    <t>0022-1910(93)90104-Y</t>
  </si>
  <si>
    <t>10.1016/0022-1910(93)90104-Y</t>
  </si>
  <si>
    <t>2-s2.0-0000288833</t>
  </si>
  <si>
    <t>['present study', 'food sources', 'dancing honeybees', 'dance sound', 'dance language', 'contain information', 'chordotonal organ', 'bristle fields', 'apis mellifera', 'ablation experiments']</t>
  </si>
  <si>
    <t>Apis mellifera | Auditory sense | Dance language | Johnston's organ | Near field sound</t>
  </si>
  <si>
    <t>Airborne sound signals emitted by dancing honeybees (Apis mellifera) contain information about the locations of food sources. Honeybees can perceive these near field sounds and rely on them to decode the messages of the dance language. The dance sound is characterized by rhythmical air particle movement of high velocity amplitudes. The aim of the present study was to identify the sensory structures used to detect near field sound signals. In an operant conditioning experiment, bees were trained to respond to sound. Ablation experiments with these trained bees revealed that neither mechanosensory hairs on the antennae or head nor bristle fields at the joints of the antenna, but Johnston's organ, a chordotonal organ in the pedicel of the antenna, is used to detect near field sound in honeybees. ¬© 1993 Springer-Verlag.</t>
  </si>
  <si>
    <t>275-279</t>
  </si>
  <si>
    <t>Journal of Comparative Physiology A</t>
  </si>
  <si>
    <t>60108337;60108337</t>
  </si>
  <si>
    <t>6602523215;7006182850</t>
  </si>
  <si>
    <t>Dreller, C.;Kirchner, W. H.</t>
  </si>
  <si>
    <t>Germany</t>
  </si>
  <si>
    <t>Wurzburg</t>
  </si>
  <si>
    <t>Biozentrum der Universit√§t W√ºrzburg</t>
  </si>
  <si>
    <t>Dreller C.</t>
  </si>
  <si>
    <t>Hearing in honeybees: localization of the auditory sense organ</t>
  </si>
  <si>
    <t>10.1007/BF00212691</t>
  </si>
  <si>
    <t>2-s2.0-0000305289</t>
  </si>
  <si>
    <t>['¬© 1993', 'strong crossreactivity', 'sensillum lymph', 'sensilla trichodea', 'molecular weight', 'minor extent', 'isoelectric point', 'female antennae', 'binding protein', 'antheraea polyphemus', '16 kda']</t>
  </si>
  <si>
    <t>Bombykol | Bombyx mori | Pheromone-binding protein | Sensilla trichodea</t>
  </si>
  <si>
    <t>A pheromone-binding protein (PBP) has been purified from the antennae of male Bombyx mori. It is a single polypeptide chain with a molecular weight of 16 kDa and an isoelectric point of 4.9. The PBP is present in the male and, to a minor extent, also in the female antennae, but not in other parts of the body. Strong crossreactivity has been observed with antibodies against the PBP of Antheraea polyphemus. Immunocytochemical localization indicates that the protein is concentrated in the sensillum lymph of sensilla trichodea. ¬© 1993.</t>
  </si>
  <si>
    <t>243-253</t>
  </si>
  <si>
    <t>Insect Biochemistry and Molecular Biology</t>
  </si>
  <si>
    <t>100345068;60005460;60005460;100345068</t>
  </si>
  <si>
    <t>6602758643;57193638832;57217532540;36880050400</t>
  </si>
  <si>
    <t>Maida, Rosario;Steinbrecht, Alexander;Ziegelberger, Gunde;Pelosi, Paolo</t>
  </si>
  <si>
    <t>Germany;Italy</t>
  </si>
  <si>
    <t>Pocking;Pisa</t>
  </si>
  <si>
    <t>Max Planck Institute for Ornithology;Istituto di Industrie Agrarie</t>
  </si>
  <si>
    <t>60005460;100345068</t>
  </si>
  <si>
    <t>Maida R.</t>
  </si>
  <si>
    <t>The pheromone binding protein of Bombyx mori: Purification, characterization and immunocytochemical localization</t>
  </si>
  <si>
    <t>096517489390005D</t>
  </si>
  <si>
    <t>10.1016/0965-1748(93)90005-D</t>
  </si>
  <si>
    <t>2-s2.0-0000337895</t>
  </si>
  <si>
    <t>['¬© 1993', 'two vetoes', 'riemann tensor', 'light velocity', 'isotropic sensitivity']</t>
  </si>
  <si>
    <t>We show how, combining their outputs, at least six resonant bar antennae give with isotropic sensitivity the amplitude, polarization, and direction of propagation of a burst and test for two distinctive properties of the Riemann tensor, transversality, and tracelessness. If not located at the same site, to exert the two vetoes, the burst arrival times on three antennae must be known: We show how to determine them. Then in addition the propagation of the burst at light velocity is tested. ¬© 1993 The American Physical Society.</t>
  </si>
  <si>
    <t>4107-4110</t>
  </si>
  <si>
    <t>Physical Review Letters</t>
  </si>
  <si>
    <t>60015986-60114761-60073812;60015986-60114761-60073812;60015986-60114761-60073812;60015986-60114761-60073812;60015986-60114761-60073812</t>
  </si>
  <si>
    <t>7006358007;7004095514;6603836801;55958189400;56240659400</t>
  </si>
  <si>
    <t>Cerdonio, Massimo;Fortini, Pierluigi;Ortolan, Antonello;Prodi, Giovanni Andrea;Vitale, Stefano</t>
  </si>
  <si>
    <t>Ferrara;Legnaro;Trento</t>
  </si>
  <si>
    <t>Istituto Nazionale di Fisica Nucleare, Sezione di Ferrara;Laboratori Nazionali di Legnaro;Universit√† di Trento</t>
  </si>
  <si>
    <t>60114761;60073812;60015986</t>
  </si>
  <si>
    <t>Cerdonio M.</t>
  </si>
  <si>
    <t>Concept of a resonant-antennae observatory for gravitational wave bursts</t>
  </si>
  <si>
    <t>10.1103/PhysRevLett.71.4107</t>
  </si>
  <si>
    <t>2-s2.0-0000597729</t>
  </si>
  <si>
    <t>['¬© 1993', 'volatile emission', 'tetradecenyl acetate', 'spodoptera exigua', 'significantly greater', 'reliably stimulated', 'receptor sites', 'plant odors', 'pheromone components', 'observed synergism', 'nr ).', 'normalized peaks', 'noise ratios', 'noctuidae ).', 'noctuid moths', 'negative phase', 'molecules removed', 'molecules arriving', 'males revealed', 'male moths', 'male antennae', 'low values', 'intermediate );', 'increased signal', 'high ).', 'five components', 'females based', 'female pheromone', 'female moths', 'facilitated investigation', 'decay values', 'deactivation processes', 'common component', 'benzaldehyde elicited', 'beet armyworm', 'also investigated', 'acetate moieties', '3 configurations']</t>
  </si>
  <si>
    <t>Beet armyworm | Chemoreception | Deactivation | Detection | EAG | Electroantennogram | Inactivation | Moth | Neurobiology | Olfaction | Reception | Sensory neuron | Single cell | Spodoptera exigua</t>
  </si>
  <si>
    <t>Detection and deactivation of pheromone and plant odor components were investigated in both sexes of the beet armyworm, Spodoptera exigua (H√ºbner) (Lepidoptera: Noctuidae). Electroantennograms (EAGs) enhanced by novel computer techniques which facilitated investigation of novel or seldom considered parameters, and single sensillum recordings were used. Parameters of the EAGs investigated included rise of the negative phase, and decay following stimulation, both at several time intervals. A novel parameter called level was also investigated. Responses of both sexes to 50 Œºg stimulus loads of 23 odorants including five components of the volatile emission of females were determined. Male moths were more responsive to plant odors than females based on normalized peaks. While none of the five components of female volatile emissions were detected by female moths, receptors in male moths responded to four of the five components previously shown to possess biological activity. Green leaf volatiles, linalool, myrcene and benzaldehyde elicited the largest normalized peaks in both sexes. Among the green leaf volatiles, the E-2 and Z-3 configurations were preferred as were the alcohol and acetate moieties. Values for rise for pheromone components in males were significantly greater than for green leaf volatiles. Decay values were the same for plant odors in both sexes. Decay values for pheromone components in males were greater than those for plant odors thus indicating specificity of deactivation processes. An analogous situation existed in female moths for benzaldehyde (a common component of male scent gland secretions in noctuid moths, see above) where decay values significantly exceeded that for any other compound. Level was considered to be a measure of the number of molecules arriving at the receptor sites (NA) minus the number of molecules removed (NR). Differential level values were found for: pheromone components (low); green leaf volatiles, benzaldehyde, pentanol and myrcene (intermediate); and linalool and heptanol (high). Low values for level were thought to indicate efficient mechanisms for transport and removal of molecules for interaction with receptors, and could be indicative of increased signal to noise ratios. Recordings from the sexually dimorphic trichoid sensilla of males revealed in most instances two receptor neurons, one which produced a large amplitude spike and was reliably stimulated by Z-9, E-12-tetradecenyl acetate, while the neuron with the small amplitude spike responded to Z-9-tetradecen-1-ol. These neurons also responded with increasing spike frequencies to a green leaf volatile and a monoterpene. These results may help to explain not only the larger EAGs recorded from male antennae, but also the observed synergism of the female pheromone by green leaf volatiles. ¬© 1993.</t>
  </si>
  <si>
    <t>503-516</t>
  </si>
  <si>
    <t>60004156;60004156;100802092</t>
  </si>
  <si>
    <t>7102100454;7202086436;6603416331</t>
  </si>
  <si>
    <t>Dickens, Joseph C.;Visser, J. H.;Van Der Pers, J. N.C.</t>
  </si>
  <si>
    <t>Netherlands;Netherlands</t>
  </si>
  <si>
    <t>Wageningen;Hilversum</t>
  </si>
  <si>
    <t>Wageningen University &amp; Research;VDP Laboratories</t>
  </si>
  <si>
    <t>60004156;100802092</t>
  </si>
  <si>
    <t>Dickens J.C.</t>
  </si>
  <si>
    <t>Detection and deactivation of pheromone and plant odor components by the beet armyworm, Spodoptera exigua (H√ºbner) (Lepidoptera: Noctuidae)</t>
  </si>
  <si>
    <t>0022-1910(93)90083-4</t>
  </si>
  <si>
    <t>10.1016/0022-1910(93)90083-4</t>
  </si>
  <si>
    <t>2-s2.0-0000628455</t>
  </si>
  <si>
    <t>['¬© 1993', 'tetradecadienyl acetate', 'specific sensilla', 'respective stimuli', 'pheromone receptors', 'numerous type', 'much lower', 'found among', 'evenly distributed', 'electroantennogram screening', 'dodecenyl acetate', 'differently distributed', 'behavioural antagonist', 'antennal surface']</t>
  </si>
  <si>
    <t>Electrophysiology | Lepidoptera | Noctuidae | Olfaction | Scanning electron microscopy | Sensilla | Sex pheromone | Spodoptera littoralis</t>
  </si>
  <si>
    <t>The physiology, morphology and distribution of pheromone receptors on the antennae of both sexes of Spodoptera littoralis Boisd. (Lepidoptera: Noctuidae) were investigated by electroantennogram screening, single sensillum recordings and scanning electron microscopy. The electroantennogram recordings showed maximal responses to (Z,E)-9,11-tetradecadienyl acetate in males and to (Z)-7-dodecenyl acetate in females. In subsequent single sensillum recordings, receptor cells specific for the two known pheromone components, (Z,E)-9,11-tetradecadienyl acetate and (Z,E)-9,12-tetradecadienyl acetate, as well as for the behavioural antagonist (Z)-9-tetradecenol, were found in both sexes. The sensitivity of the pheromone receptors to their respective stimuli was the same in the sexes, while the number of pheromone-specific sensilla was much lower in the female. In the male, two physiologically distinct sensillum types were differently distributed over the antennal surface. The most numerous type, containing only one receptor neurone specific for (Z,E)-9,11-tetradecadienyl acetate, was evenly distributed over the ventral antennal surface, while a sensillum type containing one neurone responding to (Z,E)-9,12-tetradecadienyl acetate and one neurone specific for (Z)-9-tetradecenol was only found among more laterally situated sensilla. This distribution was not observed in the female. ¬© 1993.</t>
  </si>
  <si>
    <t>253-260</t>
  </si>
  <si>
    <t>60029170;60029170;60029170</t>
  </si>
  <si>
    <t>6602838192;16485957900;7103226689</t>
  </si>
  <si>
    <t>Ljungberg, H.;Anderson, P.;Hansson, B. S.</t>
  </si>
  <si>
    <t>Sweden</t>
  </si>
  <si>
    <t>Lund</t>
  </si>
  <si>
    <t>Lunds Universitet</t>
  </si>
  <si>
    <t>Ljungberg H.</t>
  </si>
  <si>
    <t>Physiology and morphology of pheromone-specific sensilla on the antennae of male and female Spodoptera littoralis (Lepidoptera: Noctuidae)</t>
  </si>
  <si>
    <t>0022-1910(93)90096-A</t>
  </si>
  <si>
    <t>10.1016/0022-1910(93)90096-A</t>
  </si>
  <si>
    <t>2-s2.0-0000851017</t>
  </si>
  <si>
    <t>['vibronic bands', 'solvation heterogeneity', 'red edge', 'propylene glycol', 'photosynthetic antennae', 'naphthoyloxy chromophores', 'good model', 'first time', 'excitation wavelength', 'energy transfer', 'energy hopping', 'energy chromophores', 'emission spectra', 'edge excitation', 'dioxane glass', 'defined positions', 'bichromophoric molecule', 'absorption spectra', '200 k', '0 one']</t>
  </si>
  <si>
    <t>A Œ≤-cyclodextrin bearing seven 2-naphthoyloxy chromophores is a good model for the study of the effect of the excitation wavelength on energy hopping among chromophores in well-defined positions, as in photosynthetic antennae. Absorption spectra, emission spectra, and excitation polarization spectra were recorded in a propylene glycol-dioxane glass at 200 K. Comparison is made with a bis(naphthoate) bichromophoric molecule. The parallelism between the increase of emission spectrum displacement and fluorescence anisotropy observed for the red edge of most vibronic bands, and especially for the 0-0 one, is established for the first time. It can be interpreted in terms of inhomogeneous spectral broadening due to solvation heterogeneity. The decrease of energy transfer that is observed upon red-edge excitation is evidence that energy hopping is not chaotic but directed toward lower-energy chromophores. ¬© 1993 American Chemical Society.</t>
  </si>
  <si>
    <t>11376-11379</t>
  </si>
  <si>
    <t>Journal of Physical Chemistry</t>
  </si>
  <si>
    <t>60014541-60006217;60014541;60014541;60010578;60010578;60010578</t>
  </si>
  <si>
    <t>56254861800;7102572211;57204373650;15129780500;7004097182;36050113100</t>
  </si>
  <si>
    <t>Berberan-Santos, M√°rio N.;Pouget, Jacques;Valeur, Bernard;Canceill, Josette;Jullien, Ludovic;Lehn, Jean Marie</t>
  </si>
  <si>
    <t>France;France;Portugal</t>
  </si>
  <si>
    <t>Paris;Paris;Lisbon</t>
  </si>
  <si>
    <t>Conservatoire National des Arts et Metiers;Coll√®ge de France;Centro de Qu√≠mica-F√≠sica Molecular</t>
  </si>
  <si>
    <t>60014541;60010578;60006217</t>
  </si>
  <si>
    <t>Berberan-Santos M.</t>
  </si>
  <si>
    <t>Multichromophoric cyclodextrins. 2. Inhomogeneous spectral broadening and directed energy hopping</t>
  </si>
  <si>
    <t>10.1021/j100146a006</t>
  </si>
  <si>
    <t>2-s2.0-0000890509</t>
  </si>
  <si>
    <t>Inoue Foundation for Science</t>
  </si>
  <si>
    <t>['three pairs', 'temperate regions', 'related genera', 'recorded primarily', 'present study', 'plesiomorphic genus', 'pereopods iii', 'northern hemisphere', 'monophyletic group', 'future study', 'functional gap', 'francis ltd', 'cladistic analysis', 'caprellidean genera', 'caprellidae gradation', 'boreal region', 'abdomen 5', '6 articles', '2 articles']</t>
  </si>
  <si>
    <t>Behaviour | Biogeography | Caprellidea | Cladistic analysis | Functional morphology | Generic characters | Phylogeny</t>
  </si>
  <si>
    <t>Cladistic analysis of caprellidean genera has revealed major divergence near the outgroup producing two major lines of evolution: Pseudoprotomima-Perotripus, and Caprogammarus-Caprella. The most plesiomorphic genus of each line, Pseudoprotomima and Caprogammarus, respectively, shows different plesiomorphic characters to each other. Pseudoprotomima has pereopods III and IV with 6 articles, antenna II flagellum with &gt; 2 articles and three pairs of gills, while Caprogammarus has an abdomen 5-segmented with three pairs of pleopods. Pseudoprotomima and related genera are distributed from the temperate regions of the northern hemisphere to the South Indian Ocean, while Caprogammarus and related genera are recorded primarily from the boreal region of the northern hemisphere. That pereopods III and IV in Pseudoprotomima and its relatives have 6 articles indicates the functional gap from the Podoceridae (Gammaridea)-Caprogammaridae-Caprellidae gradation, since in the Podoceridae to the Caprellidae these pereopods are not used for clinging to substrata and, even in the Podoceridae, are reduced in size. This shows the possibility that the Caprellidea is not a monophyletic group. A new phylogeny derived from the present study is proposed for future study. ¬© 1993 Taylor &amp; Francis Ltd.</t>
  </si>
  <si>
    <t>947-964</t>
  </si>
  <si>
    <t>Journal of Natural History</t>
  </si>
  <si>
    <t>Takeuchi, I.</t>
  </si>
  <si>
    <t>Japan</t>
  </si>
  <si>
    <t>Tokyo</t>
  </si>
  <si>
    <t>The University of Tokyo</t>
  </si>
  <si>
    <t>Takeuchi I.</t>
  </si>
  <si>
    <t>Is the caprellidea a monophyletic group?</t>
  </si>
  <si>
    <t>10.1080/00222939300770581</t>
  </si>
  <si>
    <t>2-s2.0-0000905382</t>
  </si>
  <si>
    <t>['zenith revealed', 'upper layer', 'turbulent scatter', 'radar beam', 'pmse ).', 'particular time', 'partial reflection', 'lower layer', 'copyright 1993', 'aspect sensitivity', 'approximately 0', 'advected across', '8 ¬∞', '04 w']</t>
  </si>
  <si>
    <t>During the first rocket sequence (called Salvo B) of the NLC‚Äê91 campaign, the Cornell University Portable Radar Interferometer (CUPRI) observed two simultaneously occurring layers of Polar Mesosphere Summer Echoes (PMSE). During the time of the Turbo B flight, the high time‚Äêresolution CUPRI Doppler spectra exhibited sawtooth‚Äêlike discontinuities in the lower layer which we interpret to be a distorted partial reflection layer which was advected across the radar beam. The upper layer, on the other hand, appeared to be caused by turbulent scatter and we estimate the turbulence energy dissipation rate in the upper layer at the time of the Turbo B flight to have been approximately 0.04 W/kg. Furthermore, a shift in the antenna beam direction from vertical to 8¬∞ off zenith revealed an aspect sensitivity of approximately 5 dB in the lower layer but none in the upper layer. We conclude that, at this particular time, turbulent scatter was responsible for the upper layer while some form of partial reflection was dominant in the lower layer. Copyright 1993 by the American Geophysical Union.</t>
  </si>
  <si>
    <t>2291-2294</t>
  </si>
  <si>
    <t>Geophysical Research Letters</t>
  </si>
  <si>
    <t>60007776;60007776;60007776;60007776</t>
  </si>
  <si>
    <t>7403535817;7004549933;57203051214;12143063600</t>
  </si>
  <si>
    <t>Cho, John Y.N.;Swartz, Wesley E.;Kelley, Michael C.;Miller, Clark A.</t>
  </si>
  <si>
    <t>Ithaca</t>
  </si>
  <si>
    <t>Cornell University</t>
  </si>
  <si>
    <t>Cho J.</t>
  </si>
  <si>
    <t>Cupri observations of PMSE during Salvo B of NLC‚Äê91: Evidence of both partial reflection and turbulent scatter</t>
  </si>
  <si>
    <t>10.1029/93GL01600</t>
  </si>
  <si>
    <t>2-s2.0-0000921180</t>
  </si>
  <si>
    <t>Deutsche Forschungsgemeinschaft</t>
  </si>
  <si>
    <t>Br 712/7-1</t>
  </si>
  <si>
    <t>DFG</t>
  </si>
  <si>
    <t>['¬© 1993', 'tetradecenal ).', 'sustained increase', 'primary reaction', 'pheromone components', 'minor components', 'major component', 'induced ip3', 'elevated cgmp', 'cyclic gmp', 'considerable cross', 'cgmp may', 'antennal preparations']</t>
  </si>
  <si>
    <t>Adaptation | Cyclic GMP | Heliothis virescens | Inositol trisphosphate | Pheromones | Primary reaction</t>
  </si>
  <si>
    <t>Antennal preparations from Heliothis virescens respond to a blend of sex-pheromone components with a rapid and transient inositol trisphosphate signal in the subsecond time range that is supposed to be the primary reaction of the chemo-electrical transduction process. The pheromone-induced second messenger response is species- and sex-specific. The major component of the blend (Z-11-hexadecenal) is much more potent than one of the minor components (Z-9-tetradecenal). Application of high pheromone doses elicited a delayed and sustained increase of cyclic GMP. Elevated cGMP-levels significantly reduced the pheromone-induced IP3-response, indicating a considerable cross-talk between both second messenger pathways and suggesting that cGMP may be involved in adaptation of antennal receptor cells. ¬© 1993.</t>
  </si>
  <si>
    <t>757-762</t>
  </si>
  <si>
    <t>60018373;60018373;60025525;60006680;60006680;60018373</t>
  </si>
  <si>
    <t>7003692909;24303830700;6504239472;7005074125;7006432927;7103041183</t>
  </si>
  <si>
    <t>Boekhoff, I.;Seifert, E.;G√∂ggerle, S.;Lindemann, M.;Kr√ºger, B. W.;Breer, H.</t>
  </si>
  <si>
    <t>Germany;Germany;Germany</t>
  </si>
  <si>
    <t>Konstanz;Stuttgart;Leverkusen</t>
  </si>
  <si>
    <t>Universit√§t Konstanz;Universit√§t Hohenheim;Bayer AG</t>
  </si>
  <si>
    <t>60025525;60018373;60006680</t>
  </si>
  <si>
    <t>Boekhoff I.</t>
  </si>
  <si>
    <t>Pheromone-induced second-messenger signaling in insect antennae</t>
  </si>
  <si>
    <t>0965-1748(93)90063-X</t>
  </si>
  <si>
    <t>10.1016/0965-1748(93)90063-X</t>
  </si>
  <si>
    <t>2-s2.0-0001062607</t>
  </si>
  <si>
    <t>['z insulators', 'well positioned', 'waveguide launcher', 'wave mixing', 'wave launching', 'wave excitation', 'u experiment', 'stability regime', 'shear layer', 'rf limiter', 'recent jipptii', 'reactor application', 'radio frequency', 'prove useful', 'proper selection', 'possible use', 'ponderomotive effects', 'plasma transport', 'plasma physics', 'plasma edge', 'plasma differently', 'plasma confinement', 'pellet injection', 'parametric instability', 'one based', 'nonlinear processes', 'nonlinear generation', 'new york', 'mode transformed', 'mode transformation', 'made subject', 'loop antennas', 'launching process', 'latter structure', 'japanese institute', 'issues including', 'indeed work', 'important part', 'ibw wave', 'ibw ),', 'hundred kw', 'higher frequencies', 'good confinement', 'fusion 26', 'fringing fields', 'frequency turbulence', 'frequency power', 'frascati tokamak', 'first demonstrated', 'faraday shields', 'faraday shield', 'experiments performed', 'especially compatible', 'epw ).', 'either case', 'edge heating', 'core heating', 'controlled fusion', 'circular tokamak', 'c experiments', 'antenna phasing', 'another vein', 'american institute', 'also observed', 'active control', '80 mhz', '430 mhz', '1988 )].', '1988 )],', '1986 )],', '1985 )],', '130 mhz']</t>
  </si>
  <si>
    <t>Ion Bernstein wave heating (IBWH) utilizes the ion Bernstein wave (IBW), a hot plasma wave, to carry the radio frequency (rf) power to heat the tokamak reactor core. Earlier wave accessibility studies have shown that this finite-Larmor-radius (FLR) mode should penetrate into a hot dense reactor plasma core without significant attenuation. Moreover, the IBW's low perpendicular phase velocity (œâ/k‚ä• ‚âàVTi‚â™VŒ±) greatly reduces the otherwise serious wave absorption by the 3.5 MeV fusion Œ± particles. In addition, the property of IBW's that k‚ä• œÅi‚âà1 makes localized bulk ion heating possible at the ion cyclotron harmonic layers. Such bulk ion heating can prove useful in optimizing fusion reactivity. In another vein, with proper selection of parameters, IBW's can be made subject to strong localized electron Landau damping near the major ion cyclotron harmonic resonance layers. This property can be useful, for example, for rf current drive in the reactor plasma core. IBW's can be excited with loop antennas or with a lower-hybrid-like waveguide launcher at the plasma edge, the latter structure being one that is especially compatible with reactor application. In either case, the mode at the plasma edge is an electron plasma wave (EPW). Deeper in the plasma, the EPW is mode transformed into an IBW. Such launching and mode transformation of IBW's were first demonstrated in experiments in the Advanced Concepts Torus-1 (ACT-1) [Phys. Rev. Lett. 45, 1105 (1980)] plasma torus and in particle simulation calculations. These and other aspects of IBW heating physics have been investigated through a number of experiments performed on ACT-1, the Japanese Institute of Plasma Physics Tokamak II-Upgrade (JIPPTII-U) [Phys. Rev. Lett. 54, 2339 (1985)], the Tokyo University Non-Circular Tokamak (TNT) [Nucl. Fusion 26, 1097 (1986)], the Princeton Large Tokamak (PLT) [Phys. Rev. Lett. 60, 294 ( 1988)], and Alcator-C [Phys. Rev. Lett. 60, 298 (1988)]. In these experiments both linear and nonlinear heating processes have been observed. Interestingly, improvement of plasma confinement was also observed in the PLT and Alcator-C experiments, opening up the possible use of IBW's for the active control of plasma transport. Two theoretical explanations have been proposed: one based on four-wave mixing of IBW with low-frequency turbulence, the other on the nonlinear generation of a velocity-shear layer. Both models are consistent with the observed threshold power level of a few hundred kW in the experiments. Experiments on lower field plasmas on JFTII-M [Eighth Topical Conference on Radio-Frequency Power in Plasmas, Irvine, CA, 1989 (American Institute of Physics, New York, 1989), p. 350] and DIII-D [Eighth Topical Conference on Radio-Frequency Power in Plasmas, Irvine, CA, 1989 (American Institute of Physics, New York, 1989), p. 314] have raised some concern with the IBW wave-launching process. The experiments showed serious impurity release from the walls but little or no core heating, a combination of circumstances strongly suggestive of edge heating. Possible parasitic channels could include the excitation of short wavelength modes by the Faraday shield's fringing fields, antenna-sheath-wave excitation, an axial-convective loss channel, and nonlinear processes such as parametric instability and ponderomotive effects. Suggested remedies include changes in the antenna phasing, the use of low-Z insulators, operating at higher frequencies, positioning the plasma differently with respect to the antenna, eliminating the Faraday shields, and using a waveguide launcher. The recent JIPPTII-U experiment, employing a 0-œÄ phased antenna array with a higher frequency 130 MHz source, demonstrated that those remedies can indeed work. Looking to the future, one seeks additional ways in which IBWH can improve tokamak performance. The strong ponderomotive potential of the IBWH antenna may be used to stabilize external kinks and, acting as an rf limiter, to control the plasma edge. Control of the plasma pressure profile with local IBWH heating is already an important part of the Princeton Beta Experiment-Modified (PBX-M) [Ninth Topical Conference on Radio-Frequency Power in Plasmas, Charleston, SC, 1991 (American Institute of Physics, New York, 1991), p. 129] program in its exploration of the second-stability regime. Application of IBWH may also improve the performance of neutral beam heating and the efficiency and localization of lower-hybrid current drive for current profile control. Used with pellet injection, IBWH may also prolong the period of good confinement. The three planned high-power IBWH experiments covering vastly different parameters: f=40-80 MHz for PBX-M; f = 130 MHz for JIPPT-II-U; and f=430 MHz for the Frascati Tokamak-Upgrade (FT-U) [16th European Physical Society Conference on Controlled Fusion and Plasma Physics, Venice, Italy, 1989 (European Physical Society, Amsterdam, 1989), Vol. III, p. 1069] appear to be well positioned to explore these possibilities and to clarify other issues including the physics of wave launching and associated nonlinear processes. ¬© 1993 American Institute of Physics.</t>
  </si>
  <si>
    <t>241-280</t>
  </si>
  <si>
    <t>Physics of Fluids B</t>
  </si>
  <si>
    <t>Ono, Masayuki</t>
  </si>
  <si>
    <t>Princeton</t>
  </si>
  <si>
    <t>Princeton Plasma Physics Laboratory</t>
  </si>
  <si>
    <t>Ono M.</t>
  </si>
  <si>
    <t>Ion Bernstein wave heating research</t>
  </si>
  <si>
    <t>10.1063/1.860569</t>
  </si>
  <si>
    <t>2-s2.0-0001073241</t>
  </si>
  <si>
    <t>['¬© 1993', 'type antenna', 'noise temperature', 'new type', 'equivalent bar', 'detected wave']</t>
  </si>
  <si>
    <t>We propose a new type of resonant-mass gravitational wave detector, a truncated icosahedral gravitational wave antenna. It will be omnidirectional, and able to measure the direction and polarization of a detected wave. We solve a model for this system, calculate the strain noise spectrum, and conclude that its angle-averaged energy sensitivity will be 56 times better than the equivalent bar-type antenna with the same noise temperature. ¬© 1993 The American Physical Society.</t>
  </si>
  <si>
    <t>2367-2370</t>
  </si>
  <si>
    <t>60007566;60007566</t>
  </si>
  <si>
    <t>7404847027;6701310666</t>
  </si>
  <si>
    <t>Johnson, Warren W.;Merkowitz, Stephen M.</t>
  </si>
  <si>
    <t>Baton Rouge</t>
  </si>
  <si>
    <t>Louisiana State University</t>
  </si>
  <si>
    <t>Johnson W.</t>
  </si>
  <si>
    <t>Truncated icosahedral gravitational wave antenna</t>
  </si>
  <si>
    <t>10.1103/PhysRevLett.70.2367</t>
  </si>
  <si>
    <t>2-s2.0-0001147724</t>
  </si>
  <si>
    <t>['¬© 1993', 'water depths', 'vertical resolution', 'subradar latitudes', 'sites generally', 'several sites', 'sediment eroded', 'radar studies', 'radar data', 'probably necessary', 'occurred early', 'nectaris fossae', 'melas dorsa', 'long channel', 'inflowing valleys', 'horizontal resolution', 'groundbased radar', 'goldstone antenna', 'doppler observations', 'depths ranging', 'complete discharge', 'cm wavelengths', 'channel depths', 'average slope', 'associated aquifer', 'aquifer recharge', 'also included', 'adim vallis', 'academic press', '8 km', '6 ¬∞', '5 km', '4 ¬∞', '4 km', '2 %.', '1990 oppositions', '19 tracks', '1 ¬∞', '1 %.', '0 ¬∞']</t>
  </si>
  <si>
    <t>A series of delay-Doppler observations of Mars were made with the Goldstone radar facility at 3.5- and 13-cm wavelengths during the 1988 and 1990 oppositions. These oppositions provided particularly good opportunities for radar studies because of the relatively close approach of Mars during 1988 and because of improvements in the Goldstone antenna and the 3.5-cm radar system made prior to these observations. The 1988 and 1990 radar results consist of 19 tracks which cover the southern equatorial region of Mars from 3.6¬∞S to 25.1¬∞S. The topographic profiles derived from these observations have a horizontal resolution of 0.05¬∞ longitude (‚àº3 km) and a vertical resolution of 100 m. Major structures surveyed include Tyrrhena Patera, Melas Dorsa, Nectaris Fossae, the large impact basin Huygens, and the long channel Ma'adim Vallis. Ma'adim Vallis was crossed at subradar latitudes of 21.0¬∞S, 22.4¬∞S, and 25.1¬∞S, and the channel depths at these locations are 2.3-2.5 km, 1.8 km, and 0.4 km, respectively. The average slope of the Ma'adim Vallis channel floor between the three radar profiles is 0.3+0.3-0.2%. Also included in the radar data are several sites in the heavily cratered southern highlands where aqueous sedimentation may have occurred early in the history of Mars. All of the possible aqueous sedimentation sites surveyed by groundbased radar are found to be local topographic lows with depths ranging from &lt;200 to 800 m. The inflow valley areas adjacent to these sites generally have average surface slopes of about 1%. In the case of one possible aqueous sedimentation basin in the Margaritifer Sinus SE region, the measured basin depth of 800 m is comparable to the range of water depths which could have resulted from a single, complete discharge of the associated aquifer. Aquifer recharge was probably necessary, however, to have provided enough water to transport the sediment eroded from the inflowing valleys. ¬© 1993 by Academic Press, Inc.</t>
  </si>
  <si>
    <t>346-364</t>
  </si>
  <si>
    <t>Icarus</t>
  </si>
  <si>
    <t>60009777;60009777;60009037;60009037;60013791</t>
  </si>
  <si>
    <t>6505959220;7006137291;7101725729;7005418335;6603276974</t>
  </si>
  <si>
    <t>Goldspiel, Jules M.;Squyres, Steven W.;Slade, Martin A.;Jurgens, Raymond F.;Zisk, Stan H.</t>
  </si>
  <si>
    <t>United States;United States;United States</t>
  </si>
  <si>
    <t>Honolulu;Ithaca;Pasadena</t>
  </si>
  <si>
    <t>University of Hawai ªi at MƒÅnoa;Cornell Center for Astrophysics and Planetary Science;Jet Propulsion Laboratory</t>
  </si>
  <si>
    <t>60013791;60009777;60009037</t>
  </si>
  <si>
    <t>Goldspiel J.M.</t>
  </si>
  <si>
    <t>Radar-Derived Topography of Low Southern Latitudes of Mars</t>
  </si>
  <si>
    <t>S0019103583711772</t>
  </si>
  <si>
    <t>10.1006/icar.1993.1177</t>
  </si>
  <si>
    <t>2-s2.0-0001231569</t>
  </si>
  <si>
    <t>['¬© 1993', 'vds curve', 'rf impedance', 'radiation power', 'radiation frequency', 'quite comparable', 'planar antenna', 'nonlinear regime', 'infrared radiation', 'current responsivity', 'contact devices', 'coherent far', 'assisted process', 'analyze theoretically', '1 thz']</t>
  </si>
  <si>
    <t>We analyze theoretically the phenomenon of photon-assisted quantum transport in split-gate quantum point-contact devices. Both the transverse and longitudinal polarization configurations for the ac photon field are considered. We predict that ministeps should appear in the drain/source conductance versus gate voltage relation, as well as in the I-VDS curve in the nonlinear regime, for a quantum point contact irradiated with a coherent far-infrared radiation. The width of the ministeps is proportional to the radiation frequency and the height of the ministeps is a function of the radiation power. We then calculate the current responsivity for this photon-assisted process in the limit of a small radiation signal and show that it is quite comparable to the quantum efficiency e/Latin small letter h with strokeœâ at and above 1 THz if the rf impedance of the device can be matched to that of a planar antenna. ¬© 1993 The American Physical Society.</t>
  </si>
  <si>
    <t>5354-5365</t>
  </si>
  <si>
    <t>Physical Review B</t>
  </si>
  <si>
    <t>60027550;60022195</t>
  </si>
  <si>
    <t>7402531161;7403214762</t>
  </si>
  <si>
    <t>Feng, Shechao;Hu, Qing</t>
  </si>
  <si>
    <t>United States;United States</t>
  </si>
  <si>
    <t>Los Angeles;Cambridge</t>
  </si>
  <si>
    <t>University of California, Los Angeles;Massachusetts Institute of Technology</t>
  </si>
  <si>
    <t>Feng S.</t>
  </si>
  <si>
    <t>Far-infrared photon-assisted transport through quantum point-contact devices</t>
  </si>
  <si>
    <t>10.1103/PhysRevB.48.5354</t>
  </si>
  <si>
    <t>2-s2.0-0001454565</t>
  </si>
  <si>
    <t>['¬© 1993', 'vibronic region', 'vibrational modes', 'via resonance', 'unpaired electron', 'type rb', 'strong contributions', 'sphaeroides 2', 'spectrum indicates', 'spectral contributions', 'rsp .)', 'room temperature', 'resonance raman', 'reduced state', 'reaction centers', 'rcs poised', 'rcs confirm', 'rb .)', 'raman spectrum', 'purple bacteria', 'primary donor', 'plane distorted', 'photosynthetic proteins', 'p +.', 'p ).', 'oxidized states', 'fourier transform', 'first time', 'excitation wavelength', 'equally shared', 'containing carotenoid', 'cis configuration', 'chromophores mostly', 'carotenoid molecule', 'ca 70', 'bacteriochlorophyll chromophores', 'antenna complexes', '865 nm', '800 complex', '30 k', '1609 cm', '1 strain', '1 band']</t>
  </si>
  <si>
    <t>We demonstrate the application of near-infrared (NIR) Fourier transform (FT) Raman spectroscopy using 1064 nm excitation to obtain high quality preresonance Raman spectra of bacteriochlorophyll chromophores in photosynthetic proteins from purple bacteria at room temperature without sample degradation. We present NIR FT preresonance Raman spectra of chromatophores from Rhodospirillum (Rsp.) rubrum, carotenoidless strain G9 containing bacteriochlorophyll a (BChl a) chromophores mostly from its B880 antenna complex, and the B850-800 antenna complex from Rhodobacter (Rb.) sphaeroides, 2.4.1 strain; these spectra are compared with their resonance Raman (RR) spectra obtained using 363.8 nm excitation at 30 K. For antenna complexes not containing carotenoid the FT Raman spectra are dominated by the vibrational modes of the bacteriochlorophyll chromophores with no interference from the modes of the protein or membrane. In the NIR FT Raman spectrum of the B850-800 complex from Rb. sphaeroides 2.4.1, strong contributions from the carotenoid molecule are observed to cause some interference with the 1609 cm-1 band of the BChl a molecules. We also present FT Raman spectra of reaction centers (RCs) from Rb. sphaeroides R 26 in the reduced and oxidized states of their primary electron donor (P). In the reduced state, it is estimated that ca 70% of the FT Raman spectrum arises from reduced P whose electronic absorption band is at 865 nm. With 1064 nm excitation of the RCs poised in the oxidized cation radical state of P, we have observed for the first time a Raman spectrum of P+. via resonance in the vibronic region of the 1250 nm absorption band of this species. This spectrum indicates that the unpaired electron in dimeric P+. is not equally shared between the two BChl molecules constituting the primary donor. Spectral contributions of the carotenoid in the FT RR spectra of wild-type Rb. sphaeroides (2.4.1) RCs confirm it is assuming an out-of-plane distorted, 15-cis configuration under the specific conditions offered by FT Raman spectroscopy, i.e. with the sample at room temperature and using an excitation wavelength which is non-actinic for the carotenoid. ¬© 1993.</t>
  </si>
  <si>
    <t>785-799</t>
  </si>
  <si>
    <t>Spectrochimica Acta Part A: Molecular Spectroscopy</t>
  </si>
  <si>
    <t>May 1993/June 1993</t>
  </si>
  <si>
    <t>102075052;60014264;102075052;60014264;102075052;102075052</t>
  </si>
  <si>
    <t>7004214593;15759443900;6701790482;7005842348;7103125115;7201814095</t>
  </si>
  <si>
    <t>Mattioli, Tony A.;Hoffmann, Andreas;Sockalingum, D. G.;Schrader, Bernhard;Robert, Bruno;Lutz, Marc</t>
  </si>
  <si>
    <t>Germany;France</t>
  </si>
  <si>
    <t>Duisburg;Gif-sur-Yvette</t>
  </si>
  <si>
    <t>Universit√§t Duisburg-Essen;D√©partement de Biologie Cellulaire et Mol√©culaire</t>
  </si>
  <si>
    <t>60014264;102075052</t>
  </si>
  <si>
    <t>Mattioli T.</t>
  </si>
  <si>
    <t>Application of near-IR Fourier transform resonance Raman spectroscopy to the study of photosynthetic proteins</t>
  </si>
  <si>
    <t>058485399380103H</t>
  </si>
  <si>
    <t>10.1016/0584-8539(93)80103-H</t>
  </si>
  <si>
    <t>2-s2.0-0001784356</t>
  </si>
  <si>
    <t>['thus allowing', 'thorough study', 'sufficiently low', 'photosynthesis properties', 'measuring light', 'instrument may', 'high flexibility', 'great sensitivity', 'fluorescence level', 'fluorescence ),', 'experimental basis', 'excitation light', 'emission wavelengths', 'chlorophyll concentrations', 'assess photosynthesis', 'appropriate modifications', 'absorbance changes', '1 œºg']</t>
  </si>
  <si>
    <t>alga photosynthesis | chlorophyll fluorescence | PAM fluorometer | photosynthesis | phytoplankton | quenching analysis</t>
  </si>
  <si>
    <t>A newly developed modulation fluorometer is described which employs repetitive 1 Œºs Xe-flashes for excitation light. Similar to the standard PAM Chlorophyll Fluorometer, which uses 1 Œºs LED pulses for measuring light, the integrated measuring light intensity is sufficiently low to monitor the dark-fluorescence level, Fo. The maximal fluorescence yield, Fm, can be determined with high selectivity upon application of a saturating light pulse. The Xe-PAM displays exceptionally high sensitivity, enabling quenching analysis at chlorophyll concentrations as low as 1 Œºg/l, thus allowing to assess photosynthesis of phytoplankton in natural waters like lakes, rivers and oceans. Due to high flexibility in the choice of excitation and emission wavelengths, this system also provides the experimental basis for a thorough study of fluorescence and photosynthesis properties of various algae classes with differing antenna organisation. By appropriate modifications, the instrument may as well be used to measure with great sensitivity and selectivity other types of fluorescence (e.g. NADPH-fluorescence), as well as light-scattering and absorbance changes. ¬© 1993 Kluwer Academic Publishers.</t>
  </si>
  <si>
    <t>65-72</t>
  </si>
  <si>
    <t>Photosynthesis Research</t>
  </si>
  <si>
    <t>60108337;60108337;60108337</t>
  </si>
  <si>
    <t>7006532114;7003791761;16449704900</t>
  </si>
  <si>
    <t>Schreiber, Ulrich;Neubauer, Christian;Schliwa, Ulrich</t>
  </si>
  <si>
    <t>Schreiber U.</t>
  </si>
  <si>
    <t>PAM fluorometer based on medium-frequency pulsed Xe-flash measuring light: A highly sensitive new tool in basic and applied photosynthesis research</t>
  </si>
  <si>
    <t>10.1007/BF00018076</t>
  </si>
  <si>
    <t>2-s2.0-0001854241</t>
  </si>
  <si>
    <t>['vacuum gap', 'separately excited', 'rf power', 'plasma density', 'helical antenna', 'conducting wall', '=+ 1']</t>
  </si>
  <si>
    <t>High density plasma production using m=+1 and m= ‚Äî1 helicon waves is studied. Characteristics of cylindrical helicon waves including effects of a vacuum gap between the plasma and the conducting wall and of a non-uniform density profile are presented. The m=+1 and m= ‚Äî1 helicon modes are separately excited by a helical antenna, and the dependences of plasma density and antenna loading resistance on rf power are shown to be different for these modes. ¬© 1993 IOP Publishing Ltd.</t>
  </si>
  <si>
    <t>Plasma Sources Science and Technology</t>
  </si>
  <si>
    <t>60000264;60000264;60000264;60000264;60000264</t>
  </si>
  <si>
    <t>57197863875;55192589400;7403224298;57080415000;22969111700</t>
  </si>
  <si>
    <t>Shoji, T.;Sakawa, Y.;Nakazawa, S.;Kadota, K.;Sato, T.</t>
  </si>
  <si>
    <t>Nagoya</t>
  </si>
  <si>
    <t>Nagoya University</t>
  </si>
  <si>
    <t>Shoji T.</t>
  </si>
  <si>
    <t>Plasma production by helicon waves</t>
  </si>
  <si>
    <t>10.1088/0963-0252/2/1/002</t>
  </si>
  <si>
    <t>2-s2.0-0001911317</t>
  </si>
  <si>
    <t>['¬© 1993', 'xanthophyll cycle', 'violaxanthin availability', 'spectroscopic features', 'spectra indicates', 'second type', 'rights reserved', 'reaction centers', 'particular close', 'overall decrease', 'fluorescence quenching', 'fluorescence decrease', 'first one', 'first 100', 'f illumination', 'excitation spectra', 'different steps', 'dark adaptation', 'chlorophyll fluorescence', 'antenna pigments']</t>
  </si>
  <si>
    <t>Chlorophyll Fluorescence | Photosynthesis | Violaxanthin | Xanthophyll Cycle</t>
  </si>
  <si>
    <t>Excitation spectra of chlorophyll fluorescence from intact rye leaves were registered at different steps of the induction of photosynthesis after dark adaptation. Analysis of these spectra indicates that at least two processes related to spectroscopic features are responsible for a fluorescence quenching. The first one, active during the first 100 s of illumination, was interpreted to consists in an overall decrease of the fluorescence quantum yield of antenna pigments and chlorophylls, in particular close to the reaction centers. The second type of a fluorescence decrease (between 100 s and 300 s o f illumination) was found to be in large extent related to decrease of the rate of an excitation energy transfer between accessory xanthophyll pigments and chlorophylls emitting fluorescence. This latter molecular mechanism is discussed as being related to violaxanthin availability to de-epoxidation in the xanthophyll cycle. ¬© 1993, Walter de Gruyter. All rights reserved.</t>
  </si>
  <si>
    <t>46-51</t>
  </si>
  <si>
    <t>Zeitschrift fur Naturforschung - Section C Journal of Biosciences</t>
  </si>
  <si>
    <t>60011685;60011685</t>
  </si>
  <si>
    <t>7005047468;6701372735</t>
  </si>
  <si>
    <t>Gruszecki, Wieslaw I.;Krupa, Zbigniew</t>
  </si>
  <si>
    <t>Poland</t>
  </si>
  <si>
    <t>Lublin</t>
  </si>
  <si>
    <t>Maria Curie-Sklodowska University in Lublin</t>
  </si>
  <si>
    <t>Gruszecki W.</t>
  </si>
  <si>
    <t>Changes of Excitation Spectra of in vivo Chlorophyll Fluorescence during Induction of Photosynthesis</t>
  </si>
  <si>
    <t>10.1515/znc-1993-1-209</t>
  </si>
  <si>
    <t>2-s2.0-0002167015</t>
  </si>
  <si>
    <t>14-38</t>
  </si>
  <si>
    <t>IEEE Antennas and Propagation Magazine</t>
  </si>
  <si>
    <t>60030553;60030553;60030553;60030553;60030553</t>
  </si>
  <si>
    <t>7202044329;7006052449;7006272544;22955400400;7003701045</t>
  </si>
  <si>
    <t>Daniel, J. P.;Dubost, G.;Terret, C.;Citerne, J.;Drissi, M.</t>
  </si>
  <si>
    <t>France</t>
  </si>
  <si>
    <t>Rennes</t>
  </si>
  <si>
    <t>Universite de Rennes 1</t>
  </si>
  <si>
    <t>Daniel J.</t>
  </si>
  <si>
    <t>Research on planar antennas and arrays: ‚ÄúStructures Rayonnantes‚Äù</t>
  </si>
  <si>
    <t>10.1109/74.210827</t>
  </si>
  <si>
    <t>2-s2.0-0002293325</t>
  </si>
  <si>
    <t>['¬© 1993', 'turn limits', 'thermal damage', 'stomatal conductance', 'significant differences', 'shoot contents', 'rights reserved', 'primary site', 'photosynthetic membranes', 'photosynthetic capacity', 'partly supported', 'net photosynthesis', 'nadph required', 'intercellular c02', 'increasing levels', 'fluorescence measurements', 'day period', 'data suggest', 'copper varying', 'copper inhibition', 'antenna chlorophyll', '25 mg', '01 mg']</t>
  </si>
  <si>
    <t>ATP synthetase | Chl | Chlorophyll | Chlorophyll a fluorescence | Energy-dependent quenching | estimation of quantum yield of non-cyclic electron transport | Excess copper | F M | F o | F v | Initial minimal or basal fluorescence | LHC | Light-harvesting complex | Maximum fluorescence | Non-photochemical quenching | Photochemical quenching | photosynthesis | Photosystem | PS | q E | q N | q p | ribulose-1,5-bisphosphate carboxylase/oxygenase | Rice | Rubisco | Variable fluorescence | Œ¶   (= F /F ¬∑q ) e v M p</t>
  </si>
  <si>
    <t>Rice (Oryza sativa L.) plants were grown over a 30-day period in nutrient solution containing concentrations of copper varying from 0.002 to 6.25 mg/L. Shoot contents of copper, net photosynthesis, intercellular C02, stomatal conductance and photosynthetic capacity were measured. Copper concentration increased in the shoot with increasing levels of the metal in the solution, decreasing net photosynthesis and photosynthetic capacity above the 0.01 mg/L Cu treatment. Comparison of the effects of increasing copper concentrations on stomatal conductance to water and to intercellular CO2 concentrations in relation to net photosynthesis showed no significant differences. Chlorophyll a fluorescence measurements, partly supported by measurements of ATP synthetase activity and electron microscopy studies of thylakoids, suggested a primary site of copper inhibition on the antenna chlorophyll a molecules of PSII. Our data suggest that this copper inhibition can be attributed to thermal damage of photosynthetic membranes, which in turn limits the yield of ATP and NADPH required for the reductive pentosephosphate cycle. ¬© 1993, Gustav Fischer Verlag, Stuttgart. All rights reserved.</t>
  </si>
  <si>
    <t>Journal of Plant Physiology</t>
  </si>
  <si>
    <t>60022729;60007274;60022729</t>
  </si>
  <si>
    <t>6701457724;57196449038;7003924661</t>
  </si>
  <si>
    <t>Lidon, Fernando C.;Ramalho, Jos√© C.;Henriques, Fernando S.</t>
  </si>
  <si>
    <t>Portugal;Portugal</t>
  </si>
  <si>
    <t>Caparica;Lisbon</t>
  </si>
  <si>
    <t>NOVA School of Science and Technology;Instituto de Investiga√ß√£o Cient√≠fica Tropical</t>
  </si>
  <si>
    <t>60022729;60007274</t>
  </si>
  <si>
    <t>Lidon F.C.</t>
  </si>
  <si>
    <t>Copper Inhibition of Rice Photosynthesis</t>
  </si>
  <si>
    <t>S0176161711801008</t>
  </si>
  <si>
    <t>10.1016/S0176-1617(11)80100-8</t>
  </si>
  <si>
    <t>2-s2.0-0002485258</t>
  </si>
  <si>
    <t>['suits show', 'specific expressions', 'scattering superposition', 'rights reserved', 'radiation characteristics', 'purely circular', 'linear polarization', 'first using', 'far field', 'eigenfunction expansion', 'directly used', 'cylindrical mul', 'cylindrical chirodome', 'chiral media', 'also found']</t>
  </si>
  <si>
    <t>In this paper, a formulation for the dyadic Green‚Äôs function of cylindrical mul- tilayered chiral media is presented at first using the methods of eigenfunction expansion and scattering superposition. The specific expressions of the dyadic Green‚Äôs function are also found in terms of normalized cylindrical vector wave functions, when the electric current sources are placed both inside and outside of a chiral circular cylinder and a cylindrical chirodome. The radiation characteristics of a point dipole antenna on the axis of chiral circular cylinder and cylindrical chirodome are analysed. For both cases, the re- suits show that by changing the size of chiral circular cylinder, the thickness of cylindrical chirodome and the parameters of chiral media, purely circular and linear polarization can be obtained in the far field. Also, the expressions of dyadic Green‚Äôs function given in this paper can be directly used to analyse the radiation characteristics of cylindrical chirostrip antennas. ¬© 1993 VSP, All rights reserved.</t>
  </si>
  <si>
    <t>1005-1027</t>
  </si>
  <si>
    <t>Journal of Electromagnetic Waves and Applications</t>
  </si>
  <si>
    <t>60003977;60018308</t>
  </si>
  <si>
    <t>35239370900;38262122300</t>
  </si>
  <si>
    <t>Yin, W.;Wang, W.</t>
  </si>
  <si>
    <t>China;China</t>
  </si>
  <si>
    <t>Xi'an;Xi'an</t>
  </si>
  <si>
    <t>Xi'an Jiaotong University;Northwestern Polytechnical University</t>
  </si>
  <si>
    <t>60018308;60003977</t>
  </si>
  <si>
    <t>Yin W.</t>
  </si>
  <si>
    <t>Dyadic Green‚Äôs Function of Cylindrical Multilayered Chiral Media and Its Applications</t>
  </si>
  <si>
    <t>10.1163/156939393X00165</t>
  </si>
  <si>
    <t>2-s2.0-0002708239</t>
  </si>
  <si>
    <t>['simulation suggests', 'simulated using', 'safety factor', 'resume even', 'q0 ).', 'observed saturated', 'movable antenna', 'minor radius', 'mhd activity', 'magnetic axis', 'fusion 1', 'ech pulse', 'ech plasma', 'ech beam', 'directed close', 'cylindrical geometry', '2 surface', '2 magnetohydrodynamic', '2 island', '2 activity', '1981 )].']</t>
  </si>
  <si>
    <t>Electron cyclotron heating (ECH) is used to suppress m = 2 magnetohydrodynamic (MHD) oscillations in the Texas Experimental Tokamak (TEXT) [Nucl. Technol. Fusion 1, 479 ( 1981 )]. The location of ECH power deposition is controlled by a movable antenna. The MHD activity is suppressed when the ECH beam is directed close to the q=2 surface. The experiment is simulated using a three-dimensional resistive MHD code in cylindrical geometry. For fixed plasma current, the saturated m = 2 island width is found to depend on the value of the safety factor at the magnetic axis (q0). The simulation suggests that the observed saturated m=2 island in the pre-ECH plasma, which typically occupies 25% of the minor radius, corresponds to q0‚àº 1.3. The suppression of the island in the presence of ECH is attributed to current profile modification. In some discharges, the m = 2 activity does not resume even after the ECH pulse is turned off. ¬© 1993 American Institute of Physics.</t>
  </si>
  <si>
    <t>3239-3245</t>
  </si>
  <si>
    <t>60013372;60013372-60011754;60013372-60027550;60013372-60020697;60013372-60011754;60013372-60019118;60030162;60030162;60030162-60015916</t>
  </si>
  <si>
    <t>6701727362;7202193382;57189019498;8609519300;7003391067;7404976631;57206602049;56556042400;6603779500</t>
  </si>
  <si>
    <t>Sing, D. C.;Austin, M. E.;Brower, D. L.;Chen, J. Y.;Gandy, R. F.;Yu, C. X.;Wang, X. H.;Bhattacharjee, A.;Schnack, D. D.</t>
  </si>
  <si>
    <t>United States;United States;China;China;United States;United States;United States</t>
  </si>
  <si>
    <t>New York;Los Angeles;Hefei;Hefei;San Diego;Austin;Auburn</t>
  </si>
  <si>
    <t>Columbia University;University of California, Los Angeles;Institute of Plasma Physics Chinese Academy of Sciences;University of Science and Technology of China;SAIC;The University of Texas at Austin;Auburn University</t>
  </si>
  <si>
    <t>60030162;60027550;60020697;60019118;60015916;60013372;60011754</t>
  </si>
  <si>
    <t>Sing D.C.</t>
  </si>
  <si>
    <t>Suppression of m=2 islands by electron cyclotron heating in the Texas Experimental Tokamak: Experiment and theory</t>
  </si>
  <si>
    <t>10.1063/1.860659</t>
  </si>
  <si>
    <t>2-s2.0-0004716891</t>
  </si>
  <si>
    <t>['wiley blackwell', 'unexpected result', 'tentacular cirri', 'taxon containing', 'surprising features', 'sister group', 'second segment', 'rights reserved', 'presumably found', 'present anterior', 'polychaeta annelida', 'nuchal papilla', 'nuchal organs', 'nervous system', 'median antenna', 'genus descended', 'genera paranaitis', 'four problems', 'first segments', 'eteone reveals', 'different alterations', 'basically homologous', 'anterior concentration']</t>
  </si>
  <si>
    <t>Cladistics | Eteone | Eulalia | Eumida | Nereiphylla | Nervous system | Notophyllum | Phyllodoce | Phyllodocidae | Phylogeny | Polychaeta</t>
  </si>
  <si>
    <t>The phylogeny of the Phyllodocidae (Polychaeta Annelida) is examined in an analysis which includes previously unnoticed characters of the nervous system. Concentrating on four problems of importance in understanding the phylogeny of the family, a study of the nervous system demonstrated that: 1. A median antenna, such as that present in species of Eulalia, is not homologous to the nuchal papilla of, for example, Eteone and Phyllodoce; 2. Nuchal organs, presumably found in all phyllodocids, are basically homologous, but four separate types may be recognized; 3. The anterior concentration of the first segments (particularly their tentacular cirri), which is evident in most phyllodocids, is accompanied by different alterations of the ventral nervous system. The polarities of these changes are not self‚Äêevident; 4. A study of the ventral nervous system of Eteone reveals that the first apparent segment, bearing two pairs of tentacular cirri, must be regarded as homologous to the second segment of all other phyllodocids. Furthermore, this genus descended from forms in which a segment was present anterior to the first apparent segment, the first two segments possibly bearing tightly packed tentacular cirri. In connection with other characters, this information was used to produce a cladogram, which has some surprising features. The most unexpected result is the prediction that Eteone is the sister group of a taxon containing the genera Paranaitis, Chaetoparia, and Phyllodoce. The results are discussed and compared to those of other investigators. Copyright ¬© 1993, Wiley Blackwell. All rights reserved</t>
  </si>
  <si>
    <t>174-197</t>
  </si>
  <si>
    <t>Journal of Zoological Systematics and Evolutionary Research</t>
  </si>
  <si>
    <t>Eibye‚ÄêJacobsen, D.</t>
  </si>
  <si>
    <t>Denmark</t>
  </si>
  <si>
    <t>Copenhagen</t>
  </si>
  <si>
    <t>Zoological Museum, Copenhagen</t>
  </si>
  <si>
    <t>Eibye‚ÄêJacobsen D.</t>
  </si>
  <si>
    <t>On the phylogeny of the Phyllodocidae (Polychaeta Annelida): an alternative</t>
  </si>
  <si>
    <t>10.1111/j.1439-0469.1993.tb00188.x</t>
  </si>
  <si>
    <t>2-s2.0-0005950760</t>
  </si>
  <si>
    <t>['zonocerus variegatus', 'variegated grasshopper', 'topical application', 'solitarization effects', 'seed kernels', 'schistocerca gregaria', 'red locust', 'often observed', 'nomadacris septemfasciata', 'neem tree', 'neem oil', 'morphogenetische defekte', 'morphogenetic defects', 'migratorioides auf', 'mainly occurred', 'important locust', 'highest mortality', 'gregarious nymphs', 'gregaria vor', 'green colour', 'grasshopper species', 'good success', 'field trials', 'desert locust', 'azadirachta indica', 'also reduction']</t>
  </si>
  <si>
    <t>The effect of ingredients of seed kernels of the neem tree (Azadirachta indica) on nymphs of locusts and grasshoppers were studied in laboratory, semi‚Äêfield and field trials in Africa, Germany and Madagascar. There was a very strong phagorepellent effect of neem oil on the desert locust, Schistocerca gregaria, and on the red locust, Nomadacris septemfasciata. The same applied to the variegated grasshopper, Zonocerus variegatus. On the other hand, the African migratory locust, Locusta migratoria migratorioides, was repelled from neem‚Äêoil treated food to a much lesser extent than the other species. Morphogenetic defects on antennae, legs and wings were often observed on nymphs and adults of S. gregaria and to a somewhat lesser extent of Z. variegatus and L. m. migratorioides. Slight effects occurred in N. septemfasciata. Solitarization effects on gregarious nymphs, e.g. green colour, mainly occurred in S. gregaria, also reduction of fitness. The highest mortality after topical application was recorded in S. gregaria and Z. variegatus, after intake of neem‚Äêcontaminated food in L. m. migratorioides and Z. variegatus. Neem oil and other products (aqueous seed kernel extracts, neem seed powder) can be used for controlling some important locust and grasshopper species in farmers' fields with good success. Wirkungen von Niem√∂l und anderen Niemprodukten auf Larven und aus diesen hervorgegangenen Imagines von Schistocerca gregaria, Nomadacris septemfasciata, Locusta migratoria migratorioides und Zonocerus variegatus Die Wirkung von Inhaltsstoffen der Samenkerne des Niembaumes (Azadirachta indica) auf Larven von Wander‚Äê und anderen Heuschrecken wurde in Labor‚Äê, Halbfreiland‚Äê und Freilanduntersuchungen in Afrika, Deutschland und Madagaskar untersucht. Ein sehr starker phagorepellenter Effekt von Niem√∂l wurde bei der W√ºstenheuschrecke Schistocerca gregaria und bei der Roten Wanderheuschrecke Nomadacris septemfasciata beobachtet. Entsprechendes wurde auch bei der Stinkheuschrecke Zonocercus variegatus festgestellt. Auf der anderen Seite wurde die Afrikanische Wanderheuschrecke Locusta migratoria migratorioides von mit Niem√∂l behandeltem Futter viel weniger abgeschreckt als die anderen Arten. Morphogenetische Defekte an Antennen, Beinen und Fl√ºgeln traten bei Larven und Imagines von S. gregaria oft und in etwas geringerem Ausma√ü bei Z. variegatus und L. m. migratorioides auf. Leichte Effekte zeigten sich bei N. septemfasciata. Solitarisierungseffekte bei greg√§ren Larven wie Gr√ºnf√§rbung kamen haupts√§chlich bei S. gregaria vor, ebenso eine Verminderung der Leistungsf√§higkeit. Die gr√∂√üte Sterblichkeit nach topikaler Anwendung von Niemprodukten zeigte sich bei S. gregaria und Z. variegatus. Niem√∂l und andere Niemprodukte (Wasserextrakte aus Samenkernen, Samenpuder) sind f√ºr die Bek√§mpfung von wichtigen Wander‚Äê und anderen Heuschrecken in den kleinen Feldern von Bauern in Afrika und anderswo mit gutem Erfolg anwendbar. 1993 Blackwell Verlag GmbH</t>
  </si>
  <si>
    <t>178-186</t>
  </si>
  <si>
    <t>Journal of Applied Entomology</t>
  </si>
  <si>
    <t>January/December 1993</t>
  </si>
  <si>
    <t>60017134;60017134;60017134;60017134;60017134</t>
  </si>
  <si>
    <t>6602751387;57195040634;57195044832;57195043672;7102631382</t>
  </si>
  <si>
    <t>Schmutterer, H.;Baumgart, M.;Freisewinkel, D.;Langenwald, J.;Nicol, C. M.Y.</t>
  </si>
  <si>
    <t>Giessen</t>
  </si>
  <si>
    <t>Justus-Liebig-Universit√§t Gie√üen</t>
  </si>
  <si>
    <t>Schmutterer H.</t>
  </si>
  <si>
    <t>The effects of neem oil and other neem products on nymphs and resulting adults of Schistocerca gregaria, Nomadacris septemfasciata, Locusta migratoria migratorioides, and Zonocercus variegatus</t>
  </si>
  <si>
    <t>10.1111/j.1439-0418.1993.tb01186.x</t>
  </si>
  <si>
    <t>2-s2.0-0006392484</t>
  </si>
  <si>
    <t>Funda√ß√£o de Amparo √† Pesquisa do Estado de S√£o Paulo</t>
  </si>
  <si>
    <t>FAPESP</t>
  </si>
  <si>
    <t>['¬© 1993', 'various types', 'time resolution', 'system permits', 'start operating', 'reverse slope', 'particularly interesting', 'morphological studies', 'frequency resolution', 'frequency range', 'dynamic spectra', '20 frequencies', '100 ms', '10 mhz']</t>
  </si>
  <si>
    <t>Decimetric Solar Radio Spectroscope has been put into operation since March 1991 at S√£o Jos√© dos Campos, Brazil. Presently, it is operating over frequency range of (1.6 ¬± 0.1) GHz, with time resolution of 100 ms and frequency resolution of (0.3-3) MHz, in conjunction with a 9 m diameter polar mounted antenna. The dynamic spectra are recorded on 35 mm film, while 20 frequencies each separated by 10 MHz are digitized with time resolution of 100 ms. So far, various types of bursts have been observed by this system. Morphological studies of these bursts are presented. Particularly interesting are reverse slope (RS) type III bursts. Soon this system will start operating over a frequency range of (0.2-2.5) GHz, simultaneously in two circular polarizations. Flexibility of this system permits to select desired frequency range with resolution in time of (1-250) ms and in frequency of (0.1-3) MHz. ¬© 1993.</t>
  </si>
  <si>
    <t>199-202</t>
  </si>
  <si>
    <t>Advances in Space Research</t>
  </si>
  <si>
    <t>60012729;60012729;60012729;60012729;60012729;60012729</t>
  </si>
  <si>
    <t>7003555403;7004021938;8686423500;7103077878;6602604931;7102610603</t>
  </si>
  <si>
    <t>Sawant, H. S.;Sobral, J. H.A.;Neri, J. A.C.F.;Fernandes, F. C.R.;Cecatto, J. R.;Rosa, R. R.</t>
  </si>
  <si>
    <t>Brazil</t>
  </si>
  <si>
    <t>Sao Jose dos Campos</t>
  </si>
  <si>
    <t>Instituto Nacional de Pesquisas Espaciais</t>
  </si>
  <si>
    <t>Sawant H.S.</t>
  </si>
  <si>
    <t>High sensitivity digital decimetric spectroscope</t>
  </si>
  <si>
    <t>027311779390479U</t>
  </si>
  <si>
    <t>10.1016/0273-1177(93)90479-U</t>
  </si>
  <si>
    <t>2-s2.0-0008265712</t>
  </si>
  <si>
    <t>['works well', 'weaker sources', 'system comprises', 'sufficient signal', 'successful self', 'since self', 'show examples', 'present maps', 'obtain simultaneous', 'low efficiency', 'ionospheric variations', 'based interferometer', 'angular resolution', 'amplifier installed', '74 mhz', '330 mhz']</t>
  </si>
  <si>
    <t>A new observing system operating at 74 MHz and providing an angular resolution of 20‚Ä≥ is currently being tested at the VLA. The system comprises a prime-focus dipole feed and amplifier installed on eight of the VLA's 25 m antennas. Although the system is of low efficiency, it works well for imaging strong sources (S ‚àº ‚â• 200 Jy) on long baselines (&gt; 5 km) since self-calibration has sufficient signal to noise to remove phase errors on the short time scales (‚àº 10 s) characteristic of ionospheric variations. We present maps of a few strong, well known radio sources imaged in most cases with unprecedented angular resolution. For weaker sources, the ionospheric phase variations do not allow the increased integration times required for successful self-calibration. In order to overcome this, we have developed a procedure of dual-frequency ionospheric phase referencing utilizing simultaneous observations at 74 and 330 MHz to "unwind" the effects of the ionosphere before self-calibration. We will discuss the procedure, which should be applicable to any future low frequency (&lt; 100 MHz), long baseline (&gt; 5 km), ground-based interferometer which can obtain simultaneous, higher frequency measurements, and show examples of its application.</t>
  </si>
  <si>
    <t>2218-2228</t>
  </si>
  <si>
    <t>Astronomical Journal</t>
  </si>
  <si>
    <t>60027271;60021907;60015356;60021907-60022784</t>
  </si>
  <si>
    <t>35560604800;7004597813;7006207508;55976434400</t>
  </si>
  <si>
    <t>Kassim, N. E.;Perley, R. A.;Erickson, W. C.;Dwarakanath, K. S.</t>
  </si>
  <si>
    <t>United States;India;United States;Australia</t>
  </si>
  <si>
    <t>Washington, D.C.;Bengaluru;Socorro;Hobart</t>
  </si>
  <si>
    <t>Naval Research Laboratory;Raman Research Institute;National Radio Astronomy Observatory Socorro;University of Tasmania</t>
  </si>
  <si>
    <t>60027271;60022784;60021907;60015356</t>
  </si>
  <si>
    <t>Kassim N.</t>
  </si>
  <si>
    <t>Subarcminute resolution imaging of radio sources at 74 MHz with the very large array</t>
  </si>
  <si>
    <t>10.1086/116795</t>
  </si>
  <si>
    <t>2-s2.0-0008544213</t>
  </si>
  <si>
    <t>['œâp ).', 'œâ ce1', 'rotate synchronously', 'radio frequency', 'observable externally', 'naturally present', 'loop antennas', 'localized near', 'lines evolve', 'line spectrum', 'length ).', 'latter case', 'filtering effect', 'earlier observations', 'contains energetic', 'constructively interfere', 'active discharge', '45 ev', '4 torr']</t>
  </si>
  <si>
    <t>Radio frequency (rf) magnetic fluctuations B have been measured with loop antennas in a large pulsed discharge plasma column (ne ‚â≤ 10 12 cm-3, kT e‚â≤ 3 eV, B0‚âÉ20 G, Ar, 2√ó10-4 Torr, 1 m diam√ó2.5 m length). A 1/ f-like noise spectrum is observed in the whistler wave regime (œâ ce1/2œâci1/2&lt;œâ&lt;œâce) both in the Maxwellian afterglow plasma and in the active discharge which contains energetic (45 eV) electrons. Discrete emission lines at the electron cyclotron frequency and its harmonics are found only in the presence of spiraling energetic electrons. These are naturally present in the active discharge but have also been injected as a controlled oblique electron beam into the Maxwellian afterglow plasma. In the latter case up to 15 cyclotron harmonic lines with weak amplitude decay BÃÉz(œâ) are generated in the beam flux tube. From two-point correlation measurements it is shown that the line spectrum is due to ballistic beam modes rather than plasma eigenmodes driven unstable by the beam. The lines evolve from broadband thermal current fluctuations of the beam through a filtering effect. Those fluctuations which rotate synchronously with the ordered cyclotron motion (œâ=nœâc) constructively interfere (k‚à• =0) and produce coherent solenoidal rf fields, while others interfere destructively. Axial and azimuthal phase velocity measurements for rf-modulated beams clearly demonstrate the filtering effect. In the present parameter regime (œâp‚â´œâc) the fluctuations are evanescent and localized near the electron flux tube (rc‚â≥c/ œâp). In low density plasmas the fluctuations may couple to propagating electromagnetic waves and be observable externally as in earlier observations by Landauer or Ikegami. ¬© 1993 American Institute of Physics.</t>
  </si>
  <si>
    <t>3789-3797</t>
  </si>
  <si>
    <t>60027550;60027550-60011774</t>
  </si>
  <si>
    <t>7004643397;6603477510</t>
  </si>
  <si>
    <t>Stenzel, R. L.;Golubyatnikov, G.</t>
  </si>
  <si>
    <t>United States;Russian Federation</t>
  </si>
  <si>
    <t>Los Angeles;Nizhny Novgorod</t>
  </si>
  <si>
    <t>University of California, Los Angeles;Institute of Applied Physics of the Russian Academy of Sciences</t>
  </si>
  <si>
    <t>60027550;60011774</t>
  </si>
  <si>
    <t>Stenzel R.L.</t>
  </si>
  <si>
    <t>Cyclotron harmonic lines in the thermal magnetic fluctuation spectrum of spiraling electrons in plasmas</t>
  </si>
  <si>
    <t>10.1063/1.860959</t>
  </si>
  <si>
    <t>2-s2.0-0009629566</t>
  </si>
  <si>
    <t>['studied combining', 'single parameter', 'respectively ).', 'relations derived', 'published expressions', 'photochemical trapping', 'photochemical trap', 'mean residence', 'intermediate values', 'initial conditions', 'infinite time', 'homogeneous lattices', 'francis group', 'fluorescence lifetimes', 'experimental data', 'escape probabilityf', 'equilibrium probability', 'energy transfer', 'easily calculated', 'considerable improvement', 'closed traps', 'characteristic time', '1 ]),']</t>
  </si>
  <si>
    <t>Energy transfer in arrays of photosynthetic antenna pigments containing a photochemical trap is studied combining the transition probability matrix method with random walk theory and experimental data on fluorescence lifetimes and overall trapping efficiencies in systems with open and closed photochemical trap. New exact expressions for the fluorescence decay time and the trapping at infinite time are derived that contain the probability to escape from the trap as a single parameter. Two approximate relations for the fluorescence decay time, œÑe, and T, the probability that trapping has occurred at infinite time, are derived that can be applied to homogeneous and heterogeneous antenna arrays: œÑe = œÑtœÑc1/(œÑt + œÑc1Pf) T = œÑc1/(œÑc1 + œÑt[(1/p - 1)/f+ 1]), where œÑt is the characteristic time of photochemical trapping, œÑc1 the fluorescence decay time for closed traps, f the probability to escape from the trap, and p the equilibrium probability to find the excitation on the trap. p is independent of the initial conditions (selective or random excitation); p = 1/N for homogeneous lattices, while for heterogeneous symmetric lattices p can be easily calculated with the transition probability matrix method. For homogeneous lattices the above relations are accurate to within a few percent over the entire range 0 &lt; f &lt; 1; for the intermediate values off they are a considerable improvement over published expressions for the fast and slow hopping limits (f = 1 and f = 0, respectively). The relations derived here are used for determining the escape probabilityf and the mean residence or hopping time h for the core antenna system of the photosynthetic bacterium Rhodobacter sphaeroides. ¬© 1993 Taylor &amp; Francis Group, LLC.</t>
  </si>
  <si>
    <t>799-819</t>
  </si>
  <si>
    <t>Molecular Physics</t>
  </si>
  <si>
    <t>60026851-60003878;60026851</t>
  </si>
  <si>
    <t>7103325525;7402920758</t>
  </si>
  <si>
    <t>Hoff, Arnold J.;Fischer, Monika R.</t>
  </si>
  <si>
    <t>United Kingdom;Netherlands</t>
  </si>
  <si>
    <t>Oxford;Leiden</t>
  </si>
  <si>
    <t>University of Oxford;Sterrewacht Leiden</t>
  </si>
  <si>
    <t>60026851;60003878</t>
  </si>
  <si>
    <t>Hoff A.</t>
  </si>
  <si>
    <t>Excitation migration and trapping in homogeneous and heterogeneous lattices application to the light-harvesting antenna complex of photosynthetic bacteria</t>
  </si>
  <si>
    <t>10.1080/00268979300100551</t>
  </si>
  <si>
    <t>2-s2.0-0010998571</t>
  </si>
  <si>
    <t>Scientific Committee on Antarctic Research</t>
  </si>
  <si>
    <t>2 2626 00604</t>
  </si>
  <si>
    <t>SCAR</t>
  </si>
  <si>
    <t>['¬© 1993', 'two probes', 'thereby generating', 'specifically defined', 'radii greater', 'quasistatic signal', 'probe antenna', 'present study', 'positive spikes', 'particles responsible', 'overall variation', 'long double', 'linear dependence', 'interpretation purposes', 'inner coma', 'impact direction', 'high fluxes', 'dust particles', 'dust impacts', 'different magnitudes', 'dense clouds', 'count rates', '8 g']</t>
  </si>
  <si>
    <t>The quasistatic electric field records made in Halley's coma by the APV-V experiment represented a superposition of the overall negative variation with a number of positive spikes. A correlation has been found between the overall variation and the count rates of dust particles in the mass range 10-11-10-8 g. For interpretation purposes the impact-induced plasma cloud radius has been specifically defined. Owing to the asymmetry of the double-probe antenna with respect to the impact direction, the particles producing plasma clouds with radii greater than several metres induced impulsive negative potentials of different magnitudes on the two probes, thereby generating an apparent electric field. In the inner coma, the electron emission generated by impacts of cometary gas molecules maintained the sensitivity of the antenna to dust impacts, but implied that the lower mass limit of particles responsible for the apparent electric field varied proportionally with the secondary electron current. The linear dependence of the quasistatic signal on the particle flux breaks down for high fluxes ; hence, the positive spikes are interpreted as manifestations of smallscale, dense clouds of dust. The present study has shown that a long double-probe antenna can be used as a large dust particle detector, whose target area is comparable to the spacecraft projected area. ¬© 1993.</t>
  </si>
  <si>
    <t>609-617</t>
  </si>
  <si>
    <t>Planetary and Space Science</t>
  </si>
  <si>
    <t>Oberc, P.</t>
  </si>
  <si>
    <t>Warsaw</t>
  </si>
  <si>
    <t>Space Research Center of the Polish Academy of Sciences</t>
  </si>
  <si>
    <t>Oberc P.</t>
  </si>
  <si>
    <t>Simultaneous observations of quasistatic electric fields and large dust particles during the Vega-2 flyby of comet Halley</t>
  </si>
  <si>
    <t>003206339390081C</t>
  </si>
  <si>
    <t>10.1016/0032-0633(93)90081-C</t>
  </si>
  <si>
    <t>2-s2.0-0011691977</t>
  </si>
  <si>
    <t>['used effectively', 'time positions', 'time difference', 'solve real', 'placed limits', 'paper proposes', 'orbit spacecrafts', 'measured distances', 'kinematic measurements', 'gps satellites', 'distance measurements', 'described receiver', 'cycle slip', 'borne receiver']</t>
  </si>
  <si>
    <t>Carrier phase measurements (CPM) can be used effectively to develop GPS positioning accuracies. However, the cycle slip in distance measurements from a receiver‚Äôs antenna to GPS satellites has placed limits on the applications for kinematic measurements on vehicles, ships and low-orbit spacecrafts. When the speed of a spacecraft-borne receiver is as high as several kilometres per second it is necessary to solve real-time in terms of measured distances from the receiver‚Äôs antenna to GPS satellites, so as to determine its real-time positions. This paper proposes a step solution based on a synergist of four simultaneous observables for the measured distances per instant without an application of the P-code, surveying the time difference between dual frequency signals with a hardware in the described receiver. ¬© 1993 Maney Publishing.</t>
  </si>
  <si>
    <t>31-38</t>
  </si>
  <si>
    <t>Survey Review</t>
  </si>
  <si>
    <t>Jiyu, Liu</t>
  </si>
  <si>
    <t>China</t>
  </si>
  <si>
    <t>Wuhan</t>
  </si>
  <si>
    <t>Wuhan University</t>
  </si>
  <si>
    <t>Jiyu L.</t>
  </si>
  <si>
    <t>A real-time solution for gps measured distances without cycle slips</t>
  </si>
  <si>
    <t>10.1179/sre.1993.32.247.31</t>
  </si>
  <si>
    <t>2-s2.0-0011871031</t>
  </si>
  <si>
    <t>['spring beans', 'laboratory assays', 'field trials', 'either isothiocyanate', 'either compound', 'consistent reduction', 'apterous aphids', 'airstream masked']</t>
  </si>
  <si>
    <t>Isothiocyanates have been shown to stimulate olfactory receptors on the antennae of the black bean aphid, Aphis fabae Scop. Single‚Äêcell recording techniques show that this aphid has receptors at the proximal primary rhinarium which are sensitive to n‚Äêbutyl isothiocyanate. In laboratory assays, 4‚Äêpentenyl and n‚Äêbutyl isothiocyanates were repellent at similar threshold concentrations. A. fabae was attracted to host‚Äêplant odour, but addition of either isothiocyanate to the airstream masked this attraction. Field trials on spring beans did not produce any consistent reduction in numbers of alate or apterous aphids on the crop, and yields were not improved by either compound. Copyright ¬© 1993 John Wiley &amp; Sons, Ltd</t>
  </si>
  <si>
    <t>349-355</t>
  </si>
  <si>
    <t>0031613X</t>
  </si>
  <si>
    <t>Pesticide Science</t>
  </si>
  <si>
    <t>60015150;60015150;60002793;60002793;60002793;60002793;60002793</t>
  </si>
  <si>
    <t>7102281525;7101763729;7004201769;16460042300;35782449200;7003829798;7103167157</t>
  </si>
  <si>
    <t>Isaacs, Rufus;Hardie, Jim;Hick, Alastair J.;Pye, Barry J.;Smart, Lesley E.;Wadhams, Lester J.;Woodcock, Christine M.</t>
  </si>
  <si>
    <t>United Kingdom;United Kingdom</t>
  </si>
  <si>
    <t>London;Harpenden</t>
  </si>
  <si>
    <t>Imperial College London;Rothamsted Research</t>
  </si>
  <si>
    <t>60015150;60002793</t>
  </si>
  <si>
    <t>Isaacs R.</t>
  </si>
  <si>
    <t>Behavioural responses of Aphis fabae to isothiocyanates in the laboratory and field</t>
  </si>
  <si>
    <t>10.1002/ps.2780390416</t>
  </si>
  <si>
    <t>2-s2.0-0027132207</t>
  </si>
  <si>
    <t>['¬© 1993', 'treated areas', 'tip segments', 'strongly suggests', 'strict correlation', 'sense organ', 'sage publications', 'rights reserved', 'repellent would', 'repellent action', 'recently realised', 'potential efficacy', 'obvious use', 'kill lice', 'insecticides found', 'ineffectual treatment', 'incorporates 2', 'head lice', 'equally effective', 'effective pediculicide', 'deet ),', 'contact tracing', 'behavioural differences', 'australian hospitals', 'arena test', 'antennae removed', 'also exhibiting', 'almost twice', '24 hours']</t>
  </si>
  <si>
    <t>Piperonal, once used to kill lice in Australian hospitals, was acclaimed as an effective pediculicide (Corlette, 1925) by the standards of the day. It is unusual in also exhibiting a repellent action against lice, a property only recently realised. A new, easy to use, low-fragrance, pump action spray, which incorporates 2% piperonal, was tested in the laboratory using clothing lice in an arena test and was found to exhibit consistently high repellency after half an hour, dropping only slightly after 24 hours. A well known multi-purpose insect repellent, diethyltoluamide (DEET), was then tested against piperonal. A 2% solution of piperonal was found to be almost twice as effective as a 50% solution of DEET. In arena tests using lice with the tip segments of both antennae removed, no behavioural differences or statistically significant differences from a random distribution could be found between untreated and Rappell-treated areas. This strongly suggests that sense organ(s) on the tip of the antenna are necessary for detection of the repellent. Although there can be no strict correlation between results in the laboratory and potential efficacy in the field, materials such as insecticides found to be effective in the laboratory have been found to be equally effective in the field. Furthermore, what with the threat of resistance to head lice insecticides, ineffectual treatment and the lack of contact tracing, a repellent would be of obvious use in the control of head lice. ¬© 1993, Sage Publications. All rights reserved.</t>
  </si>
  <si>
    <t>292-294</t>
  </si>
  <si>
    <t>The Journal of the Royal Society for the Promotion of Health</t>
  </si>
  <si>
    <t>60031101;60031101</t>
  </si>
  <si>
    <t>57210025080;6701847094</t>
  </si>
  <si>
    <t>Peock, Susan;Maunder, J. W.</t>
  </si>
  <si>
    <t>United Kingdom</t>
  </si>
  <si>
    <t>Cambridge</t>
  </si>
  <si>
    <t>University of Cambridge</t>
  </si>
  <si>
    <t>Peock S.</t>
  </si>
  <si>
    <t>Arena Tests with Piperonal, A New Louse Repellent</t>
  </si>
  <si>
    <t>10.1177/146642409311300603</t>
  </si>
  <si>
    <t>2-s2.0-0027133077</t>
  </si>
  <si>
    <t>['wiley blackwell', 'rights reserved', 'readily permeable', 'papillate sensilla', 'papillate plates', 'lactic acid', 'gustatory role', 'gustatory function', 'generally indicative', 'five types', 'aqueous stimuli', 'aqueous solution', 'antennal sensilla', 'ablated antennae']</t>
  </si>
  <si>
    <t>antenna | electrophysiology | lactic acid | larva. | Mealworm | sensilla</t>
  </si>
  <si>
    <t>Abstract. Of the five types of antennal sensilla in larvae of Tenebrio molitor L., only the uniporous long pointed pegs and papillate plates are readily permeable to an aqueous solution of CoCl2, which is generally indicative of a gustatory function. An electrophysiological investigation confirms the gustatory role of the papillate sensilla on the antenna, and it suggests that they are responsible for mediating the behaviour of larvae toward lactic acid stimuli. Larvae with ablated antennae do not aggregate as would normal animals in the presence of lactic acid stimuli. The uniporous long pointed pegs show no response to lactic acid or other aqueous stimuli. Copyright ¬© 1993, Wiley Blackwell. All rights reserved</t>
  </si>
  <si>
    <t>329-335</t>
  </si>
  <si>
    <t>Physiological Entomology</t>
  </si>
  <si>
    <t>60033154;60033154;60033154;60033154</t>
  </si>
  <si>
    <t>7103056489;6601932918;57203176373;16492233800</t>
  </si>
  <si>
    <t>ALBERT, P. J.;ZACHARUK, R. Y.;WEAVER, D. K.;McFARLANE, J. E.</t>
  </si>
  <si>
    <t>Canada</t>
  </si>
  <si>
    <t>Montreal</t>
  </si>
  <si>
    <t>Concordia University</t>
  </si>
  <si>
    <t>ALBERT P.</t>
  </si>
  <si>
    <t>Electrophysiological and behavioural responses to lactic acid stimuli in larvae of Tenebrio molitor L. (Coleoptera: Tenebrionidae) and permeability of antennal sensilla</t>
  </si>
  <si>
    <t>10.1111/j.1365-3032.1993.tb00605.x</t>
  </si>
  <si>
    <t>2-s2.0-0027137242</t>
  </si>
  <si>
    <t>['¬© 1993', 'waves traveling', 'waves reflected', 'two terms', 'structure radiation', 'solution simplifies', 'small parameter', 'shell geometry', 'shell ends', 'rights reserved', 'proposed model', 'mean value', 'main idea', 'known data', 'first approximation', 'finite length', 'drive point', 'dispersion relation', 'complex structures', 'axial direction', 'asymptotic solution', 'antenna consisting', 'analytical equations', 'analysis essentially', 'acoustical society', 'acoustic radiation', 'acoustic power', 'accurate studies', '1980 )]']</t>
  </si>
  <si>
    <t>This paper is concerned with acoustic radiation by a thin cylindrical shell of finite length. This method is based on the idea that was proposed by Skudrzyk [J. Acoust. Soc. Am. 64, 1105‚Äì1135 (1980)] for the dynamic response analysis of complex structures. The main idea of this paper is the search for an asymptotic solution where the small parameter is the acoustic power that completes the vibration power relation. The solution is represented by the superposition of the different order wave contributions. Analytical equations can be obtained in the case of small radiation loading when the contribution of continuous spectrum waves is negligible. Finally, the expression for the radiation field represents the superposition of two terms. The first term describes the mean value of radiation that corresponds to waves traveling from the drive point. The second term describes the contribution of waves reflected at the shell ends. The radiation of the shell is analogous to the radiation of the antenna consisting of three multipole sources groups that are localized in the axial direction. Such a representation of the solution simplifies the analysis essentially and singles out the characteristic peculiarities corresponding to shell geometry, to the dispersion relation, and to other aspects of the problem. Results of the calculation in the frames of the proposed model are compared to the known data. The agreement between the calculations allows one to use the proposed model as the first approximation in more accurate studies of structure radiation. ¬© 1993, Acoustical Society of America. All rights reserved.</t>
  </si>
  <si>
    <t>3493-3502</t>
  </si>
  <si>
    <t>NA</t>
  </si>
  <si>
    <t>Journal of the Acoustical Society of America</t>
  </si>
  <si>
    <t>Lebedev, A. V.</t>
  </si>
  <si>
    <t>Russian Federation</t>
  </si>
  <si>
    <t>Nizhny Novgorod</t>
  </si>
  <si>
    <t>Institute of Applied Physics of the Russian Academy of Sciences</t>
  </si>
  <si>
    <t>Lebedev A.V.</t>
  </si>
  <si>
    <t>The asymptotic method for predicting low-frequency acoustic radiation from a cylindrical shell of finite length</t>
  </si>
  <si>
    <t>10.1121/1.407203</t>
  </si>
  <si>
    <t>2-s2.0-0027138090</t>
  </si>
  <si>
    <t>['¬© 1993', 'wing veins', 'warm receptors', 'thorax heat', 'sensory system', 'sensilla basiconica', 'resting troides', 'poreless sensilla', 'optimally suitable', 'natural sunlight', 'moderate radiation', 'irradiation experiments', 'increasing temperatures', 'heating rate', 'fully exposed', 'first time', 'equilibrium temperature', 'different role', 'axonal filling', 'antennal clubs', 'ambient temperature', 'ambient air', '8 min', '54 mw', '1 mm']</t>
  </si>
  <si>
    <t>Behavioral thermoregulation | Butterfly | Nervous system | Papilionidae | Sun basking | Thermoreceptor | Wing movements</t>
  </si>
  <si>
    <t>Irradiation experiments in freshly killed black papilionids under natural sunlight and minimized wind convection showed that antennae, wings and thorax heat with different warming rates and reach different specific excess temperatures under moderate radiation. While the "low-mass" antennal clubs retain almost temperature of the ambient air, the well-insulated "medium-mass" basal wing veins attain vulnerable excess temperatures after about 15 s when fully exposed, Tequilibr of antennae is 28¬∞C and of forewing 46¬∞C both after 30 s, Tequilibr of the thorax is 42¬∞C after 8 min, all at Tambient of 26¬∞C and under 54 mW/cm2. The antennal clubs are optimally suitable for measurement of ambient temperature in spite of being fully exposed to the sun. They are equipped with sensilla basiconica. These poreless sensilla with triads of Type I receptors (typical for thermo/hygroreceptors) and their ultrastructure are described for the first time in butterflies. By scanning the wing veins of free-resting Troides with a calibrated light beam of 1 mm in diameter, a slow wing closing reaction could be evoked at discrete sites along most veins, indicating the existence of a sensory system for increasing temperatures. A heating rate of 2.4-4¬∞C/s of the irradiated wing area was necessary to elicit a response. The applied radiation produced an equilibrium temperature of 39 ¬± 3¬∞C at the basal veins A2 and A3 after about 12 s. With axonal filling (CoCl2) and electron microscopic techniques multiterminal sensory cells (Type II receptors) are traced and described. Some of them are suggested to function as warm receptors. The different role of the peripheral thermoreceptor systems in thermoregulation is discussed. ¬© 1993.</t>
  </si>
  <si>
    <t>1007-1019</t>
  </si>
  <si>
    <t>60000765;60000765</t>
  </si>
  <si>
    <t>7203078425;6601977343</t>
  </si>
  <si>
    <t>Schmitz, Helmut;Wasserthal, Lutz Th</t>
  </si>
  <si>
    <t>Erlangen</t>
  </si>
  <si>
    <t>Friedrich-Alexander-Universit√§t Erlangen-N√ºrnberg</t>
  </si>
  <si>
    <t>Schmitz H.</t>
  </si>
  <si>
    <t>Antennal thermoreceptors and wing-thermosensitivity of heliotherm butterflies: Their possible role in thermoregulatory behavior</t>
  </si>
  <si>
    <t>0022-1910(93)90125-B</t>
  </si>
  <si>
    <t>10.1016/0022-1910(93)90125-B</t>
  </si>
  <si>
    <t>2-s2.0-0027146012</t>
  </si>
  <si>
    <t>Air Force Office of Scientific Research</t>
  </si>
  <si>
    <t>AFOSR-90-0233</t>
  </si>
  <si>
    <t>AFOSR</t>
  </si>
  <si>
    <t>['whole range', 'wave theory', 'vee array', 'unit cell', 'transmission lines', 'slot array', 'simple circuits', 'quasistatic theory', 'present results', 'plane wave', 'measurement techniques', 'measurement method', 'large two', 'excellent agreement', 'dwm ).', 'circuit elements', 'broadside direction', 'broadband operation', 'best choice', 'array symmetries']</t>
  </si>
  <si>
    <t>We present a new measurement technique for determining the broadband driving point impedance of large two-dimensional active grid arrays. The active array radiates a plane wave in the broadside direction when all elements are locked in phase. For analysis, the array is reduced to a single unit cell by exploiting the array symmetries. We determine the driving point impedance of the unit cell by using the Dielectric Waveguide Measurement method (DWM). The approximations of the method are discussed and the method is compared with other measurement techniques. We present results for four square arrays: dipole, bow-tie, double-Vee and slot array. We verify our measurement method by comparing it to the full-wave theory in the whole range. We show that the results for the dipole and the bow-tie arrays agree very well with the quasistatic theory and the results of others. We extend the quasistatic theory to the doube-Vee array with excellent agreement and present a modified quasistatic circuit for the slot array. Finally, we show that all four antenna arrays can be represented by very simple circuits that use only transmission lines as circuit elements. We find that the bow-tie array represents the best choice for broadband operation. ¬© 1993 IEEE</t>
  </si>
  <si>
    <t>20-28</t>
  </si>
  <si>
    <t>IEEE Transactions on Microwave Theory and Techniques</t>
  </si>
  <si>
    <t>60027165;60027165</t>
  </si>
  <si>
    <t>6701776479;6701768711</t>
  </si>
  <si>
    <t>Pance, Aleksandar;Wengler, Michael J.</t>
  </si>
  <si>
    <t>Rochester</t>
  </si>
  <si>
    <t>University of Rochester</t>
  </si>
  <si>
    <t>Pance A.</t>
  </si>
  <si>
    <t>Microwave modeling of 2-D active grid antenna arrays</t>
  </si>
  <si>
    <t>10.1109/22.210225</t>
  </si>
  <si>
    <t>2-s2.0-0027146988</t>
  </si>
  <si>
    <t>['units files', 'text files', 'speed constraints', 'sounds coded', 'numericals methods', 'microcomputer based', 'intel 386', 'hundred illustrations', 'graphs plotting', 'fundamental principles', 'frequency bands', 'etc ...)', 'educational software', 'data base', 'characterizing radiation', 'antenna forms', 'antenna dimensions', '5 language']</t>
  </si>
  <si>
    <t>CAL-ANTENNAS is a tool containing graphics (2D and 3D) and sounds coded in the Turbo Pascal 5.5 language, for the implementation of educational software on antennas. From the Units files, a data base (frequency bands, antenna forms, antenna dimensions, formulae, characterizing radiation) and a repertory of numericals methods (integration, graphs plotting, etc...) have been developed, complying with speed constraints. The necessary fundamental principles are contained in text files. Thus, this is one of the first structured software packages developed on the computer in the domain of antennas that treats the fundamental principles and the methodology of design. This version of CAL-ANTENNAS for the microcomputer based on the Intel 386 and 486 Microprocessors contains more than a hundred illustrations.</t>
  </si>
  <si>
    <t>138-156</t>
  </si>
  <si>
    <t>Applied Computational Electromagnetics Society Journal</t>
  </si>
  <si>
    <t>113362913;113362913</t>
  </si>
  <si>
    <t>55920867000;6503925411</t>
  </si>
  <si>
    <t>Tonye, Emmanuel;Videme Bossou, Olivier</t>
  </si>
  <si>
    <t>Cameroon</t>
  </si>
  <si>
    <t>Yaounde</t>
  </si>
  <si>
    <t>Polytechnique</t>
  </si>
  <si>
    <t>Tonye E.</t>
  </si>
  <si>
    <t>CAL - ANTENNAS: Computer-aided learning of antennas</t>
  </si>
  <si>
    <t>2-s2.0-0027147599</t>
  </si>
  <si>
    <t>['¬© 1993', 'two parts', 'transient failure', 'system effectiveness', 'recovery rates', 'paper investigates', 'normal state', 'mathematical model', 'latent failure', 'failure rates', 'disk antenna', 'cause failure', 'also linked']</t>
  </si>
  <si>
    <t>This paper investigates a mathematical model of an information computer network system. In this model, the system has two parts-a controller and a terminal. It is also linked with a satellite by a disk antenna. Each part has two failure modes; one is transient failure and second is latent failure. After latent failure, the terminal is recoverable, but the controller is not recoverable. The system may also fail due to a common-cause failure when it is in the normal state or in a partially normal state. Failure rates are constant and recovery rates are general. Using the regenerative point technique several measures of system effectiveness are obtained. ¬© 1993.</t>
  </si>
  <si>
    <t>133-139</t>
  </si>
  <si>
    <t>Microelectronics Reliability</t>
  </si>
  <si>
    <t>Rana, Virendra Singh</t>
  </si>
  <si>
    <t>India</t>
  </si>
  <si>
    <t>Kolkata</t>
  </si>
  <si>
    <t>National Informatics Centre</t>
  </si>
  <si>
    <t>Rana V.S.</t>
  </si>
  <si>
    <t>Stochastic analysis of an information computer network system</t>
  </si>
  <si>
    <t>0026-2714(93)90474-D</t>
  </si>
  <si>
    <t>10.1016/0026-2714(93)90474-D</t>
  </si>
  <si>
    <t>2-s2.0-0027147784</t>
  </si>
  <si>
    <t>['track sharpness', 'track maintenance', 'simple model', 'noise ratio', 'minimumenergy necessary', 'detection threshold', 'beam scheduling', 'based phased']</t>
  </si>
  <si>
    <t>Based on a simple model of a ground-based phased-array radar used for a multiple-target surveillance task, beam scheduling, positioning, and radar parameters like signal-to-noise ratio, track sharpness, and detection threshold have been optimized with respect to the radar/computer load induced by tracking. From this the minimumenergy necessary for track maintenance during surveillance can be derived. ¬© 1993 IEEE</t>
  </si>
  <si>
    <t>186-194</t>
  </si>
  <si>
    <t>IEEE Transactions on Aerospace and Electronic Systems</t>
  </si>
  <si>
    <t>;60005304</t>
  </si>
  <si>
    <t>6602180699;56235196600</t>
  </si>
  <si>
    <t>Van Keuk, G.;Blackman, S. S.</t>
  </si>
  <si>
    <t>Waltham</t>
  </si>
  <si>
    <t>Raytheon</t>
  </si>
  <si>
    <t>Van Keuk G.</t>
  </si>
  <si>
    <t>On phased-array radar tracking and parameter control</t>
  </si>
  <si>
    <t>10.1109/7.249124</t>
  </si>
  <si>
    <t>2-s2.0-0027147860</t>
  </si>
  <si>
    <t>['¬© 1993', 'resonance layer', 'radial direction', 'quality factor', 'potential plug', 'observed experimentally', 'japan society', 'energy loss', 'collisional damping', 'applied physics']</t>
  </si>
  <si>
    <t>Lower hybrid | Magnetic field | Plasma</t>
  </si>
  <si>
    <t>We have observed experimentally that during lower hybrid heating, at the resonance layer, the electron parallel temperature increases, the plasma potential drops, and the energy loss and the electric field decrease, as the size of the resonance volume increases. The process of mode conversion near the lower hybrid resonance is studied through the electric field distribution, which is modified by collisional damping. The potential drop indicates the potential plug in the radial direction. The quality factor of the machine is comparable to that of a low-Q cavity resonator. The experiment was carried out in a linear mirror machine LISA (Zinear S'piegel apparatus), excited by a 28 MHz RF antenna, with a low-density weakly ionized plasma. ¬© 1993 The Japan Society of Applied Physics.</t>
  </si>
  <si>
    <t>168-173</t>
  </si>
  <si>
    <t>1 R</t>
  </si>
  <si>
    <t>Japanese Journal of Applied Physics</t>
  </si>
  <si>
    <t>60030782;60001865</t>
  </si>
  <si>
    <t>57083017200;57217434218</t>
  </si>
  <si>
    <t>Cunha Rapozo, C√¢ndido Da;Silva, Hector Torres</t>
  </si>
  <si>
    <t>Chile;Brazil</t>
  </si>
  <si>
    <t>Arica;Niteroi</t>
  </si>
  <si>
    <t>Universidad de Tarapac√°;Universidade Federal Fluminense</t>
  </si>
  <si>
    <t>Cunha Rapozo C.D.</t>
  </si>
  <si>
    <t>Lower hybrid resonance for two magnetic field configuration in linear lisa machine</t>
  </si>
  <si>
    <t>10.1143/JJAP.32.168</t>
  </si>
  <si>
    <t>2-s2.0-0027148149</t>
  </si>
  <si>
    <t>['tomographic imaging', 'theoretical analysis', 'simple algorithm', 'possible performance', 'natural setting', 'fourier space', 'fourier axes', 'edge voltages', 'correspondence presents', 'beam patterns']</t>
  </si>
  <si>
    <t>This correspondence presents a theoretical analysis of the possible performance of edge-connected crossed arrays for two-dimensional beamforming introduced by Schau. The approach utilizes standard theorems of tomographic imaging and is formulated in Fourier space. Fourier space provides a natural setting in order to examine the behavior of these arrays as, it is shown, their beam patterns are allowed to be nonzero only on the Fourier axes. In addition, the least squares solution to the best of edge voltages which produce a given transmit pattern is reformulated in Fourier space. This facilitates the derivation of a simple algorithm to determine a solution. ¬© 1993 IEEE</t>
  </si>
  <si>
    <t>1053587X</t>
  </si>
  <si>
    <t>IEEE Transactions on Signal Processing</t>
  </si>
  <si>
    <t>Jaffe, Jules S.</t>
  </si>
  <si>
    <t>San Diego</t>
  </si>
  <si>
    <t>Marine Physical Laboratory</t>
  </si>
  <si>
    <t>Jaffe J.</t>
  </si>
  <si>
    <t>A Simplified Derivation of the Performance of Edge-Connected Crossed-Electrode Arrays for Two-Dimensional Projection and Beamforming</t>
  </si>
  <si>
    <t>10.1109/TSP.1993.193175</t>
  </si>
  <si>
    <t>2-s2.0-0027148298</t>
  </si>
  <si>
    <t>['¬© asce', 'term observations', 'technology readiness', 'technology needed', 'system concept', 'space administration', 'science objectives', 'scanning radiometer', 'research program', 'reflector radiometer', 'paper describes', 'oaet program', 'national aeronautics', 'nasa researchers', 'nasa office', 'large dual', 'geosynchronous wide', 'electromagnetic theory', 'early 1989', 'deployable structures', 'deployable radiometer', 'current state', 'critical technologies', 'advanced materials']</t>
  </si>
  <si>
    <t>A National Aeronautics and Space Administration (NASA) research and technology program called the large deployable antenna (LDA) program was initiated in early 1989 by NASA Langley Research Center to investigate and demonstrate the availability of critical technologies for passive microwave imagers. The NASA Office of Aeronautics, Exploration, and Technology (OAET) sponsored this research program to provide advanced sensor technologies for mission to planet Earth remote sensing applications. The goal of the OAET program is to provide the technology needed to enable and enhance the long-term observations, documentation, and understanding of the Earth as a system. The LDA program involved university, industry, and NASA researchers and technologists with a range of skills and experience from electromagnetic theory to advanced materials and deployable structures. The study approach involved determining basic operational parameters and configurations for a geosynchronous wide-scanning radiometer from which specific structural requirements were used as goals (rather than specifications) with which specific technologies could be evaluated. The study team performed a detailed technology review, evaluated the feasibility and technology readiness for a large dual-reflector radiometer, and developed a system concept for a 25 m deployable radiometer. This paper describes the science objectives, reviews the current state of the art, presents electromagnetic configurations under consideration, and discusses the mechanical systems development effort. ¬© ASCE.</t>
  </si>
  <si>
    <t>34-54</t>
  </si>
  <si>
    <t>Journal of Aerospace Engineering</t>
  </si>
  <si>
    <t>60027090;60027090;60000854;100998978</t>
  </si>
  <si>
    <t>7402364144;7006247497;7202584367;7003905490</t>
  </si>
  <si>
    <t>Rogers, C. A.;Stutzman, W. L.;Campbell, T. G.;Hedgepeth, J. M.</t>
  </si>
  <si>
    <t>Blacksburg;Hampton;</t>
  </si>
  <si>
    <t>Virginia Polytechnic Institute and State University;NASA Langley Research Center;Astro Aerospace</t>
  </si>
  <si>
    <t>60027090;60000854;100998978</t>
  </si>
  <si>
    <t>Rogers C.</t>
  </si>
  <si>
    <t>Technology assessment and development of large deployable antennas</t>
  </si>
  <si>
    <t>10.1061/(ASCE)0893-1321(1993)6:1(34)</t>
  </si>
  <si>
    <t>2-s2.0-0027149086</t>
  </si>
  <si>
    <t>National Aeronautics and Space Administration</t>
  </si>
  <si>
    <t>NASA</t>
  </si>
  <si>
    <t>['successful operation', 'structure using', 'structural configuration', 'significant increase', 'rights reserved', 'output setup', 'large three', 'j .,', 'instrumentation distributed', 'inc .,', 'hub alone', 'discusses many', 'control conference', 'complexity relative', 'b .,', 'associated design', 'aiaa guidance', '4153 )].', '., wang']</t>
  </si>
  <si>
    <t>A six-input/six-output multivariable adaptive controller is used to control a large three-dimensional flexible structure experiment. For this purpose, the Jet Propulsion Laboratory Large Spacecraft Control Laboratory antenna-like experiment structure is used, with instrumentation distributed on both the hub and the ribs. This represents a significant increase in complexity relative to earlier adaptive control experiments performed on the same structure using a two-input/two-output setup with instrumentation on the hub alone [Ih, C.-H. C., Bayard, D. S., Wang, S. J., and Eldred, D. B., "Adaptive Control Experiment with a Large Flexible Structure," Proceedings of the AIAA Guidance, Navigation, and Control Conference (Minneapolis, MN), AIAA, Washington, DC, Aug. 1988 (AIAA Paper 88-4153)]. The increase in instrumentation significantly increases spatial controllability and excitation and control of a much larger set of modes. This paper documents multivariable adaptive control experiments on this structural configuration and discusses many of the associated design and implementation issues required for successful operation. ¬© 1993 American Institute of Aeronautics and Astronautics, Inc., All rights reserved.</t>
  </si>
  <si>
    <t>Journal of Guidance, Control, and Dynamics</t>
  </si>
  <si>
    <t>60009037;60009037;60009037;60009037</t>
  </si>
  <si>
    <t>7004586186;7004894166;55448609100;7410350076</t>
  </si>
  <si>
    <t>Ih, C. H.C.;Bayard, D. S.;Ahmed, A.;Wang, S. J.</t>
  </si>
  <si>
    <t>Pasadena</t>
  </si>
  <si>
    <t>Jet Propulsion Laboratory</t>
  </si>
  <si>
    <t>Ih C.</t>
  </si>
  <si>
    <t>Experiments in multivariable adaptive control of a large flexible structure</t>
  </si>
  <si>
    <t>10.2514/3.11420</t>
  </si>
  <si>
    <t>2-s2.0-0027150493</t>
  </si>
  <si>
    <t>['shaped subreflector', 'numerical techniques', 'named drad', 'cassegrain system']</t>
  </si>
  <si>
    <t>An user-oriented computer software consisting of three modeling codes, named DRAD, DRAA and FDPAT, is introduced. It can be used to design three type of cassegrain system: classical, with shaped subreflector and with dual shaped reflectors, and to analyze radiation patterns for the antennas. Several mathematical models and numerical techniques are presented.</t>
  </si>
  <si>
    <t>63-74</t>
  </si>
  <si>
    <t>Journal of Systems Engineering and Electronics</t>
  </si>
  <si>
    <t>112918758;112918758;112918758</t>
  </si>
  <si>
    <t>6508327363;55516911100;55864172200</t>
  </si>
  <si>
    <t>Weiling, Wang;Shijin, Wang;Jingxiong, Chen</t>
  </si>
  <si>
    <t>Beijing</t>
  </si>
  <si>
    <t>Beijing Inst of Radio Metrol &amp;</t>
  </si>
  <si>
    <t>Weiling W.</t>
  </si>
  <si>
    <t>Numerical techniques used in modeling codes dual-reflector antenna design and analysis</t>
  </si>
  <si>
    <t>2-s2.0-0027151491</t>
  </si>
  <si>
    <t>['yo oscillations', 'yo oscillation', 'wind shear', 'transmitting antenna', 'small fraction', 'segmented antenna', 'receiver position', 'point dipole', 'periodic variations', 'orbiting transmitter', 'orbiting antenna', 'moments solution', 'modified version', 'ionosphere waveguide', 'efie ).', 'dipole moments', 'constant altitude', 'circular orbit', 'called twirenec', 'called twire', 'calculated using']</t>
  </si>
  <si>
    <t>Field strength variations produced by an orbiting aircraft dual trailing wire VLF transmitting antenna are investigated. The towplane is assumed to be executing a circular orbit at a constant altitude and speed. A steady-state mechanical model is adopted for determination of the shape of the dual trailing wire antenna. The exact current distribution on this antenna is calculated using the Numerical Electromagnetics Code (NEC) which is based on a method of moments solution of the Electric Field Integral Equation (EFIE). A propagation code developed at the Naval Ocean Systems Center (NOSC) called TWIRE has been modified to be used in conjunction with NEC. This modified version of TWIRE has been called TWIRENEC. The TWIRENEC code uses the current distribution information provided by NEC to determine the dipole moments for a segmented antenna. The wire segmentation geometry and corresponding dipole moments are then used to calculate the electric field strength as a function of distance and azimuth in the earth-ionosphere waveguide. The waveguide can be considered as either horizontally homogeneous or inhomogeneous. It is demonstrated that the periodic variations in field intensity resulting from an orbiting transmitter are a function of receiver position. These periodic variations can range from a small fraction of a dB to several dB depending upon the location of the receiver with respect to the transmitter. A point dipole approximation of the dual trailing wire antenna is suggested for use in the study of VLF radiation excited by an orbiting antenna in the presence of wind shear. The point dipole approximation is applied to estimate the field strength variations caused by a yo-yo oscillation of the transmitting antenna as it orbits. These yo-yo oscillations are characterized in terms of the change in verticality of the point dipole which occurs over one complete orbit.</t>
  </si>
  <si>
    <t>72-92</t>
  </si>
  <si>
    <t>60001439;60001439;60001439</t>
  </si>
  <si>
    <t>55925714300;6701384134;7801612203</t>
  </si>
  <si>
    <t>Werner, D. H.;Breakall, J. K.;Lunnen, R. J.</t>
  </si>
  <si>
    <t>University Park</t>
  </si>
  <si>
    <t>Pennsylvania State University</t>
  </si>
  <si>
    <t>Werner D.</t>
  </si>
  <si>
    <t>Propagation of VLF radiation in the earth-ionosphere waveguide excited by an airborne dual trailing wire antenna</t>
  </si>
  <si>
    <t>2-s2.0-0027153639</t>
  </si>
  <si>
    <t>['various predictions', 'thylakoid membranes', 'resistant core5', 'reaction centre5', 'psii architecture', 'photosynthetic oxidation', 'outer shell', 'ordered two', 'oligomeric nature', 'observed 4', 'little information', 'higher plants', 'harvesting proteins', 'dimensional arrays', 'core light', 'biochemistry suggests', '4 forms']</t>
  </si>
  <si>
    <t>THE photosynthetic oxidation of water occurs within a multi-protein complex called photosystem II (PSII), located in the thylakoid membranes of plants and cyanobacteria. Little information on PSII architecture is available; even the oligomeric nature of the complex is contentious, with various predictions of monomeric1, dimeric and tetrameric2-4 forms. Biochemistry suggests that it consists of an outer shell of easily removable light-harvesting proteins and a more resistant core5. The core itself can be split into further light-harvesting proteins and a reaction centre5,6. The reaction centre polypeptides bind the electron transfer components, and probably contain amino-acid residues liganded to the cluster of four Mn atoms that is believed to constitute the water 'splitting' site6-8. We report here the first, to our knowledge, three-dimensional functionally intact structure of PSII of higher plants, complete with antennae and core light-harvesting proteins. Our model has been obtained by digital image processing of ordered two-dimensional arrays of the complex, such as have often been observed 4,9-12.</t>
  </si>
  <si>
    <t>470-472</t>
  </si>
  <si>
    <t>Nature</t>
  </si>
  <si>
    <t>60012070;60012070;60012070;60003771;60003771</t>
  </si>
  <si>
    <t>7006836378;6701637727;7202849192;57209511210;56067733400</t>
  </si>
  <si>
    <t>Holzenburg, Andreas;Bewley, Maria C.;Wilson, Fiona H.;Nicholson, William V.;Ford, Robert C.</t>
  </si>
  <si>
    <t>Leeds;Manchester</t>
  </si>
  <si>
    <t>University of Leeds;The University of Manchester</t>
  </si>
  <si>
    <t>60012070;60003771</t>
  </si>
  <si>
    <t>Holzenburg A.</t>
  </si>
  <si>
    <t>Three-dimensional structure of photosystem II</t>
  </si>
  <si>
    <t>10.1038/363470a0</t>
  </si>
  <si>
    <t>2-s2.0-0027157307</t>
  </si>
  <si>
    <t>['wire grids', 'two models', 'top surface', 'polar format', 'optimum number', 'obtain convergence', 'near fields', 'modeling approaches', 'good agreement', 'fold savings', 'far fields', 'experimental data', 'excellent agreement', 'electric near', 'cubical box']</t>
  </si>
  <si>
    <t>The Numerical Electromagnetics Code (NEC) was used to evaluate the admittance and the electric near and far fields of a monopole antenna mounted on a cubical box over a perfectly conducting ground plane. Two models of the box, employing surface patches and wire grids, were evaluated. The monopole was positioned at the center, the edge, and at a corner of the box's top surface. NEC admittance results were obtained and good agreement was found with experimental data and with results from PATCH, another independent electromagnetic modeling code. Results are presented in contour and 3-D formats for the near fields and polar format for the far field radiation patterns using surface patch and wire grid models in NEC. Excellent agreement was obtained for both approaches in NEC after finding the optimum number of patches and wire grid segmentation to obtain convergence. This paper provides guidelines for convergence for both modeling approaches and indicates a six-fold savings in run-time for the surface patch method. Furthermore, results are presented in modern graphical format for near field comparisons of the two NEC techniques.</t>
  </si>
  <si>
    <t>93-113</t>
  </si>
  <si>
    <t>6701384134;7202640319;6506608967</t>
  </si>
  <si>
    <t>Breakall, James K.;Adler, Richard W.;Elliniadis, Panos D.</t>
  </si>
  <si>
    <t>Breakall J.</t>
  </si>
  <si>
    <t>Investigation of wire grid and surface PATCH modeling using the Numerical Electromagnetics Code (NEC)</t>
  </si>
  <si>
    <t>2-s2.0-0027167948</t>
  </si>
  <si>
    <t>['whole volume', 'time taken', 'time evolution', 'temperature evolution', 'temperature distribution', 'successively feeding', 'rights reserved', 'phase current', 'numerical solution', 'heating session', 'heated volume', 'feeding current', 'antenna one', 'antenna modelization', 'antenna array']</t>
  </si>
  <si>
    <t>Hyperthermia | Interstitial | Microwave | Phased array | Reconstruction patterns</t>
  </si>
  <si>
    <t>In order to heat the whole volume of a tumour by microwave interstitial hypertheimia it is necessary to use an antenna array. The antenna modelization and the numerical solution of the bidimensional bioheat transfer equation allow determination of temperature evolution during a heating session. The calculations are taken for four antennas fed in phase and the theory is then proven by experiments on gel and on patients. Results are presented on cross-section heating patterns and their time evolution. Temperature distribution is calculated when feeding one antenna by a feeding current out of phase with the other currents. The phase difference value is optimized and it is then demonstrated that the heated volume is increased by successively feeding each antenna with an out-of-phase current. The time taken to feed each antenna one after the other is optimized. ¬© 1993 Informa UK Ltd All rights reserved: reproduction in whole or part not permitted.</t>
  </si>
  <si>
    <t>445-454</t>
  </si>
  <si>
    <t>International Journal of Hyperthermia</t>
  </si>
  <si>
    <t>60008134;60008134;60008134;60008134;60008134-60000905</t>
  </si>
  <si>
    <t>6701735722;7102611104;7202188003;6507325993;7004583077</t>
  </si>
  <si>
    <t>Camart, J. C.;Dubois, L.;Fabre, J. J.;Vanloot, D.;Chive, M.</t>
  </si>
  <si>
    <t>France;France</t>
  </si>
  <si>
    <t>Paris;Paris</t>
  </si>
  <si>
    <t>CNRS Centre National de la Recherche Scientifique;Inserm</t>
  </si>
  <si>
    <t>60008134;60000905</t>
  </si>
  <si>
    <t>Camart J.C.</t>
  </si>
  <si>
    <t>915 MHz microwave interstitial hyperthermia. Part II: Array of phase-monitored antennas</t>
  </si>
  <si>
    <t>10.3109/02656739309005043</t>
  </si>
  <si>
    <t>2-s2.0-0027177137</t>
  </si>
  <si>
    <t>['¬© 1993', 'visual field', 'temporal delay', 'stimulus paradigm', 'spatial displacement', 'single system', 'similar dependence', 'several positions', 'model parameters', 'may explain', 'manner consistent', 'individual combinations', 'human vision', 'human observers', 'functional performance', 'dependence changes', 'also indicate']</t>
  </si>
  <si>
    <t>Motion perception Bi-local detector models Spatio-temporal characteristics</t>
  </si>
  <si>
    <t>A bi-local detector array model was assumed to describe the functional performance of monocular motion perception. Distributions of model parameters were measured in human vision at several positions in the visual field. The stimulus paradigm was designed to measure directional motion perception thresholds for individual combinations of spatial displacement and temporal delay in random dot apparent motion stimuli. The resulting data support previous results on perceivable spatial displacement limits in human vision but also indicate that both minimum and maximum perceivable spatial displacement thresholds in human observers have a similar dependence on temporal delay. This dependence changes with eccentricity in the visual field in a qualitatively similar manner but by quantitatively different factors. A description of possible biological properties of the bi-local detector population is presented that may explain how detection of spatio-temporal pattern displacements can be performed by a single system. Such a system also predicts that minimum and maximum perceivable spatial displacement thresholds should scale with visual field eccentricity in a manner consistent with our results. ¬© 1993.</t>
  </si>
  <si>
    <t>1193-1205</t>
  </si>
  <si>
    <t>Vision Research</t>
  </si>
  <si>
    <t>60017419;60017419;60017419</t>
  </si>
  <si>
    <t>7003485335;7003978929;7004426457</t>
  </si>
  <si>
    <t>Fredericksen, R. E.;Verstraten, F. A.J.;Van De Grind, W. A.</t>
  </si>
  <si>
    <t>Netherlands</t>
  </si>
  <si>
    <t>Utrecht</t>
  </si>
  <si>
    <t>Helmholtz Research School</t>
  </si>
  <si>
    <t>Fredericksen R.</t>
  </si>
  <si>
    <t>Spatio-temporal characteristics of human motion perception</t>
  </si>
  <si>
    <t>004269899390208E</t>
  </si>
  <si>
    <t>10.1016/0042-6989(93)90208-E</t>
  </si>
  <si>
    <t>2-s2.0-0027178184</t>
  </si>
  <si>
    <t>['similar oligosaccharides', 'one sialylated', 'negligible affinity', 'intermediate affinity', 'increases frequently', 'highest affinity', 'high affinity', 'hepatocellular carcinomas', 'galactosidase digestion', 'galactose residues', 'erythroagglutinating phytohemagglutinin', 'cord blood']</t>
  </si>
  <si>
    <t>Erythroagglutinating phytohemagglutinin (E‚ÄêPHA)‚Äêreactive Œ±‚Äêfetoprotein (AFP)‚ÄêP4 and E‚ÄêPHA weakly‚Äêreactive AFP‚ÄêP3 of sera from cord blood at term and from patients with hepatocellular carcinomas showed a mobility of monosialo‚ÄêAFP in two‚Äêdimensional extended agarose gel‚ÄêE‚ÄêPHA affinity electrophoresis. Asialo‚ÄêAFP had as high an affinity for E‚ÄêPHA as that of monosialo‚ÄêAFP‚ÄêP4, while disialo‚ÄêAFP, AFP‚ÄêP2, revealed a negligible affinity for E‚ÄêPHA. For Allomyrina dichotoma lectin (allo A), asialo‚ÄêAFP had no affinity with a mobility of AFP‚ÄêA1s, monosialo‚ÄêAFP‚ÄêP4 had the highest affinity with a mobility of AFP‚ÄêA3, and monosialo‚ÄêAFP‚ÄêP3 had an intermediate affinity with a mobility of AFP‚ÄêA2s. The affinity of AFP‚ÄêP4 for E‚ÄêPHA was reduced by galactosidase digestion, indicating the presence of galactose residues, one sialylated and the other exposed. From the known high affinity of E‚ÄêPHA for biantennary complex‚Äêtype oligosaccharides with a terminal Œ≤ 1‚Üí4 galactose of the Man Œ± 1‚Üí6 antenna and from that of allo A for an Œ± 2‚Üí6 sialylated Œ≤ 1‚Üí4 galactose of the Man Œ±1‚Üí3 antenna, together with the nonbisected biantennary structure of AFP‚ÄêP4 as deduced from its high affinity for concanavalin A, the sugar chain structure of AFP‚ÄêP4, which increases frequently in hepatocellular carcinomas, was identified as Œ± 2‚Üí6 monosialylated nonbisected biantennary complex‚Äêtype oligosaccharides with an exposed Œ≤ 1‚Üí4 galactose of the Man Œ± 1‚Üí6 arm and with or without fucosylated core N‚Äêacetylglucosamine, and AFP‚ÄêP3 as similar oligosaccharides with an exposed Œ≤ 1‚Üí4 galactose of the Man Œ± 2‚Üí3 arm. Copyright ¬© 1993 VCH Verlagsgesellschaft mbH</t>
  </si>
  <si>
    <t>798-804</t>
  </si>
  <si>
    <t>ELECTROPHORESIS</t>
  </si>
  <si>
    <t>60022154;60022154;60022154;100508350;60028949</t>
  </si>
  <si>
    <t>55572366800;56801951000;7005290430;7006227050;7202397308</t>
  </si>
  <si>
    <t>Taketa, Kazuhisa;Fujii, Yasuto;Aoi, Toshie;Taga, Hiroko;Nishi, Shinzo</t>
  </si>
  <si>
    <t>Japan;Japan;Japan</t>
  </si>
  <si>
    <t>Sapporo;Okayama;Kokubunji</t>
  </si>
  <si>
    <t>Hokkaido University School of Medicine;Okayama University Medical School;Tumor Laboratory</t>
  </si>
  <si>
    <t>60028949;60022154;100508350</t>
  </si>
  <si>
    <t>Taketa K.</t>
  </si>
  <si>
    <t>Identification of Œ±‚Äêfetoprotein‚ÄêP4 sugar chain as Œ± 2‚Üí6 monosialylated biantennary complex‚Äêtype oligosaccharides with an exposed galactose on the mannose Œ± 1‚Üí6 arm by two‚Äêdimensional extended agarose gel‚Äêlectin affinity electrophoresis</t>
  </si>
  <si>
    <t>10.1002/elps.11501401125</t>
  </si>
  <si>
    <t>2-s2.0-0027186576</t>
  </si>
  <si>
    <t>['¬© 1993', 'wolf arrays', 'register arrays', 'product arrays', 'perfect arrays', 'minimal sidelobes', 'merit factor', 'lempel arrays', 'legendre arrays', 'known classes', 'binary arrays', 'array specifies']</t>
  </si>
  <si>
    <t>aperiodic autocorrelation function | Binary arrays | invariance operations | merit factor | periodic autocorrelation function</t>
  </si>
  <si>
    <t>The merit factor of an array specifies the ratio of the energy of its autocorrelation function mainlobe to the energy of its autocorrelation function sidelobes. The merit factor of both the periodic and the aperiodic autocorrelation function of binary arrays is investigated. The merit factor for the periodic autocorrelation function is computed for known classes of binary arrays, such as perfect arrays, shift-register arrays, Legendre arrays, Calabro-Wolf arrays, Lempel arrays, difference set arrays and product arrays. By applying invariance operations to these arrays, the merit factor of the aperiodic autocorrelation function is increased and the sidelobes of the aperiodic autocorrelation function are decreased. The resulting maximal merit factors and minimal sidelobes are tabulated. ¬© 1993.</t>
  </si>
  <si>
    <t>Signal Processing</t>
  </si>
  <si>
    <t>60028673;60016653</t>
  </si>
  <si>
    <t>6602984382;6603574434</t>
  </si>
  <si>
    <t>B√∂mer, Leopold;Antweiler, Markus</t>
  </si>
  <si>
    <t>Germany;Germany</t>
  </si>
  <si>
    <t>Munich;Aachen</t>
  </si>
  <si>
    <t>Siemens AG;Rheinisch-Westf√§lische Technische Hochschule Aachen</t>
  </si>
  <si>
    <t>B√∂mer L.</t>
  </si>
  <si>
    <t>Optimizing the aperiodic merit factor of binary arrays</t>
  </si>
  <si>
    <t>016516849390047E</t>
  </si>
  <si>
    <t>10.1016/0165-1684(93)90047-E</t>
  </si>
  <si>
    <t>2-s2.0-0027186717</t>
  </si>
  <si>
    <t>National Science Foundation</t>
  </si>
  <si>
    <t>ECS-85-25891</t>
  </si>
  <si>
    <t>NSF</t>
  </si>
  <si>
    <t>['type integral', 'strip gratings', 'scattering solution', 'scattering properties', 'scattering patterns', 'scattered wave', 'recursive algorithm', 'n2log n', 'n log2n', 'log n', 'incident wave', 'finite array', 'fast compared', 'dielectric slab', 'current distributions', 'conventional methods', 'computational complexity']</t>
  </si>
  <si>
    <t>A fast recursive algorithm is used to compute the scattering properties of finite array of strip gratings on a dielectric slab. This algorithm has a computational complexity of O(N log2N) for one incident angle and O(N2log N) for one incident angle and 0(N&lt;sup&gt;2&lt;/sup&gt;log N) for N incident angles. It uses plane wave basis for expanding the incident wave and the scattered wave. The scattered wave is expanded in terms of a Sommerfeld-type integral with spectral distribution along a vertical branch cut, rendering its expansion very efficient. To validate the scattering solution obtained using the recursive algorithm, comparisons with the method of moments are illustrated. The current distributions on the strips and scattering patterns are both presented. Since this algorithm has reduced computational complexity and is fast compared to other conventional methods, it can be used to analyze very large strip arrays. Scattering solution of a 50-wavelength wide strip is illustrated. ¬© 1993 IEEE</t>
  </si>
  <si>
    <t>97-100</t>
  </si>
  <si>
    <t>60000745;60000745</t>
  </si>
  <si>
    <t>7404804587;26643168800</t>
  </si>
  <si>
    <t>Lu, Cai Cheng;Chew, Weng Cho</t>
  </si>
  <si>
    <t>Urbana</t>
  </si>
  <si>
    <t>University of Illinois Urbana-Champaign</t>
  </si>
  <si>
    <t>Lu C.</t>
  </si>
  <si>
    <t>Electromagnetic scattering of finite strip array on a dielectric slab</t>
  </si>
  <si>
    <t>10.1109/22.210234</t>
  </si>
  <si>
    <t>2-s2.0-0027186991</t>
  </si>
  <si>
    <t>['special case', 'initial work', 'chiral medium']</t>
  </si>
  <si>
    <t>A unified Beltrami field formulation in a microstrip structure using orthogonal curvilinear coordinates is presented. The chiral medium is assumed to be homogeneous and isotropic. The chiral medium is assumed to be homogeneous and isotropic. The special case of an achiral substrate follows from the formulation. The initial work is presented.</t>
  </si>
  <si>
    <t>43-44</t>
  </si>
  <si>
    <t>AEU. Archiv fur Elektronik und Ubertragungstechnik</t>
  </si>
  <si>
    <t>60002162;60002162</t>
  </si>
  <si>
    <t>7402672382;53877620200</t>
  </si>
  <si>
    <t>Bhattacharyya, Asoke K.;Lakhtakia, Akhlesh</t>
  </si>
  <si>
    <t>Las Cruces</t>
  </si>
  <si>
    <t>New Mexico State University</t>
  </si>
  <si>
    <t>Bhattacharyya A.K.</t>
  </si>
  <si>
    <t>Initial work on microstrip antenna with chiral substrate. Beltrami field formulation in a generalized cylindrical system</t>
  </si>
  <si>
    <t>2-s2.0-0027187499</t>
  </si>
  <si>
    <t>['spacecraft spin', 'regularly determined', 'range measurements', 'orbit prediction', 'july 2', 'giotto made', 'gain antenna', 'february 1990', 'data showed']</t>
  </si>
  <si>
    <t>In February 1990, contact was re-established with the ESA cometary spacecraft, Giotto, but the signal was too weak for telemetry and only Doppler data provided information on the status and dynamics of the spacecraft. These data showed that the orbit prediction had been accurate and were used to determine the spacecraft spin-rate. After several blind major reconfigurations of the spacecraft, the Doppler analyses proved that the High-Gain Antenna (HGA) had been despun and an attitude maneuver successfully performed. The Doppler change allowed the attitude to be reconstructed and eventually enabled normal communications via the HGA. Subsequently, the orbit was regularly determined from Doppler and range measurements and Giotto made the first ever Earth swing-by on July 2, 1990.</t>
  </si>
  <si>
    <t>119-138</t>
  </si>
  <si>
    <t>Journal of the Astronautical Sciences</t>
  </si>
  <si>
    <t>Morley, T. A.</t>
  </si>
  <si>
    <t>Darmstadt</t>
  </si>
  <si>
    <t>European Space Operations Centre</t>
  </si>
  <si>
    <t>Morley T.</t>
  </si>
  <si>
    <t>Exploitation of Doppler data during the reactivation of Giotto</t>
  </si>
  <si>
    <t>2-s2.0-0027188254</t>
  </si>
  <si>
    <t>NAS9-17900</t>
  </si>
  <si>
    <t>['whereas su', 'relative degradation', 'operating conditions', 'mutual interference', 'expected range', 'close proximity', 'carrier frequency', 'bit energy', 'band sso', 'band ssf', 'analytical approach', '6 db', '4 db', '1 ],']</t>
  </si>
  <si>
    <t>The space shuttle orbiter (SSO) Ku-band single access return (KSAR) link and the space station freedom (SSF) KSAR link1 via the tracking and data relay satellite system (TDRSS) use the same carrier frequency. The interference between spacecraft is minimized by opposite antenna polarizations and by TDRSS antenna beam pointing, but if the SSF and SSO are in close proximity, it is expected that mutual interference will be significant. Recently, Tsang and Su [1], [2] simulated the mutual interference effects, using a practical nonlinear baNDlimited channel. The purpose of this paper is to demonstrate that a simplified (i.e., linear bandlimited channel) analytical approach will yield adequate accuracy for the expected range of operating conditions. Relative degradation in bit energy-to-thermal noise power spectral density ratio to achieve a 10-5 coded bit-error-probability is determined to be 4 dB for the Ku-band SSO-to-TDRS I-channel return link with a 4.5 dB effective signal-to-interference total power ratio (S/I) when the Ku-band SSF-to-TDRS return link interferes, whereas Su's simulation yields approximately 5 dB degradation. For the Ku-band SSF-to-TDRS return link, both analysis and simulation results yield a relative signal degradation of 0.4 dB at the effective S/I = 21.6 dB. In conclusion, interference on the Ku-band SSO-to-TDRS /-channel return link is significant, but on the Ku-band SSF-to-TDRS return link it is negligible. ¬© 1993 IEEE</t>
  </si>
  <si>
    <t>142-150</t>
  </si>
  <si>
    <t>IEEE Transactions on Communications</t>
  </si>
  <si>
    <t>60002959;60002959;60002959</t>
  </si>
  <si>
    <t>55161892500;7103149745;7102291159</t>
  </si>
  <si>
    <t>Kwon, Hyuck M.;Loh, Yin Chung;Tu, Kwei</t>
  </si>
  <si>
    <t>Bethesda</t>
  </si>
  <si>
    <t>Lockheed Martin Corporation</t>
  </si>
  <si>
    <t>Kwon H.</t>
  </si>
  <si>
    <t>Interference Effects on Space Station Freedom and Space Shuttle Orbiter Ku-Band Downlinks</t>
  </si>
  <si>
    <t>10.1109/26.212374</t>
  </si>
  <si>
    <t>2-s2.0-0027188648</t>
  </si>
  <si>
    <t>['two capacitances', 'readily used', 'radiation resistance', 'point impedance', 'physical dimensions', 'lengths less', 'empirical formulas', 'element lumped', 'dipole half', 'dipole antenna', '1 œª']</t>
  </si>
  <si>
    <t>A four-element lumped-parameter equivalent circuit, consisting of a resistance, an inductance, and two capacitances, has been found to represent the feed-point impedance of a dipole antenna. The values of these elements are related only to the physical dimensions of the antenna, not the frequency of operation. Empirical formulas are given for all the elements. The equivalent circuit gives negligible errors in radiation resistance and reactance for dipole half-lengths less than 0.1 Œª, rising to 1% for resistance and 6% for reactance at 0.25Œª. It can be readily used in standard computer software packages such as SPICE, PSPICE, and MICROCAP. ¬© 1993 IEEE</t>
  </si>
  <si>
    <t>100-103</t>
  </si>
  <si>
    <t>0018926X</t>
  </si>
  <si>
    <t>IEEE Transactions on Antennas and Propagation</t>
  </si>
  <si>
    <t>60011019;60011019;</t>
  </si>
  <si>
    <t>54934557900;6701602079;24579838100</t>
  </si>
  <si>
    <t>Tang, Tee G.;Tieng, Quang M.;Gunn, Morris W.</t>
  </si>
  <si>
    <t>Australia</t>
  </si>
  <si>
    <t>Brisbane</t>
  </si>
  <si>
    <t>Queensland University of Technology</t>
  </si>
  <si>
    <t>Tang T.</t>
  </si>
  <si>
    <t>Equivalent Circuit of a Dipole Antenna Using Frequency-Independent Lumped Elements</t>
  </si>
  <si>
    <t>10.1109/8.210122</t>
  </si>
  <si>
    <t>2-s2.0-0027190120</t>
  </si>
  <si>
    <t>['œ ±-', '¬© 1993', 'two bacteriochlorophyll', 'trans configuration', 'three bacteriochlorophyll', 'rights reserved', 'provide information', 'pigment binding', 'photosynthetic membranes', 'photosynthetic bacteria', 'molecular weights', 'harvesting complex', 'exchange chromatography', 'coordinated mg2', 'carotenoid mainly', 'binding site', 'binding polypeptides', 'b870 complexes']</t>
  </si>
  <si>
    <t>The B800‚Äì850 light-harvesting complex (also called LH2) was isolated from photosynthetic membranes of Rhodospirillum molischianum DSM 119 using molecular sieve and ion-exchange chromatography. Its two bacteriochlorophyll a-binding polypeptides (Œ±-subunit and Œ≤-subunit) were purified with a reverse-phase HPLC system. The complete amino acid sequences of both subunits have been determined. The Œ±- and Œ≤-subunits consist of 56 and 45 amino acids, respectively, corresponding to molecular weights of 5939 and 5133. In contrast to the B800‚Äì850 complexes from other photosynthetic bacteria, the native B800‚Äì850 complex from Rs. molischianum is most likely an octamer of monomers with a stoichiometry of three bacteriochlorophyll a and 1.5 lycopenes per Œ±,Œ≤-subunit. Resonance Raman spectra provide evidence for a 5-coordinated Mg2+ in the BChl, and a carotenoid mainly in the all-trans configuration. A comparison between resonance Raman data from different photosynthetic bacteria indicates that the BChl a-binding site of the B800‚Äì850 complex from Rs. molischianum is more similar to the B870 complexes (also called LH1) than to the B800‚Äì850 complexes of other photosynthetic bacteria. Sequence similarities especially between the Œ≤-subunits of the B800‚Äì850 complex of Rs. molischianum and the B870 and B800‚Äì850 complexes of other photosynthetic bacteria agree with this result and provide information on the mode of pigment binding in bacterial antenna complexes. ¬© 1993, American Chemical Society. All rights reserved.</t>
  </si>
  <si>
    <t>5615-5621</t>
  </si>
  <si>
    <t>Biochemistry</t>
  </si>
  <si>
    <t>60020952;60020952;60028717;60019615</t>
  </si>
  <si>
    <t>57194804213;57215938479;35432738300;7103125115</t>
  </si>
  <si>
    <t>Germeroth, L.;Michel, H.;Lottspeich, F.;Robert, B.</t>
  </si>
  <si>
    <t>Germany;Germany;France</t>
  </si>
  <si>
    <t>Munich;Frankfurt am Main;Gif-sur-Yvette</t>
  </si>
  <si>
    <t>Ludwig-Maximilians-Universit√§t M√ºnchen;Max Planck Institute of Biophysics;CEA Saclay</t>
  </si>
  <si>
    <t>60028717;60020952;60019615</t>
  </si>
  <si>
    <t>Germeroth L.</t>
  </si>
  <si>
    <t>Unexpected Similarities of the B800‚Äì850 Light-Harvesting Complex from Rhodospirillum molischianum to the B870 Light-Harvesting Complexes from Other Purple Photosynthetic Bacteria</t>
  </si>
  <si>
    <t>10.1021/bi00072a017</t>
  </si>
  <si>
    <t>2-s2.0-0027195504</t>
  </si>
  <si>
    <t>['¬© 1993', 'wild type', 'tyr leads', 'seven different', 'rights reserved', 'possible explanation', 'pheophytin molecule', 'pcc 6803', 'nine mutants', 'mutations introduced', 'hydrophobic regions', 'four mutants', 'fifth ligand', 'evidence supporting', 'directed mutagenesis', 'cumulative effect', 'cp47 indeed', 'chlorophyll ligands', 'chlorophyll ligand', 'chlorophyll due', 'asn leads', 'apparent destabilization', 'antenna efficiency']</t>
  </si>
  <si>
    <t>Site-directed mutagenesis has been used to change conserved histidine residues in hydrophobic regions of the photosystem II chlorophyll-binding protein CP47 in the cyanobacterium Synechocystis sp. PCC 6803. Nine mutants with one, four mutants with two, and four mutants with three His mutations in CP47 have been generated and characterized. Mutation of any one of seven different His residues to Tyr leads to slower photoautotrophic growth and apparent destabilization of the PS II complex. Mutations introduced into multiple His residues in one mutant exhibited a cumulative effect. Replacing His by Asn leads to a much smaller effect than observed upon mutation to Tyr. This is consistent with the hypothesis that the mutated His residues are chlorophyll ligands: Asn can substitute as chlorophyll ligand, whereas Tyr cannot. Further evidence supporting a role of the mutated His residues in chlorophyll binding comes from measurements of the light intensity needed to half-saturate oxygen evolution. All His mutants with impaired PS II function needed higher light intensities for half-saturation than wild type. A possible explanation for this decrease in antenna efficiency in the mutants is a loss of the Mg in the chlorophyll due to a loss of the fifth ligand, and thus the formation of a pheophytin molecule in the antenna. We conclude that conserved His residues in hydrophobic regions of CP47 indeed are chlorophyll ligands and that these ligands are important for PS II stability as well as efficient antenna function. ¬© 1993, American Chemical Society. All rights reserved.</t>
  </si>
  <si>
    <t>5109-5115</t>
  </si>
  <si>
    <t>60003892;60003892;60003892</t>
  </si>
  <si>
    <t>7401966860;6603924381;7005345187</t>
  </si>
  <si>
    <t>Shen, Gaozhong;Eaton-Rye, Julian J.;Vermaas, Wim F.J.</t>
  </si>
  <si>
    <t>Tempe</t>
  </si>
  <si>
    <t>Arizona State University</t>
  </si>
  <si>
    <t>Shen G.</t>
  </si>
  <si>
    <t>Mutation of Histidine Residues in CP47 Leads to Destabilization of the Photosystem II Complex and to Impairment of Light Energy Transfer</t>
  </si>
  <si>
    <t>10.1021/bi00070a019</t>
  </si>
  <si>
    <t>2-s2.0-0027198655</t>
  </si>
  <si>
    <t>['theoretical analysis', 'reflection coefficient', 'microstrip line', 'input impedance', 'feed line', 'experimental results', 'electric field']</t>
  </si>
  <si>
    <t>An analysis of a wide rectangular radiating slot excited by a microstrip line is described. Coupled integral equations are formulated to find the electric current distribution on the feed line and the electric field in the aperture. The solution is based on the method of moments and using the space domain Sommerfeld type Green‚Äôs function. The information about the input impedance or reflection coefficient is extracted from the electric current distribution on the microstrip line utilizing the matrix pencil technique. The theoretical analysis is described and data are presented and compared with other theoretical and experimental results. ¬© 1993 IEEE</t>
  </si>
  <si>
    <t>29-37</t>
  </si>
  <si>
    <t>60030551;60030551;60030551</t>
  </si>
  <si>
    <t>7004310238;55650323300;6602324840</t>
  </si>
  <si>
    <t>Kahrizi, Masoud;Sarkar, Tapan K.;Maricevic, Zoran A.</t>
  </si>
  <si>
    <t>Syracuse</t>
  </si>
  <si>
    <t>Syracuse University</t>
  </si>
  <si>
    <t>Kahrizi M.</t>
  </si>
  <si>
    <t>Analysis of a wide radiating slot in the ground plane of a microstrip line</t>
  </si>
  <si>
    <t>10.1109/22.210226</t>
  </si>
  <si>
    <t>2-s2.0-0027201221</t>
  </si>
  <si>
    <t>['¬© 1993', 'rights reserved', 'richmond solution', 'good agreement', 'free space', 'electrical engineers', 'approximate solution']</t>
  </si>
  <si>
    <t>Antennas | Modelling</t>
  </si>
  <si>
    <t>The sinusoidal-Galerkin moment method is developed for calculating the impedance of a monopole antenna arbitrarily located on a circular ground plane in free space, as a variation of the Richmond solution for a monopole at the centre. Speed of computation is maintained by an approximate solution which is vindicated by good agreement with measurements. ¬© 1993, The Institution of Electrical Engineers. All rights reserved.</t>
  </si>
  <si>
    <t>223-224</t>
  </si>
  <si>
    <t>Electronics Letters</t>
  </si>
  <si>
    <t>60001881;60001881</t>
  </si>
  <si>
    <t>55328764600;6701323282</t>
  </si>
  <si>
    <t>Cook, G. G.;Khamas, S. K.</t>
  </si>
  <si>
    <t>Sheffield</t>
  </si>
  <si>
    <t>The University of Sheffield</t>
  </si>
  <si>
    <t>Cook G.G.</t>
  </si>
  <si>
    <t>Fast approximate moment method model for monopole arbitrarily positioned on circular ground plane</t>
  </si>
  <si>
    <t>10.1049/el:19930152</t>
  </si>
  <si>
    <t>2-s2.0-0027201319</t>
  </si>
  <si>
    <t>['technical goal', 'radiation pattern', 'objectives achieved', 'measurement technique', 'macintosh computer', 'knowledge built', 'introduces students', 'high tech', 'helmholtz equation', 'fourier transform', 'field using', 'elaborate environments', 'difficulties associated', 'complete set']</t>
  </si>
  <si>
    <t>A complete set of experiments on near-field antenna measurements is presented. This labwork serves two purposes: first, it introduces students to the difficulties associated with such a measurement technique, and second, they gain the confidence to work in high tech, elaborate environments. The technical goal in this labwork is to obtain the radiation pattern of an antenna through measurements of the near-field using a complete experimental set-up driven by a Macintosh computer, and performing a near-to-far field transformation using a combination of Helmholtz equation and the Fourier Transform. Actually, the knowledge students acquire in this labwork is built up in stages which are both independent and experiments in their own right: they are described in detail in the paper, along with the knowledge built up at each stage by students as they advance into the labwork, and the objectives achieved.</t>
  </si>
  <si>
    <t>66-76</t>
  </si>
  <si>
    <t>60007136;60007136;60007136;60007136;60007136;60007136</t>
  </si>
  <si>
    <t>35249271900;6505990898;6602311799;57212682545;57197689692;56796502600</t>
  </si>
  <si>
    <t>Picard, D.;Rekiouak, A.;Helier, M.;Ziyyat, A.;Gautier, J. Y.;Bolomey, J. Ch</t>
  </si>
  <si>
    <t>Gif-sur-Yvette</t>
  </si>
  <si>
    <t>Laboratoire des Signaux et Syst√®mes</t>
  </si>
  <si>
    <t>Picard D.</t>
  </si>
  <si>
    <t>Global approach to teaching near-field antenna measurements</t>
  </si>
  <si>
    <t>2-s2.0-0027201430</t>
  </si>
  <si>
    <t>['usually administered', 'ulceration occurred', 'tumour breakdown', 'three patients', 'thermal blistering', 'surface thermometers', 'sternomastoid muscle', 'skin reactions', 'six lesions', 'single plane', 'rights reserved', 'results showed', 'relative ease', 'recurrence rate', 'range 3', 'range 24', 'radiation therapy', 'radiation doses', 'preliminary study', 'polyurethane closed', 'partial response', 'parallel arrays', 'one modality', 'neck 3', 'lesions 3', 'lesion behind', 'last follow', 'interstitial hyperthermia', 'heat tumours', 'four fields', 'external hyperthermia', 'extending forward', 'equivalent site', 'end catheters', 'dissected neck', 'deeper aspects', 'completely heated', 'complete response', 'complete responders', 'clinical trial', 'angled deeply', 'alternating sessions', 'advanced tumours', 'administered followed', '94 cm3', '8 weeks', '60 gy', '6 ).', '16 ga']</t>
  </si>
  <si>
    <t>Head and neck tumours | Hyperthermia | Interstitial | Radiation oncology</t>
  </si>
  <si>
    <t>Advanced tumours in the head and neck 3-6 cm depth are too deep to be completely heated by external 915 MHz microwaves. A preliminary study was performed using interstitial plus external hyperthermia combined with external beam radiation therapy to heat tumours to depths ‚â´ 3 cm. Nine advanced metastatic lesions of squamous cell carcinoma located in the head and neck were treated between 1987 and 1990 with the combined hyperthermia technique and radiation doses of 38-60 Gy (mean of 49 ‚â´3 Gy). The mean tumour volume was 58 ‚â´ 9 (SE) cm3 (range 24-94 cm3) with a mean tumour depth of 3‚â´9 ‚â´ 0‚â´3 cm (range 3-5‚â´5 cm). The deeper aspects of the tumour were heated by interstitial 915 MHz microwave antennas and the superficial aspects heated by external 915 MHz applicators. A single plane of polyurethane closed-end catheters, 16 Ga, were inserted under local anaesthesia approximately 1‚â´5-2 cm apart in parallel arrays at the base of a lesion behind the sternomastoid muscle, or an equivalent site in a dissected neck, extending forward and angled deeply no more than 15‚â´ Hyperthermia was administered twice weekly immediately after radiation therapy in a mean of 5‚â´3 ‚â´ 0‚â´7 external heat sessions (range 3-7) and a mean of 3‚â´5 ‚â´ 0‚â´6 interstitial heat sessions (range of 1-6). Interstitial hyperthermia was usually administered in alternating sessions with external hyperthermia, but in some patients all of the sessions of one modality were administered followed by all of the sessions of the other modality. In no case were both interstitial and external heatings performed on the same day. Surface thermometers were used to monitor skin temperature during external hyperthermia sessions. Results showed that by 8 weeks after completion of treatment, six lesions exhibited a complete response (67% and three a partial response (33% One of the partial responses continued to regress and became a complete response (78% complete response). The recurrence rate in complete responders was 14% (1/7) with time to recurrence of 7‚â´7 months. Six lesions were recurrence-free at last follow-up of 21‚â´3 ‚â´ 8‚â´8 months. Skin reactions were absent in four fields (44% erythema was noted in five (56% and thermal blistering in one (11% Ulceration occurred only in association with tumour breakdown when the skin was infiltrated by tumour (three patients, 33% The relative ease of the technique and the preliminary results suggest that a clinical trial is warranted to evaluate whether interstitial plus external hyperthermia combined with external radiation therapy may be as effective in lesions 3-6 cm depth as external hyperthermia is in lesions ‚â´3 cm depth. ¬© 1993 Informa UK Ltd All rights reserved: reproduction in whole or part not permitted.</t>
  </si>
  <si>
    <t>645-654</t>
  </si>
  <si>
    <t>60032420;60032420;60032420;60032420;60032420;60032420;60032420</t>
  </si>
  <si>
    <t>6701768798;6602673322;7005752467;6602763197;6506167346;7103151329;7007059275</t>
  </si>
  <si>
    <t>Engin, K.;Tupchong, L.;Waterman, F. M.;Nerlinger, R. T.;Hoh, L. L.;Mcfarlane, J. D.;Leeper, D. B.</t>
  </si>
  <si>
    <t>Philadelphia</t>
  </si>
  <si>
    <t>Jefferson Medical College</t>
  </si>
  <si>
    <t>Engin K.</t>
  </si>
  <si>
    <t>Thermoradiotherapy with combined interstitial and external hyperthermia in advanced tumours in the head and neck with depth &amp;gt;3 cm</t>
  </si>
  <si>
    <t>10.3109/02656739309032053</t>
  </si>
  <si>
    <t>2-s2.0-0027201534</t>
  </si>
  <si>
    <t>['two beams', 'recent increase', 'new model', 'early 1970s', 'ccir model']</t>
  </si>
  <si>
    <t>Bistatic interference | Circular contours | Co‚Äêordination area | Elliptical contours</t>
  </si>
  <si>
    <t>This paper presents results from a new theoretical model to estimate bistatic rain scatter interference between terrestrial radio relay systems and earth‚Äêsatellite systems operating at the same frequency. The current model used by the CCIR was developed in the early 1970s when system packing density was low and the large earth‚Äêstation antennas allowed the consideration of narrow beam approximations. This resulted in a small common volume of intersection of the two beams and large circular contours. The recent increase in microwave communications traffic and the improvements in technology have meant that very small aperture terminals (VSATs) can be employed, and hence the model must allow for the consideration of sidelobes, low gain antennas and non‚Äêuniform rain cells intersecting much larger common volumes. Aspects of the new model are discussed and different assumptions made by the CCIR model are examined. Results from the new model show that the contours are smaller and non‚Äêcircular and result in much smaller co‚Äêordination areas. Copyright ¬© 1993 John Wiley &amp; Sons, Ltd.</t>
  </si>
  <si>
    <t>33-49</t>
  </si>
  <si>
    <t>International Journal of Satellite Communications</t>
  </si>
  <si>
    <t>January/February 1993</t>
  </si>
  <si>
    <t>McGuinness, R.</t>
  </si>
  <si>
    <t>Colchester</t>
  </si>
  <si>
    <t>University of Essex</t>
  </si>
  <si>
    <t>McGuinness R.</t>
  </si>
  <si>
    <t>The application of a bistatic intersystem interference model to radio systems co‚Äêordination and satellite systems optimization</t>
  </si>
  <si>
    <t>10.1002/sat.4600110105</t>
  </si>
  <si>
    <t>2-s2.0-0027206243</t>
  </si>
  <si>
    <t>['transconjugant f', 'shuttle plasmids', 'shuttle plasmid', 'reported means', 'plasmid native', 'omega interposon', 'mating contained', 'kb fragment', 'highly resistant', 'harvesting antennae', 'green light', 'genetic manipulation', 'gene expression', 'fremyella diplosiphon', 'filamentous cyanobacterium', 'fdii reduced', 'escherichia coli', 'efficiently mobilized', 'cyanobacterial part', 'calothrix sp', 'available light']</t>
  </si>
  <si>
    <t>In some strains of cyanobacteria the composition of the light-harvesting antennae is determined by the color of available light. The mechanism of this chromatic adaptation involves the regulation of gene expression by red and green light and has been most studied in Fremyella diplosiphon (Calothrix sp. PCC 7601), a filamentous cyanobacterium for which there has been no reported means of genetic manipulation. We have constructed shuttle plasmids which can be efficiently mobilized by RP4 from Escherichia coli into F. diplosiphon and which can be recovered from transconjugant F. diplosiphon and returned to E. coli by transformation. The ability of these plasmids to replicate in F. diplosiphon is conferred by an 8.0-kb DNA fragment isolated from pFDA, a plasmid native to F. diplosiphon. To create these shuttle plasmids the 8.0-kb fragment was cloned into pJCF22, a mobilizable plasmid constructed from oriV and bom from pBR322, cat from pACYC184 and aphA from pACYC177, pJCF22 lacks sites for the restriction enzymes FdiI and II. Transconjugant F. diplosiphon containing shuttle plasmid pJCF62 are resistant to chloramphenicol and highly resistant to the aminoglycosides, G418 and neomycin. When aadA from the omega interposon was incorporated into a shuttle plasmid transconjugant F. diplosiphon could also be selected with streptomycin or spectinomycin. In F. diplosiphon shuttle plasmid pJCF62 replicates with a minimum copy number of seven. The oriV for replication in F. diplosiphon was localized to a 2.8-kb region within the cyanobacterial part of pJCF62. The presence on a shuttle plasmid of a single recognition site for FdiI reduced the efficiency of mobilization into F. diplosiphon by 5- to 10-fold. Restriction at this site was prevented when the E. coli donor strain in the mating contained the enzyme Eco 4711 methylase. ¬© 1993 Academic Press, Inc.</t>
  </si>
  <si>
    <t>90-105</t>
  </si>
  <si>
    <t>0147619X</t>
  </si>
  <si>
    <t>Plasmid</t>
  </si>
  <si>
    <t>60085748;60085748;60085748;60085748;60085748;60085748;60085748;60085748</t>
  </si>
  <si>
    <t>55373299000;6507851407;36750373500;7003896096;6504567530;24302401600;6602218771;56759139500</t>
  </si>
  <si>
    <t>Cobley, John G.;Zerweck, Edward;Reyes, Richard;Mody, Anahita;Seludo-Unson, J. Racquel;Jaeger, Heidi;Weerasuriya, Siromi;Navankasattusas, Sutip</t>
  </si>
  <si>
    <t>San Francisco</t>
  </si>
  <si>
    <t>University of San Francisco</t>
  </si>
  <si>
    <t>Cobley J.</t>
  </si>
  <si>
    <t>Construction of shuttle plasmids which can be efficiently mobilized from escherichia coli into the chromatically adapting cyanobacterium, fremyella diplosiphon</t>
  </si>
  <si>
    <t>S0147619X83710371</t>
  </si>
  <si>
    <t>10.1006/plas.1993.1037</t>
  </si>
  <si>
    <t>2-s2.0-0027209903</t>
  </si>
  <si>
    <t>National Eye Institute</t>
  </si>
  <si>
    <t>R01EY008058</t>
  </si>
  <si>
    <t>NEI</t>
  </si>
  <si>
    <t>['tp ).', 'terminal domain', 'subrhabdomeric cisternae', 'results suggest', 'rdgb protein', 'neuronal cells', 'many sensory', 'likely function', 'intracellular calcium', 'induced changes', 'drosophila brain', 'directly regulated', 'binds 45ca', 'associated pi', 'antiserum localized']</t>
  </si>
  <si>
    <t>The Drosophila retinal degeneration B (rdgB) mutation causes abnormal photoreceptor response and light-enhanced retinal degeneration. Immunoblots using polyclonal anti-rdgB serum showed that rdgB is a 160-kD membrane protein. The antiserum localized the rdgB protein in photoreceptors, antennae, and regions of the Drosophila brain, indicating that the rdgB protein functions in many sensory and neuronal cells. In photoreceptors, the protein localized adjacent to the rhabdomeres, in the vicinity of the subrhabdomeric cisternae. The rdgB protein's aminoterminal 281 residues are &gt;40% identical to the rat brain phosphatidylinositol transfer protein (PI-TP). A truncated rdgB protein, which contains only this amino-terminal domain, possesses a phosphatidylinositol transfer activity in vitro. The remaining 773 carboxyl terminal amino acids have additional functional domains. Nitrocellulose overlay experiments reveal that an acidic amino acid domain, adjacent to the PI transfer domain, binds 45Ca+2. Six hydrophobic segments are found in the middle of the putative translation product and likely function as membrane spanning domains. These results suggest that the rdgB protein, unlike the small soluble PI-TPs, is a membrane-associated PI-TP, which may be directly regulated by light-induced changes in intracellular calcium.</t>
  </si>
  <si>
    <t>1013-1022</t>
  </si>
  <si>
    <t>Journal of Cell Biology</t>
  </si>
  <si>
    <t>60021508;60021947;60021508;60021508;60021508</t>
  </si>
  <si>
    <t>6602888241;7006482273;7006155642;6701512534;7102093364</t>
  </si>
  <si>
    <t>Vihtelic, Thomas S.;Goebl, Mark;Milligan, Scott;O'Tousa, Joseph E.;Hyde, David R.</t>
  </si>
  <si>
    <t>Indianapolis;Notre Dame</t>
  </si>
  <si>
    <t>Indiana University School of Medicine;University of Notre Dame</t>
  </si>
  <si>
    <t>60021947;60021508</t>
  </si>
  <si>
    <t>Vihtelic T.</t>
  </si>
  <si>
    <t>Localization of Drosophila retinal degeneration B, a membrane-associated phosphatidylinositol transfer protein</t>
  </si>
  <si>
    <t>10.1083/jcb.122.5.1013</t>
  </si>
  <si>
    <t>2-s2.0-0027216545</t>
  </si>
  <si>
    <t>National Cancer Institute</t>
  </si>
  <si>
    <t>R01CA038701</t>
  </si>
  <si>
    <t>NCI</t>
  </si>
  <si>
    <t>['vitro approach', 'unlabeled gal', 'unlabeled antennae', 'structural characterization', 'specifically released', 'sialylated oligosaccharides', 'sialic acid', 'sia residues', 'sia ),', 'short incubations', 'recapitulate reactions', 'rat liver', 'radiolabeled n', 'permit inter', 'oligosaccharides produced', 'negative charge', 'mainly associated', 'macromolecular radioactivity', 'linked oligosaccharides', 'labeling reaction', 'intact compartments', 'intact cells', 'intact cell', 'golgi apparatus', 'glycoprotein acceptors', 'glcnac transferases', 'glcnac residues', 'galactosylated oligosaccharides', 'functional association', 'endogenous acceptors', 'efficiently transferred', 'distinct neutral', 'directly covered', 'compartmental transport', 'compartmental organization', 'biosynthetic capabilities', 'asparagine amidase', 'antennary species', 'antennary molecules', 'antennary chains', 'anionic species', 'amounts greater']</t>
  </si>
  <si>
    <t>During short incubations of a Golgi apparatus-enriched subcellular fraction from rat liver with UDP-[3H]GlcNAc, label is efficiently transferred to endogenous acceptors. Most of the macromolecular radioactivity is specifically released by peptide-N4-(N-acetyl-Œ≤-glucosaminyl)asparagine amidase, indicating that it is mainly associated with N-linked oligosaccharides. The glycoprotein acceptors are resistant to proteases unless detergent is added in amounts greater than the critical micellar concentration. This shows that the acceptors are within the lumen of intact compartments, which have the correct topological orientation expected for the Golgi apparatus in intact cells. Structural characterization of the radiolabeled N-linked oligosaccharides shows a variety of distinct neutral and anionic species. The neutral chains include bi-, tri-, and tetra- antennary molecules with terminal Œ≤-[3H] GlcNAc residues. In vitro sialylation shows that some of the tetra-antennary chains have Œ≤1,3-linked Gal residues on their unlabeled antennae. An unknown modification appears to block the action of Œ≤-galactosidase on these galactosylated oligosaccharides. Chasing the labeling reaction with a mixtures of UDP-Gal, CMP-Neu5Ac, and adenosine 3'-phosphate,5'-phosphosulfate causes an increase in the percent of radiolabeled anionic oligosaccharides. Most of the negative charge is due to sialic acid (Sia), and some appears to be in phosphodiester- linked [3H]GlcNAc. The sialylated oligosaccharides are a mixture of bi-, tri-, and tetra-antennary species with 1-3-Sia residues, and some of the [3H]GlcNAc residues are directly covered with unlabeled Gal and Sia residues. This in vitro approach should recapitulate reactions that occur in the biosynthesis of N-linked oligosaccharides in the Golgi apparatus of the intact cell. Since the conditions during labeling do not permit inter- compartmental transport, the oligosaccharides produced should represent the biosynthetic capabilities of individual Golgi compartments. Evidence is presented for a functional association of GlcNAc transferases I, II, and Œ±- mannosidase II, with separation from GlcNAc transferase IV and/or V. The structures also indicate co-compartmentalization of several GlcNAc transferase(s) with Œ≤-galactosyltransferase(s) and sialyltransferase(s). The compartmental organization of the Golgi apparatus is discussed in light of these findings.</t>
  </si>
  <si>
    <t>16139-16154</t>
  </si>
  <si>
    <t>Journal of Biological Chemistry</t>
  </si>
  <si>
    <t>60014754;60014754;60014754</t>
  </si>
  <si>
    <t>7101806303;7005810496;16147542800</t>
  </si>
  <si>
    <t>Hayes, B. K.;Freeze, H. H.;Varki, A.</t>
  </si>
  <si>
    <t>UC San Diego School of Medicine</t>
  </si>
  <si>
    <t>Hayes B.K.</t>
  </si>
  <si>
    <t>Biosynthesis of oligosaccharides in intact Golgi preparations from rat liver. Analysis of N-linked glycans labeled by UDP-[6-&lt;sup&gt;3&lt;/sup&gt;H]N-acetylglucosamine</t>
  </si>
  <si>
    <t>2-s2.0-0027219221</t>
  </si>
  <si>
    <t>['¬© 1993', 'steering vector', 'steering angle', 'robust technique', 'pointing error', 'performance achievable', 'paper presents', 'output power', 'numerical results', 'known bandwidth', 'desired signal', 'broadband source', 'broadband beamforming']</t>
  </si>
  <si>
    <t>antenna array processing | Robust beamforming</t>
  </si>
  <si>
    <t>This paper presents a robust technique for broadband beamforming in the presence of pointing error. Based on the fact that the output power of an optimized beamformer achieves a maximum if the steering vector coincides with that of the desired signal, the technique iteratively searches for the correct 'steering vector' of a broadband source with a known bandwidth. By approximating the 'steering vector' by its first order Taylor series expansion in terms of the steering angle, the maximization process reduces to a one-dimensional optimization problem. Numerical results are presented to illustrate the performance achievable. ¬© 1993.</t>
  </si>
  <si>
    <t>115-121</t>
  </si>
  <si>
    <t>60005510;60003196</t>
  </si>
  <si>
    <t>7102842938;7101727343</t>
  </si>
  <si>
    <t>Er, M. H.;Ng, B. C.</t>
  </si>
  <si>
    <t>Singapore;Singapore</t>
  </si>
  <si>
    <t>Singapore City;Singapore</t>
  </si>
  <si>
    <t>Nanyang Technological University;DSO National Laboratories</t>
  </si>
  <si>
    <t>Er M.</t>
  </si>
  <si>
    <t>A robust method for broadband beamforming in the presence of pointing error</t>
  </si>
  <si>
    <t>016516849390054E</t>
  </si>
  <si>
    <t>10.1016/0165-1684(93)90054-E</t>
  </si>
  <si>
    <t>2-s2.0-0027219868</t>
  </si>
  <si>
    <t>['retrieval functions', 'require data', 'provides engineers', 'paper describes', 'operating systems', 'new tools', 'money trying', 'modeling systems', 'modeling applications', 'model history', 'maintain productivity', 'main advantages', 'integrate tools', 'heterogeneous programs', 'flexible ways', 'electromagnetic sources', 'display functions', 'different languages', 'different formats', 'data input', 'complex problems', 'common store', 'become larger', 'basically incompatible', 'approach simplifies', 'antenna models']</t>
  </si>
  <si>
    <t>As modeling systems mature, they become larger, more complex, and more difficult to maintain. Modeling tools increase in number and complexity. Frequently they are written in different languages and require data in different formats. Databases also increase in size as modeling systems are applied to new and more complex problems. Engineers spend large amounts of money trying to integrate tools and data that are basically incompatible. Unfortunately, budgets do not grow at the same rate as the complexity of our modeling systems and databases. To maintain productivity, it is necessary to design modeling environments that can handle large amounts of data in flexible ways and are simple to maintain and upgrade. This paper describes a new environment developed by the authors for the modeling of communication antennas based on a relational database management system. This approach simplifies the task of integrating a set of heterogeneous programs with incompatible data formats. The relational database provides a common store for all modeling objects including the antenna, platform, ground, electromagnetic sources, currents, charges, and fields, and model history. The database management system provides the organization, storage, and retrieval functions and some of the data input, validation and display functions for the antenna models. The main advantages of this approach are its ability to grow as new tools and capabilities are added, its portability to other machines and operating systems, and the ability it provides engineers to easily share data among themselves and with other modeling applications.</t>
  </si>
  <si>
    <t>114-127</t>
  </si>
  <si>
    <t>60002214;60002214</t>
  </si>
  <si>
    <t>6603268472;57196683820</t>
  </si>
  <si>
    <t>Stover, Virginia;Logan, James C.</t>
  </si>
  <si>
    <t>University of San Diego</t>
  </si>
  <si>
    <t>Stover V.</t>
  </si>
  <si>
    <t>Integrated environment for the numerical modeling of communication antennas based on relational databases</t>
  </si>
  <si>
    <t>2-s2.0-0027221193</t>
  </si>
  <si>
    <t>Eunice Kennedy Shriver National Institute of Child Health and Human Development</t>
  </si>
  <si>
    <t>R01HD027937</t>
  </si>
  <si>
    <t>NICHD</t>
  </si>
  <si>
    <t>['test whether', 'substitute functionally', 'results suggest', 'regulatory hierarchy', 'mouse hox', 'insect organogenesis', 'including transformation', 'heat shock', 'head structures', 'fork head', 'external structures', 'ectopic expression', 'ectopic activation', 'drosophila scr', 'drosophila genome', 'dramatically disrupted', '3 induced', '3 gene', '3 cannot', '3 appears']</t>
  </si>
  <si>
    <t>Evolution | Fork head | Homeotic transformation | Hox-1.3 | Sex combs reduced</t>
  </si>
  <si>
    <t>To test whether the mouse Hox-1.3 gene is a cognate of the Drosophila Sex combs reduced (Scr) gene, we inserted a hsp70-Hox-1.3 fusion gene into the Drosophila genome. Transgenic flies displayed Scr-like homeotic transformations after ectopic expression of Hox-1.3 induced by heat shock. In larvae, the thoracic segments T2 and T3 are transformed toward T1. In adults, head structures are dramatically disrupted, including transformation of antenna towards leg. Transformations are not the result of ectopic activation of the endogenous Scr gene. Rather, Hox-1.3 appears to directly regulate Scr target genes, as demonstrated by the ectopic activation of fork head by Hox-1.3. The results suggest that mouse Hox-1.3 cannot only substitute functionally for Drosophila Scr in the determination of external structures but also can participate in the regulatory hierarchy of insect organogenesis.</t>
  </si>
  <si>
    <t>343-354</t>
  </si>
  <si>
    <t>Genes and Development</t>
  </si>
  <si>
    <t>60012981;60012981;60012981</t>
  </si>
  <si>
    <t>8102491700;7005745281;7003900316</t>
  </si>
  <si>
    <t>Zhao, Jack Jiagang;Lazzarini, Robert A.;Pick, Leslie</t>
  </si>
  <si>
    <t>New York</t>
  </si>
  <si>
    <t>Icahn School of Medicine at Mount Sinai</t>
  </si>
  <si>
    <t>Zhao J.</t>
  </si>
  <si>
    <t>The mouse Hox-1.3 gene is functionally equivalent to the Drosophila Sex combs reduced gene</t>
  </si>
  <si>
    <t>10.1101/gad.7.3.343</t>
  </si>
  <si>
    <t>2-s2.0-0027223344</t>
  </si>
  <si>
    <t>['useful system', 'transformed lines', 'specific patterns', 'specific expression', 'respiratory system', 'regulatory regions', 'region near', 'putative 5', 'promoter regions', 'melanogaster adults', 'maxillary palps', 'gene regulation', 'expression make', 'ejaculatory duct', 'ejaculatory bulb', 'drosophila melanogaster', 'directed expression', 'direct tissue', 'deletion mutants', 'also found', 'adult stages']</t>
  </si>
  <si>
    <t>evolution | gene regulation</t>
  </si>
  <si>
    <t>The esterase 6 gene (Est-6) of Drosophila melanogaster is expressed in a variety of tissues that differ between larval and adult stages and among related species. Variability in the level of expression of this locus among different species and strains and its species- and tissue-specific patterns of expression make it a useful system for studying the evolution of gene regulation in Drosophila. We have begun to determine the location of the regulatory regions of Est-6 by constructing deletion mutants of the 5' regions of the gene and transforming them back into flies. Deletion mutants of the putative 5' promoter regions of Est-6 were fused to the bacterial Œ≤- galactosidase gene (lacZ) and assayed for their ability to direct tissue- specific expression in transformed D. melanogaster adults. We have identified four independently acting Est-6 regulatory regions that direct the expression of lacZ in (i) the ejaculatory duct; (ii) the adult salivary glands; (iii) the respiratory system, prefrons, antennae, and maxillary palps; and (iv) the ejaculatory bulb and prefrons. We also found a region near the start of transcription that directed expression of Est-6 in the cardia or proventriculus in some transformed lines.</t>
  </si>
  <si>
    <t>6233-6237</t>
  </si>
  <si>
    <t>Proceedings of the National Academy of Sciences of the United States of America</t>
  </si>
  <si>
    <t>60007740;60007740;60007740</t>
  </si>
  <si>
    <t>16186056600;14525946500;7102805457</t>
  </si>
  <si>
    <t>Ludwig, M. Z.;Tamarina, N. A.;Richmond, R. C.</t>
  </si>
  <si>
    <t>Tampa</t>
  </si>
  <si>
    <t>University of South Florida, Tampa</t>
  </si>
  <si>
    <t>Ludwig M.</t>
  </si>
  <si>
    <t>Localization of sequences controlling the spatial, temporal, and sex- specific expression of the esterase 6 locus in Drosophila melanogaster adults</t>
  </si>
  <si>
    <t>10.1073/pnas.90.13.6233</t>
  </si>
  <si>
    <t>2-s2.0-0027225218</t>
  </si>
  <si>
    <t>['version nec', 'various versions', 'still retaining', 'point source', 'output format', 'monopole elements', 'monopole element', 'gs versions', 'gs version', 'gs ).', 'ground interface', 'flat earth', 'efficient version', 'earth interface', 'early version', 'close proximity', '3 extends', '2 version', '1 ),']</t>
  </si>
  <si>
    <t>This paper summarizes recent MITRE efforts to validate the NEC-3 and NEC-GS versions of the Numerical Electromagnetics Code (NEC) developed by Lawrence Livermore National Laboratory for predicting the performance of antenna wire elements in close proximity to flat earth. In an early version (NEC-1), the effect of the air-ground interface was included by applying a plane-wave Fresnel reflection coefficient approximation to the field of a point source. The NEC-2 version, while still retaining the Fresnel reflection coefficient model as an option, provides a more accurate ground model by numerically evaluating Sommerfeld integrals. The version NEC-3 extends the NEC-2 version to cases for bare wire segments below the air-earth interface. Version NEC-GS utilizes rotational symmetry to provide a more efficient version of NEC-3 for the case of a monopole element with a uniform radial wire ground-screen (GS). Results of the various versions are compared with each other and with other models. The input-output format of the NEC-GS version is discussed. It is concluded that the NEC-3 Sommerfeld integral option in the NEC-GS version is the best available model for monopole elements with electrically small radial-wire ground planes.</t>
  </si>
  <si>
    <t>44-71</t>
  </si>
  <si>
    <t>Weiner, M. M.</t>
  </si>
  <si>
    <t>McLean</t>
  </si>
  <si>
    <t>MITRE Corporation</t>
  </si>
  <si>
    <t>Weiner M.</t>
  </si>
  <si>
    <t>Validation of the Numerical Electromagnetics Code (NEC) for antenna wire elements in proximity to earth</t>
  </si>
  <si>
    <t>2-s2.0-0027226689</t>
  </si>
  <si>
    <t>['worker bees', 'western blots', 'visual system', 'require fixation', 'relay neurons', 'perineural sheath', 'olfactory pathways', 'neuropilar compartments', 'mushroom bodies', 'kenyon cells', 'conspicuously fasciculate', 'common tracts', 'also expressed', '180 kd']</t>
  </si>
  <si>
    <t>antennal lobes | cell culture | fasciculation | monopolar cells | mushroom bodies</t>
  </si>
  <si>
    <t>We employed a monoclonal antibody raised against Drosophila brain homogenate for a comparative immunocytochemical analysis of visual and olfactory pathways in brains of two insect species. On Western blots of Drosophila and Apis nervous tissue, antibody fb45 recognized an antigen with an apparent molecular weight higher than 180 kD. Application of the antibody to sections of Drosophila and Apis brain stained certain interneurons which conspicuously fasciculate in common tracts or neuropilar compartments. Both in Drosophila and in Apis, the antigen was also expressed on the perineural sheath and granular cell compartments in the majority of neuronal cell bodies. The antibody stained monopolar cells in the visual system of both species, and in Apis those fibers of the anterior superior optic tract which link the medulla with the mushroom bodies. In Drosophila, bundles of Kenyon cells of the mushroom bodies were stained. In worker bees and drones, the relay neurons of the median and lateral antennoglomerular tracts were labelled. Since the recognition of the antigen does not require fixation, the antibody can be employed to label selectively living neurons in dissociated cell culture. This opens up the possibility for future functional studies on the role of the antigen in vitro. ¬© 1993 Wiley‚ÄêLiss, Inc. Copyright ¬© 1993 Wiley‚ÄêLiss, Inc.</t>
  </si>
  <si>
    <t>413-424</t>
  </si>
  <si>
    <t>Journal of Comparative Neurology</t>
  </si>
  <si>
    <t>60030718;60030718;60108337</t>
  </si>
  <si>
    <t>7006119207;6602285473;7003330885</t>
  </si>
  <si>
    <t>Bicker, Gerd;Kreissl, Sabine;Hofbauer, Alois</t>
  </si>
  <si>
    <t>Wurzburg;Berlin</t>
  </si>
  <si>
    <t>Biozentrum der Universit√§t W√ºrzburg;Freie Universit√§t Berlin</t>
  </si>
  <si>
    <t>60108337;60030718</t>
  </si>
  <si>
    <t>Bicker G.</t>
  </si>
  <si>
    <t>Monoclonal antibody labels olfactory and visual pathways in Drosophila and Apis brains</t>
  </si>
  <si>
    <t>10.1002/cne.903350310</t>
  </si>
  <si>
    <t>2-s2.0-0027228307</t>
  </si>
  <si>
    <t>['written specifically', 'validation exercises', 'using mininec', 'personal computer', 'paper presents', 'moments code', 'last decade', 'evolved considerably', 'antenna theory']</t>
  </si>
  <si>
    <t>MININEC is a compact, Method of Moments code, written specifically for the personal computer which has evolved considerably in the last decade. This paper presents an assessment of the program and discusses its use in the teaching of antenna theory to undergraduates. The results of a number of validation exercises on the code are included and the simulation of loaded wire antennas, using MININEC, is discussed.</t>
  </si>
  <si>
    <t>Austin, B. A.</t>
  </si>
  <si>
    <t>Liverpool</t>
  </si>
  <si>
    <t>University of Liverpool</t>
  </si>
  <si>
    <t>Austin B.</t>
  </si>
  <si>
    <t>Assessment of MININEC and its use in the teaching of antenna theory</t>
  </si>
  <si>
    <t>2-s2.0-0027233211</t>
  </si>
  <si>
    <t>['structural details', 'second antennae', 'relative size', 'posterior processes', 'ophidiidac ),', 'neobrachiella hoi', 'ground fish', 'first maxilla', 'chilara taylori']</t>
  </si>
  <si>
    <t>Neobrachiella hoi, parasitic in the mouth of Chilara taylori (Ophidiidac), a ground fish of the southern California coast, is described and illustrated. The new species differs from its congeners by a combination of characters: the overall body proportions of both sexes, the relative size of the female's posterior processes, and the structural details of the first and second antennae, mandible, and first maxilla.</t>
  </si>
  <si>
    <t>331-336</t>
  </si>
  <si>
    <t>Journal of Parasitology</t>
  </si>
  <si>
    <t>Piasecki, W.</t>
  </si>
  <si>
    <t>Fredericton</t>
  </si>
  <si>
    <t>University of New Brunswick</t>
  </si>
  <si>
    <t>Piasecki W.</t>
  </si>
  <si>
    <t>Neobrachiella hoi n. sp. (Crustacea: Copepoda: Lernaeopodidae) parasitic on spotted cusk-eel Chilara taylori off the southern California coast</t>
  </si>
  <si>
    <t>10.2307/3283566</t>
  </si>
  <si>
    <t>2-s2.0-0027233586</t>
  </si>
  <si>
    <t>NAG 5-10</t>
  </si>
  <si>
    <t>['summer tropospheres', 'substantially smaller', 'square errors', 'separate retrievals', 'satellite observations', 'retrieval operators', 'retrieval operator', 'radiosonde profiles', 'predicted values', 'operational purposes', 'nearly consistent', 'nasa er', 'nadiral aircraft', 'mts data', 'mts channels', 'made using', 'instrument aboard', 'ghz aircraft', 'general trends', 'error estimator', 'cohmex ).', 'calculations based', 'atmospheric temperature', 'altitude platform', '2 spectra', '2 k', '2 high']</t>
  </si>
  <si>
    <t>Linear statistical temperature profile retrievals from nadiral passive 118-GHz O 2 spectra are demonstrated using time-and space-coincident microwave observations and radiosonde profiles. The nadiral aircraft-based brightness observations were made using the Millimeter-wave Temperature Sounder (MTS) instrument aboard the NASA ER-2 high-altitude platform during the Genesis of Atlantic Lows Experiment (GALE) and the Cooperative Huntsville Meteorological Experiment (COHMEX). Separate retrievals are demonstrated for winter and summer midlatitude conditions in clear-air over land; observations during both day and night are included. The retrieval operator is a linear-statistical minimum mean-squared-error estimator. A purely statistical retrieval operator circumvents the effects of radiative transfer model uncertainties and biases in either the radiosonde or MTS data. The retrieved profile root-mean-square errors are ~0.7‚Äî1.2 K for either the winter or summer tropospheres. These are substantially smaller than the a priori temperature profile variations, demonstrating that 118-GHz aircraft or satellite observations can provide useful information on atmospheric vertical thermal structure. However, classification of retrieval operators by prevailing meteorological conditions appears to be important for operational purposes. Correlations between MTS antenna temperatures and radiosonde kinetic temperatures are nearly consistent with calculations based on a radiative transfer model, indicating both the validity of the model and the sensitivity of the MTS channels to atmospheric temperature. The predicted and observed correlations exhibit the same general trends, although the predicted values are usually slightly greater. ¬© 1993 IEEE</t>
  </si>
  <si>
    <t>106-115</t>
  </si>
  <si>
    <t>IEEE Transactions on Geoscience and Remote Sensing</t>
  </si>
  <si>
    <t>60021032;60022195</t>
  </si>
  <si>
    <t>57210673005;7406810927</t>
  </si>
  <si>
    <t>Gasiewski, A. J.;Johnson, J. T.</t>
  </si>
  <si>
    <t>Cambridge;Atlanta</t>
  </si>
  <si>
    <t>Massachusetts Institute of Technology;Georgia Institute of Technology</t>
  </si>
  <si>
    <t>60022195;60021032</t>
  </si>
  <si>
    <t>Gasiewski A.J.</t>
  </si>
  <si>
    <t>Statistical Temperature Profile Retrievals in Clear-Air Using Passive 118-GHz O&lt;inf&gt;2&lt;/inf&gt;Observations</t>
  </si>
  <si>
    <t>10.1109/36.210450</t>
  </si>
  <si>
    <t>2-s2.0-0027235101</t>
  </si>
  <si>
    <t>['users equipped', 'paper introduces', 'paper assumes', 'optimization procedure', 'new concept', 'large number', 'information rate', 'dish antennas', 'dbs ),', 'day transponders', 'concept elaborated', 'channel distortion', 'audiovisual services', '60 cm', '40 mb']</t>
  </si>
  <si>
    <t>This paper introduces the new concept of digital direct satellite broadcasting (D-DBS), which allows unprecedented flexibility by providing a large number of audiovisual services. The concept elaborated on in this paper assumes an information rate of about 40 Mb/s, which is compatible with practically all present-day transponders. After discussion of the general system concept, the optimization procedure is introduced and results of the transmission system optimization are presented. Channel distortion and uplink/downlink interference effects are taken into account by means of a time domain system computer simulation approach. It is shown, by means of link budget analysis, how a medium power direct-to-home TV satellite can provide multimedia services to users equipped with small (60 cm) dish antennas. ¬© 1993 IEEE</t>
  </si>
  <si>
    <t>99-110</t>
  </si>
  <si>
    <t>IEEE Journal on Selected Areas in Communications</t>
  </si>
  <si>
    <t>60031159;60031159;60031159</t>
  </si>
  <si>
    <t>6506393881;7004236086;56838881300</t>
  </si>
  <si>
    <t>Gaudenzi, Riccardo De;Elia, Carlo;Roberto, Viola</t>
  </si>
  <si>
    <t>Noordwijk aan Zee</t>
  </si>
  <si>
    <t>ESTEC - European Space Research and Technology Centre</t>
  </si>
  <si>
    <t>Gaudenzi R.</t>
  </si>
  <si>
    <t>Analysis of Satellite Broadcasting Systems for Digital Television</t>
  </si>
  <si>
    <t>10.1109/49.210548</t>
  </si>
  <si>
    <t>2-s2.0-0027235102</t>
  </si>
  <si>
    <t>['¬± 3', '¬± 1', 'reflection waves', 'reflection parameters', 'near field', 'frequency range', 'etl standard', 'estimated experimentally', 'error due', 'compensated theoretically', 'antenna measurements', 'anechoic chamber', '9 %).', '30 mhz', '1000 mhz']</t>
  </si>
  <si>
    <t>The field strength standard for frequency range of 30 MHz to 1000 MHz has been developed as the ETL standard in an anechoic chamber with maximum error less than ¬±3.2% (one sigma uncertainty less than ¬±1.9%). The near field in antenna measurements was compensated theoretically, and the reflection parameters of the walls, the ceiling and the floor was estimated experimentally, and the error due to these reflection waves in calibrations of the antenna and establishment of the standard are compensated theoretically by using these parameters.</t>
  </si>
  <si>
    <t>Denshi Gijutsu Sogo Kenkyusho Iho/Bulletin of the Electrotechnical Laboratory</t>
  </si>
  <si>
    <t>Matsui, T.</t>
  </si>
  <si>
    <t>Matsui T.</t>
  </si>
  <si>
    <t>30-1000 MHz range ETL field strength standard</t>
  </si>
  <si>
    <t>2-s2.0-0027240802</t>
  </si>
  <si>
    <t>['vibration suppression', 'slewing maneuvers', 'sixteen minutes', 'planar spin', 'paper deals', 'n formulation', 'modeling errors', 'large deflection', 'beat control', '90 degrees']</t>
  </si>
  <si>
    <t>This paper deals with the dynamics and control of planar spin-up and slewing of the Space Shuttle carrying two 150 meter long, flexible antenna booms. An order-n formulation of the dynamical equations based on a model that facilitates a study of large deflection of beams is given. A recently developed theory of dead-beat control for vibration suppression is applied for the spin-up and slewing maneuvers. Open loop control of spin-up is achieved with small residual vibration. Slewing through 90 degrees in less than sixteen minutes is demonstrated by combining input shaping with closed loop control. Robustness of the control to modeling errors in frequency is illustrated.</t>
  </si>
  <si>
    <t>73-90</t>
  </si>
  <si>
    <t>Banerjee, Arun K.</t>
  </si>
  <si>
    <t>Banerjee A.</t>
  </si>
  <si>
    <t>Dynamics and control of the WISP shuttle-antennae system</t>
  </si>
  <si>
    <t>2-s2.0-0027242663</t>
  </si>
  <si>
    <t>['redundancy arrays', 'random search', 'physical aperture', 'optimal solutions', 'optimal selection', 'optimal distribution', 'numerical implementation', 'large numbers', 'arrays computed', 'antenna locations', 'antenna elements', 'annealing process', 'algorithm uses', '11 elements']</t>
  </si>
  <si>
    <t>An algorithm is developed that estimates the optimal distribution of antenna elements in a minimum redundancy linear array. These distributions are used in thinned array interferometric imagers to synthesize effective antenna apertures much larger than the physical aperture. The optimal selection of antenna locations is extremely time consuming when large numbers of antennas are involved. This algorithm uses a numerical implementation of the annealing process to guide a random search for the optimal array configuration. Highly thinned low-redundancy arrays are computed for up to 30 array elements. These arrays are equivalent to the optimal solutions that are known for up to 11 elements. The arrays computed for 12‚Äì30 elements have the least redundancies reported to date. ¬© 1993 IEEE</t>
  </si>
  <si>
    <t>85-90</t>
  </si>
  <si>
    <t>Ruf, Christopher S.</t>
  </si>
  <si>
    <t>Ruf C.S.</t>
  </si>
  <si>
    <t>Numerical Annealing of Low-Redundancy Linear Arrays</t>
  </si>
  <si>
    <t>10.1109/8.210119</t>
  </si>
  <si>
    <t>2-s2.0-0027242713</t>
  </si>
  <si>
    <t>['transurethral hyperthermia', 'thermal gradient', 'thermal energy', 'temperatures measured', 'temperature measurements', 'study may', 'steep enough', 'similar temperatures', 'rectal wall', 'prostatic tissue', 'prostatic lobe', 'left lobe', 'histologic changes', 'hemorrhagic necrosis', 'heating electrode', 'heating antenna', 'clinically effective', 'also recorded', '5 mm', '5 dogs', '43c ).', '3 mm', '3 hours', '12 mm', '1 week']</t>
  </si>
  <si>
    <t>dogs | hyperthermia, induced | prostate | prostatic hypertrophy</t>
  </si>
  <si>
    <t>Intraprostatic temperature measurements during transurethral hyperthermia at 44.5C were obtained in 5 dogs. Temperatures were also recorded in the bladder neck wall and the rectal wall. After completion of the temperature measurements, hyperthermia was continued for 3 hours. The prostates were then removed and taken for histologic examination immediately after hyperthermia and 1 week and 1 month later. The mean temperatures obtained in the 5 canine prostates were 44.5 ¬± 0.4C at the heating electrode; 43.8 ¬± 0.4C at a distance of 3 mm. from the electrode; 42.6 ¬± 0.5C, 40.8 ¬± 0.4C and 39.4 ¬± 0.5C, 6, 9 and 12 mm. from the heating electrode, respectively, in the right, prostatic lobe. Similar temperatures were measured in the left lobe. The thermal gradient in the prostatic tissue was therefore about 4C per 1 cm. On histology, hemorrhagic necrosis of the prostatic tissue adjacent to the urethra was found. These histologic changes were found as much as 5 mm. from the heating antenna (where the temperatures measured were above 43C). The findings of our study may have major clinical importance. We found that thermal energy above 43C provides enough penetration to cause tissue damage and be clinically effective in most patients, while the thermal gradient around the heating electrode of 4C per 1 cm. is steep enough to confine histologic damage within the prostate.</t>
  </si>
  <si>
    <t>1613-1616</t>
  </si>
  <si>
    <t>Journal of Urology</t>
  </si>
  <si>
    <t>60022851;60022851</t>
  </si>
  <si>
    <t>7005722264;7003345296</t>
  </si>
  <si>
    <t>Nissenkorn, I.;Meshorer, A.</t>
  </si>
  <si>
    <t>Israel</t>
  </si>
  <si>
    <t>Kfar Saba</t>
  </si>
  <si>
    <t>Meir Medical Center</t>
  </si>
  <si>
    <t>Nissenkorn I.</t>
  </si>
  <si>
    <t>Temperature measurements and histology of the canine prostate during transurethral hyperthermia</t>
  </si>
  <si>
    <t>S0022534717364613</t>
  </si>
  <si>
    <t>10.1016/S0022-5347(17)36461-3</t>
  </si>
  <si>
    <t>2-s2.0-0027243407</t>
  </si>
  <si>
    <t>['¬© 1993', 'transmembrane helices', 'strong constraint', 'relative directions', 'regions within', 'polar region', 'internal faces', 'information provides', 'biochemical results', 'bacterial light', 'aqueous exterior']</t>
  </si>
  <si>
    <t>Antenna complex | Fourier transform | Membrane protein | Moment | Protein modelling | Secondary structure prediction</t>
  </si>
  <si>
    <t>We describe a method for predicting the point at which a transmembrane helix leaves the bilayer and enters the more polar region of the aqueous exterior. This is achieved by comparing the relative directions of the hydrophobic and internal faces of the transmembrane helices which should be opposite for the regions within the bilayer but equivalent for the regions on the outside. This information provides a strong constraint in the process of modelling membrane proteins. We go on to use the approach to model the monomers of the bacterial light-harvesting antenna complexes. This information is then combined with some preliminary crystallographk data and biochemical results to produce a 3-D model of a tetramer. ¬© 1993, Oxford University Press.</t>
  </si>
  <si>
    <t>629-635</t>
  </si>
  <si>
    <t>Protein Engineering, Design and Selection</t>
  </si>
  <si>
    <t>60012070;60001490</t>
  </si>
  <si>
    <t>56863005700;7006465617</t>
  </si>
  <si>
    <t>Donnelly, Dan;Cogdell, Richard J.</t>
  </si>
  <si>
    <t>Leeds;Glasgow</t>
  </si>
  <si>
    <t>University of Leeds;University of Glasgow</t>
  </si>
  <si>
    <t>Donnelly D.</t>
  </si>
  <si>
    <t>Predicting the point at which transmembrane helices protrude from the bilayer: a model of the antenna complexes from photosynthetic bacteria</t>
  </si>
  <si>
    <t>10.1093/protein/6.6.629</t>
  </si>
  <si>
    <t>2-s2.0-0027244725</t>
  </si>
  <si>
    <t>European Space Agency</t>
  </si>
  <si>
    <t>ESA</t>
  </si>
  <si>
    <t>['thus demonstrating', 'radiation patterns', 'proper choice', 'planar array', 'input vswr', 'feed waveguide', 'fed configuration', 'excitation coefficients', 'excellent agreement']</t>
  </si>
  <si>
    <t>The amount of phase control realizable by resonant compound slots for application in a standing wave array is investigated. It is shown that with a proper choice of excitation coefficients, shaped beam antenna patterns can be designed with the use of resonant compound coupling slots. A procedure for designing resonant compound coupling slots in the feed waveguide of a planar array is presented. With the use of this procedure a shaped beam antenna pattern has been realized by a planar array consisting of compound coupling slots in the end-fed configuration and conventional longitudinal radiating slots. Excellent agreement between theory and experiment is found for input VSWR and radiation patterns, thus demonstrating the utility of resonant compound coupling slots. ¬© 1993 IEEE</t>
  </si>
  <si>
    <t>59-65</t>
  </si>
  <si>
    <t>60020975;60011728</t>
  </si>
  <si>
    <t>56219429900;56838214000</t>
  </si>
  <si>
    <t>Rengarajan, Sembiam R.;Demeryd, Anders G.</t>
  </si>
  <si>
    <t>United States;Sweden</t>
  </si>
  <si>
    <t>Northridge;Stockholm</t>
  </si>
  <si>
    <t>California State University, Northridge;Saab AB</t>
  </si>
  <si>
    <t>Rengarajan S.</t>
  </si>
  <si>
    <t>Application of Compound Coupling Slots in the Design of Shaped Beam Antenna Patterns</t>
  </si>
  <si>
    <t>10.1109/8.210116</t>
  </si>
  <si>
    <t>2-s2.0-0027245157</t>
  </si>
  <si>
    <t>['¬© 1993', 'working mechanism', 'urinary retention', 'transurethral hyperthermia', 'thermophysical testing', 'rights reserved', 'prostatism secondary', 'permitted us', 'mhz microwaves', 'induced lesions', 'iii studies', 'given without', 'foley catheter', 'delivering 915', 'delivered transurethrally', 'clinical phase', 'benign hyperplasia', 'awaiting results']</t>
  </si>
  <si>
    <t>Local microwave hyperthermia, delivered transurethrally or transrectally, is a new treatment modality for benign prostatic hyperplasia. We started transurethral application, delivering 915-MHz microwaves at the prostatic urethra using a helical microwave antenna incorporated in a Foley catheter. This hyperthermia was given without a urethral surface cooling system. Thermophysical testing of the applicator proved therapeutic efficacy in vitro and in vivo. Pathologic studies demonstrated hyperthermia-induced lesions in the periurethral prostatic tissues and permitted us to hypothesize a working mechanism of transurethral hyperthermia. Clinical Phase I and II studies showed clinical efficacy in patients with urinary retention or prostatism secondary to benign hyperplasia, especially in bilobar or trilobar prostatic configurations. While awaiting results of further pathologic and thermophysical experimental work and ongoing Phase II and III studies, we consider transurethral hyperthermia an investigational but promising conservative treatment modality for benign prostatic hyperplasia. ¬© 1993, Mary Ann Liebert, Inc. All rights reserved.</t>
  </si>
  <si>
    <t>61-69</t>
  </si>
  <si>
    <t>1557900X</t>
  </si>
  <si>
    <t>Journal of Endourology</t>
  </si>
  <si>
    <t>60025063;60025063;60015183;60015183</t>
  </si>
  <si>
    <t>7102038118;57216903923;7006549540;7006372174</t>
  </si>
  <si>
    <t>Baert, L.;Ameye, F.;Astrahan, M.;Petrovich, Z.</t>
  </si>
  <si>
    <t>Belgium;United States</t>
  </si>
  <si>
    <t>3000 Leuven;Los Angeles</t>
  </si>
  <si>
    <t>KU Leuven;Keck School of Medicine of USC</t>
  </si>
  <si>
    <t>60025063;60015183</t>
  </si>
  <si>
    <t>Baert L.</t>
  </si>
  <si>
    <t>Transurethral Microwave Hyperthermia for Benign Prostatic Hyperplasia: The Leuven Clinical Experience</t>
  </si>
  <si>
    <t>10.1089/end.1993.7.61</t>
  </si>
  <si>
    <t>2-s2.0-0027245375</t>
  </si>
  <si>
    <t>['wing tuft', 'wholly dark', 'two schemes', 'two approaches', 'subcomplex level', 'sibling species', 'scutellar setae', 'reference database', 'quantitative characters', 'pale arculus', 'pale antennae', 'ocp area', 'objective nature', 'nine countries', 'main species', 'hind legs', 'fore coxa', 'flies obtained', 'first basitarsus', 'demnosum subcomplex', 'damnosum taxonomy', 'damnosum subcomplex', 'damnosum complex', 'correct identification', 'correct classification']</t>
  </si>
  <si>
    <t>Adult female Simulium damnosum s.l. flies obtained in nine countries of the Onchocerciasis Control Programme were examined for 14 morphololgical characters with the aim of selecting specific characters to identify the main species that form the complex. Two approaches were used, the first involved discriminant function analysis of the species groups using all the characters which were both qualitative (the colour of the fore coxa, the antennae, the wing tuft, the arculus, the ninth abdominal tergite setae and the scutellar setae) and quantitative (the lengths of thorax, antenna, and femur, tibia and first basitarsus of both the fore and hind legs) in nature. The second sought colour characters unique to the S. damnosum subcomplex and to S. yahense, to separate them from the rest, and progressively applied discriminant analyses in the dichotomous stepwise manner to within the subcomplex level. The combination of pale arculus and pale antennae with pale or dark fore coxae were unique to the S. demnosum subcomplex, whilst those of black arculus together with wholly dark or mixed ninth abdominal tergite setae and scutellar setae were unique to S. yahense. Further discrimination was achieved between subcomplexes and species by entering the qualitative and quantitative characters into discriminant function analysis. The two schemes were both successful at separating the main species subcomplexes of the S. damnosum complex, with 90-100% correct classification. Within the subcomplex level, correct identification of sibling species was 85-100% successful. The objective nature of the study, in S. damnosum taxonomy, and the potential of it being used as a reference database to identify new material from the OCP area are emphasized in the discussion.</t>
  </si>
  <si>
    <t>65-82</t>
  </si>
  <si>
    <t>Annals of Tropical Medicine and Parasitology</t>
  </si>
  <si>
    <t>60008250;60008250;60008250</t>
  </si>
  <si>
    <t>56909224500;7202218128;6602520871</t>
  </si>
  <si>
    <t>Wilson, M. D.;Post, R. J.;Gomulski, L. M.</t>
  </si>
  <si>
    <t>Salford</t>
  </si>
  <si>
    <t>University of Salford</t>
  </si>
  <si>
    <t>Wilson M.D.</t>
  </si>
  <si>
    <t>Multivariate morphotaxonomy in the identification of adult females of the simulium damnosum Theobald complex (Diptera:Simuliidae) in the onchocerciasis control programme area of West Africa</t>
  </si>
  <si>
    <t>10.1080/00034983.1993.11812739</t>
  </si>
  <si>
    <t>2-s2.0-0027245573</t>
  </si>
  <si>
    <t>['zone specific', 'vessel distribution', 'treated area', 'transition zone', 'tissue conductivity', 'thermoregulation variability', 'thermal dose', 'temperatures recorded', 'temperature level', 'species specific', 'second one', 'safely achieved', 'role played', 'prostate volume', 'prostate specimens', 'probably due', 'power output', 'peripheral zone', 'performed 1', 'organ specific', 'old patient', 'natural thermoregulation', 'microscopic examination', 'interstitial thermometry', 'human prostate', 'histological study', 'first one', 'dog prostate', 'cooling rate', 'comparable volume', 'automatically driven', 'accurate management', '35 patients', '30 dogs', '15 patients', '12 weeks']</t>
  </si>
  <si>
    <t>Microwaves | Prostate | Thermoregulation | Thermotherapy</t>
  </si>
  <si>
    <t>Transurethral microwave thermotherapy of 340 patients treated at our center for benign prostatic hypertrophy shows the importance of the role played by two thermoregulation processes during the procedure. The first one is artificial and automatically driven by the machine (the power output and cooling rate are adjusted to the urethral and rectal temperature safety thresholds). The second one is natural thermoregulation; the latter is species specific, organ specific, zone specific and even cell specific. Thermoregulation variability is linked to the geometry of the gland, vessel distribution, histology and tissue conductivity. This variability has been demonstrated by interstitial thermometry and histological study. Interstitial thermometry was performed during treatment in 30 dogs and 35 patients; a histological study of prostate specimens was performed 1-12 weeks after treatment in 30 dogs and 15 patients. The human prostate is more resistant to heat than the dog prostate of a comparable volume and treated with the same thermal dose. The prostate of a young patient requires a higher thermal dose than that of an old patient with the same prostate volume in order to achieve a comparable intraprostatic temperature, probably due to a more viable blood supply. The transition zone is more sensitive to heat than the peripheral zone, as demonstrated by temperatures recorded at the same distance from the antenna of up to 60 versus 42¬∞C, respectively. Acinar cells seem to be more resistant to heat than smooth muscle cells when exposed to the same temperature level, as demonstrated by microscopic examination at the periphery of the treated area. We can conclude that increases in the thermal dose can only be safely achieved by accurate management of both the natural and artificial thermoregulation processes.</t>
  </si>
  <si>
    <t>63-67</t>
  </si>
  <si>
    <t>SUPPL. 1</t>
  </si>
  <si>
    <t>European Urology</t>
  </si>
  <si>
    <t>101402482;101402482;101402482;101402482;101402482;101402482</t>
  </si>
  <si>
    <t>7005055946;57195462294;7102075670;57197938855;7007075165;15036214500</t>
  </si>
  <si>
    <t>Devonec, M.;Berger, N.;Fendler, J. P.;Joubert, P.;Nasser, M.;Perrin, P.</t>
  </si>
  <si>
    <t>Lyon</t>
  </si>
  <si>
    <t>Antiquaille Hospital</t>
  </si>
  <si>
    <t>Devonec M.</t>
  </si>
  <si>
    <t>Thermoregulation during transurethral microwave thermotherapy: Experimental and clinical fundamentals</t>
  </si>
  <si>
    <t>10.1159/000474683</t>
  </si>
  <si>
    <t>2-s2.0-0027245618</t>
  </si>
  <si>
    <t>['√© tif', '¬© 1993', 'two phases', 'total spectrum', 'synechocystis sp', 'room temperature', 'rights reserved', 'remaining 35', 'relative amplitudes', 'reduced a1', 'redox potentials', 'redox equilibrium', 'psi particles', 'p .,', 'ns phase', 'monophasic kinetics', 'higher wavelengths', 'half times', 'febs lett', 'electron transfer', 'different types', 'different photosystem', 'difference spectra', 'deviate significantly', 'decays biphasically', 'controversy concerning', 'contributes significantly', 'completion decay', 'called psi', 'biphasic reoxidation', 'ar reoxidation', 'approximately 65', 'another cyanobacterium', 'also proceeds', 'also exhibit', 'agree well', 'absorbance spectroscopy', '500 nm', '380 nm', '200 ns', '150 ns', '15 ns']</t>
  </si>
  <si>
    <t>Forward electron transfer at room temperature from the secondary acceptor A1 (phylloquinone) to the iron-sulfur centers FX, FB, and FA was studied by flash-absorbance spectroscopy in different photosystem I (PSI) preparations in order to resolve the controversy concerning the kinetics of Ar reoxidation during forward electron transfer [half times of 15 ns [Mathis, P., &amp; S√©tif, P. (1988) FEBS Lett. 237, 65‚Äì68] and 200 ns [Brettel, K. (1988) FEBS Lett. 239, 93‚Äì98] were reported for PSI particles from spinach and Synechococcus sp., respectively]. The monophasic kinetics with t1/2 ‚âà 200 ns could be reproduced with PSI particles from another cyanobacterium (Synechocystis sp. PCC 6803). In so-called PSI-Œ≤ particles from spinach, containing all membrane-bound electron carriers and approximately 65 antenna chlorophylls per reaction center, the flash-induced absorbance increase around 370 nm, which is indicative of the formation of A1‚àí, decays biphasically with t1/2 ‚âà 25 and 150 ns and relative amplitudes of approximately 65 and 35%, respectively. The difference spectra of these two phases were determined between 330 and 500 nm; they agree well below 380 nm but deviate significantly at higher wavelengths. The spectrum of the sum of the two phases is similar to the spectrum of the 200-ns phase in cyanobacteria. Upon chemical reduction of the terminal acceptors FA and FB, only the 25-ns phase is conserved and the absorbance changes remaining after its completion decay with t1/2 ‚âà 250 ¬µs. It is concluded that the 25-ns phase reflects electron transfer from A1‚àí to FX in approximately 65% of the centers, whereas the remaining 35% of A1‚àí is reoxidized with t1/2 ‚âà 150 ns under moderate redox conditions. The deviations between the spectra of the two phases can be explained with the assumption that electron transfer from FX‚àí to (FA, FB) also proceeds with t1/2 ‚âà 150 ns and contributes significantly to the total spectrum of the 150-ns phase, implying that the FX‚àí/FX difference spectrum deviates from the (FA, FB)‚àí/(FA, FB) spectrum. Possible kinetic schemes for forward electron transfer in PSI-Œ≤ particles are discussed; assuming that the 25-ns phase reflects the establishment of a redox equilibrium between reduced A1 and FX, the redox potentials of A1 and FX are found to be very close. Different types of PSI particles from spinach, which were subjected to less harsh preparation procedures, also exhibit a biphasic reoxidation of Ar but smaller relative amplitudes of the 25-ns phase, down to only 30% for a sample prepared without detergent. It is suggested that PSI in native spinach membranes could behave similarly to the cyanobacterial PSI particles. ¬© 1993, American Chemical Society. All rights reserved.</t>
  </si>
  <si>
    <t>7846-7854</t>
  </si>
  <si>
    <t>60019615;60011604</t>
  </si>
  <si>
    <t>7004094649;7003637768</t>
  </si>
  <si>
    <t>S√©tif, Pierre;Brettel, Klaus</t>
  </si>
  <si>
    <t>France;Germany</t>
  </si>
  <si>
    <t>Gif-sur-Yvette;Berlin</t>
  </si>
  <si>
    <t>CEA Saclay;Technical University of Berlin</t>
  </si>
  <si>
    <t>S√©tif P.</t>
  </si>
  <si>
    <t>Forward Electron Transfer from Phylloquinone A&lt;inf&gt;1&lt;/inf&gt; to Iron-Sulfur Centers in Spinach Photosystem I</t>
  </si>
  <si>
    <t>10.1021/bi00082a002</t>
  </si>
  <si>
    <t>2-s2.0-0027249198</t>
  </si>
  <si>
    <t>['uhf range', 'tem cell', 'standard antenna', 'emi antennas', 'developing methods', 'calibration system']</t>
  </si>
  <si>
    <t>Various calibration methods of EMC/EMI antennas for VHF-UHF range are described and characteristics and accuracy of each calibration system are discussed. Two of developing methods of standard antenna and three of calibration methods using the standard antenna and a TEM Cell are described and discussed.</t>
  </si>
  <si>
    <t>19-33</t>
  </si>
  <si>
    <t>Calibration of various VHF-UHF range antennas</t>
  </si>
  <si>
    <t>2-s2.0-0027259564</t>
  </si>
  <si>
    <t>['¬© 1993', 'transient fault', 'stochastic model', 'starts immediately', 'remote mes', 'related measures', 'power fluctuations', 'paper presents', 'network system', 'microelectromagnetic interferences', 'master station', 'high reliability', 'every mes', 'equal frequency']</t>
  </si>
  <si>
    <t>This paper presents a stochastic model for a satellite-based computer communication network system. In this model, a master station is connected with n remote micro earth stations (MES) in the country. All of these are linked through a satellite. Every MES has an equal frequency of communication. An MES may fail due to a transient fault, i.e. power fluctuations, disturbed antenna direction of microelectromagnetic interferences. To achieve the high reliability of this network system, maintenance of the master station as well as remote MES is required. As a remote MES fails, recovery of the same starts immediately. Using the regenerative point technique, we have obtained several economic-related measures. ¬© 1993.</t>
  </si>
  <si>
    <t>119-126</t>
  </si>
  <si>
    <t>60016649;60016649;</t>
  </si>
  <si>
    <t>56133817400;56796289300;35868315600</t>
  </si>
  <si>
    <t>Goel, L. R.;Gupta, Rakesh;Rana, V. S.</t>
  </si>
  <si>
    <t>Meerut</t>
  </si>
  <si>
    <t>Ch. Charan Singh University</t>
  </si>
  <si>
    <t>Goel L.</t>
  </si>
  <si>
    <t>Reliability analysis of a satellite-based computer communication network system</t>
  </si>
  <si>
    <t>0026-2714(93)90472-B</t>
  </si>
  <si>
    <t>10.1016/0026-2714(93)90472-B</t>
  </si>
  <si>
    <t>2-s2.0-0027259623</t>
  </si>
  <si>
    <t>['parasitic elements', 'first case', 'efficiency greater', 'efficiencies greater', 'dipole radiating', 'analyzed using']</t>
  </si>
  <si>
    <t>Two efficient small dual reflector antenna designs are analyzed using the method of moments. One is based on the standard Cassegrain system and the other is a displaced axis design. Both incorporate a low blockage feed consisting of a dipole radiating in the presence of parasitic elements. In the first case, efficiencies greater than 55% were obtained for 20 wavelength main reflectors; in the second, an efficiency greater than 67% was achieved for a 22-wavelength main reflector. ¬© 1993 IEEE</t>
  </si>
  <si>
    <t>115-117</t>
  </si>
  <si>
    <t>60033012;115665762;60006037</t>
  </si>
  <si>
    <t>7004276659;6507713970;36893889800</t>
  </si>
  <si>
    <t>Jenn, David C.;Vered, Nissan;Ordonez, Manuel</t>
  </si>
  <si>
    <t>United States;United States;Israel</t>
  </si>
  <si>
    <t>Monterey;;</t>
  </si>
  <si>
    <t>Naval Postgraduate School;United States Navy;Israeli</t>
  </si>
  <si>
    <t>60033012;60006037;115665762</t>
  </si>
  <si>
    <t>Jenn D.</t>
  </si>
  <si>
    <t>Small Efficient Axially Symmetric Dual Reflector Antennas</t>
  </si>
  <si>
    <t>10.1109/8.210126</t>
  </si>
  <si>
    <t>2-s2.0-0027259850</t>
  </si>
  <si>
    <t>['working group', 'rf signal', 'respective epochs', 'renewed interest', 'recent agreement', 'mixer outputs', 'lowpass filtered', 'include unique', 'frequency reference', 'external antenna', 'digitally mixes', 'design allows', 'civil uses', 'board installed', '6 khz', '16 bits']</t>
  </si>
  <si>
    <t>With the recent agreement by the Russian-United States Coordination Council to establish a working group to explore the linking of the CIS VLF Navigation System with Omega, there is renewed interest in civil uses of the system. The design of an Integrated Russian VLF/Omega Receiver implemented on a Texas Instruments TMS320C30 microprocessor based SPECTRUM plug-in board installed in a PC-compatible portable computer is presented. The system also requires an external antenna, pre-amp, and frequency reference. The SPECTRUM board digitizes the RF signal to 16 bits and then digitally mixes with the sines and cosines of the three Soviet frequencies plus 10.2. 11&lt;sup&gt;1&lt;/sup&gt;/3, and 13.6 kHz. The mixer outputs are lowpass filtered and the comb filters implemented for the respective epochs. The PC compatible computer accesses and processes the comb filter outputs, calculating and logging signal phase and amplitude. The design allows for easy future expansion to include unique and VLF communication frequencies. ¬© 1993 IEEE</t>
  </si>
  <si>
    <t>IEEE Aerospace and Electronic Systems Magazine</t>
  </si>
  <si>
    <t>60079475;60079475;60079475;60079475;60028337</t>
  </si>
  <si>
    <t>7401664237;7201602685;6701663330;7006898295;55568514819</t>
  </si>
  <si>
    <t>Peterson, Benjamin;Gross, Keith;Chamberlin, Eric;Montague, Timothy;Jones, William</t>
  </si>
  <si>
    <t>New London;Washington, D.C.</t>
  </si>
  <si>
    <t>United States Coast Guard Academy;U.S. Coast Guard</t>
  </si>
  <si>
    <t>60079475;60028337</t>
  </si>
  <si>
    <t>Peterson B.</t>
  </si>
  <si>
    <t>Integrated CIS VLF/Omega Receiver Design</t>
  </si>
  <si>
    <t>10.1109/62.180381</t>
  </si>
  <si>
    <t>2-s2.0-0027259854</t>
  </si>
  <si>
    <t>['surface deviations', 'simultaneously measuring', 'radome structure', 'radome panels', 'parabolic antenna', 'multiple reflections', 'multiple frequencies', 'model computed', 'model accounts', 'microwave holography', 'main beam', 'largest correction', 'interferometric mapping', 'enclosing radome', 'delays different', 'changing diffraction', 'beam pattern']</t>
  </si>
  <si>
    <t>Measurements of the surface deviations of a parabolic antenna by microwave holography have been corrected for the effects of an enclosing radome. The largest correction, which is due to diffraction from the metal space frame, is made by using a model computed from the radome structure. This model accounts for the changing diffraction as the antenna is scanned during the interferometric mapping of the complex beam pattern. Correction for reflections from the radome panels is made by simultaneously measuring the beam pattern at multiple frequencies to provide delay discrimination to reject antenna side lobes generated by multiple reflections which arrive with delays different from that of the main beam. ¬© 1993 IEEE</t>
  </si>
  <si>
    <t>77-84</t>
  </si>
  <si>
    <t>60015009;60015009;60015009;60015009</t>
  </si>
  <si>
    <t>7402815984;7004333014;7102915069;6602110379</t>
  </si>
  <si>
    <t>Rogers, Alan E.;Barvainis, Richard;Charpentier, P. J.;Corey, Brian E.</t>
  </si>
  <si>
    <t>Westford</t>
  </si>
  <si>
    <t>MIT Haystack Observatory</t>
  </si>
  <si>
    <t>Rogers A.</t>
  </si>
  <si>
    <t>Corrections for the Effects of a Radome on Antenna Surface Measurements Made by Microwave Holography</t>
  </si>
  <si>
    <t>10.1109/8.210118</t>
  </si>
  <si>
    <t>2-s2.0-0027261636</t>
  </si>
  <si>
    <t>['thus making', 'subharmonically injection', 'r modules', 'r module', 'proposed concept', 'phase shift', 'novel design', 'experimentally demonstrated', 'analytically described', '360 ¬∞', '0 ¬∞']</t>
  </si>
  <si>
    <t>A novel design is presented to produce analog phase shift of 0¬∞ to 360¬∞ in optically controlled oscillators which are subharmonically injection-locked. The proposed concept was analytically described and experimentally demonstrated by producing 360¬∞ of phase shift in an 8 GHz oscillator that is indirect optically injection-locked to a 4 GHz subharmonic frequency. This design concept could eliminate the need for switched delayline phase shifters in the T/R modules of optically controlled phased array antennas, thus making T/R module more compact and efficient. ¬© 1993 IEEE</t>
  </si>
  <si>
    <t>14-16</t>
  </si>
  <si>
    <t>IEEE Microwave and Guided Wave Letters</t>
  </si>
  <si>
    <t>60014662;60014662</t>
  </si>
  <si>
    <t>55715256300;7006552817</t>
  </si>
  <si>
    <t>Zhang, Xiangdong;Daryoush, Afshin S.</t>
  </si>
  <si>
    <t>Drexel University</t>
  </si>
  <si>
    <t>Zhang X.</t>
  </si>
  <si>
    <t>Full 360¬∞ Phase Shifting of Injection-Locked Oscillators</t>
  </si>
  <si>
    <t>10.1109/75.180676</t>
  </si>
  <si>
    <t>2-s2.0-0027261832</t>
  </si>
  <si>
    <t>['¬± 1', 'wiley company', 'theoretical results', 'resonance frequencies', 'microstrip antennas', 'inc .,', 'existing theory', 'computed data', 'bessel function']</t>
  </si>
  <si>
    <t>A formula for the resonance frequencies of circular microstrip patch antennas for 30 TMnm modes is developed by the curve‚Äêfitting technique from computed data of existing theory. The formula is found to be within about ¬± 1.3% error of the theoretical results. For this formula, it is not necessary to compute the zeros of the derivative of the Bessel function. The formula is expressed in a simple algebraic form to be appropriate for the computer‚Äêaided design (CAD) of microstrip antennas. ¬© 1993 John Wiley &amp; Sons, Inc. Copyright ¬© 1993 Wiley Periodicals, Inc., A Wiley Company</t>
  </si>
  <si>
    <t>67-70</t>
  </si>
  <si>
    <t>International Journal of Microwave and Millimeter‚ÄêWave Computer‚ÄêAided Engineering</t>
  </si>
  <si>
    <t>60008447;60008447</t>
  </si>
  <si>
    <t>7202869307;7006402070</t>
  </si>
  <si>
    <t>Roy, Jibendu Sekhar;Jecko, Bernard</t>
  </si>
  <si>
    <t>Limoges</t>
  </si>
  <si>
    <t>Universite de Limoges</t>
  </si>
  <si>
    <t>Roy J.</t>
  </si>
  <si>
    <t>A formula for the resonance frequencies of circular microstrip patch antennas satisfying CAD requirements</t>
  </si>
  <si>
    <t>10.1002/mmce.4570030109</t>
  </si>
  <si>
    <t>2-s2.0-0027264406</t>
  </si>
  <si>
    <t>U.S. Army</t>
  </si>
  <si>
    <t>DAAL03-91-6-0115</t>
  </si>
  <si>
    <t>['wave antennas', 'wave antenna', 'unit cell', 'strip leaky', 'strip antenna', 'stopband behavior', 'significantly reduced', 'properly placing', 'periodic leaky', 'nearly eliminating', 'leaky wave', 'high attenuation', 'extra strip', 'drastic increase', 'broadside scan', 'attenuation rate', 'antenna may', 'almost eliminated']</t>
  </si>
  <si>
    <t>A double-strip grating leaky-wave antenna, consisting of two strips per unit cell, is analyzed. By properly placing the two metal strips within the unit cell, the stop band behavior exhibited at broadside scan in the single-strip grating antenna may be significantly reduced, and almost eliminated. This stop band behavior is characteristic of all periodic leaky-wave antennas having a single strip per unit cell, and results in a drastic increase in the attenuation rate of the leaky wave as the beam is scanned to broadside. By nearly eliminating this stopband behavior, the double-strip leaky-wave antenna is able to scan from backward end fire to forward end fire without any large frequency regions of high attenuation. An approximate design rule for the double-strip antenna is discussed, and results are presented to show how the antenna may be further optimized to achieve the minimum possible variation in attenuation as the beam is scanned through broadside. Although the stop band behavior is never completely eliminated with the addition of the extra strip, the optimum design shows an almost negligible region of rapidly varying attenuation near broadside. ¬© 1993 IEEE</t>
  </si>
  <si>
    <t>31-37</t>
  </si>
  <si>
    <t>60031159;60005837</t>
  </si>
  <si>
    <t>35444459700;7404289310</t>
  </si>
  <si>
    <t>Guglielmi, M.;Jackson, D. R.</t>
  </si>
  <si>
    <t>Netherlands;United States</t>
  </si>
  <si>
    <t>Noordwijk aan Zee;Houston</t>
  </si>
  <si>
    <t>ESTEC - European Space Research and Technology Centre;University of Houston</t>
  </si>
  <si>
    <t>Guglielmi M.</t>
  </si>
  <si>
    <t>Broadside Radiation from Periodic Leaky-Wave Antennas</t>
  </si>
  <si>
    <t>10.1109/8.210112</t>
  </si>
  <si>
    <t>2-s2.0-0027266102</t>
  </si>
  <si>
    <t>['wiley blackwell', 'subsequent interrogation', 'rights reserved', 'remote control', 'pulse generator', 'potential sources', 'patient experienced', 'modulating frequency', 'ground wire', 'electromagnetic interference', 'defibrillator revealed', 'defibrillator discharge', 'close contact', 'clinical episode', 'carrier frequency', 'arrhythmia prodrome', 'antenna length', 'aluminium shield', '95 mhz', '50 hz', '45 cm']</t>
  </si>
  <si>
    <t>electromagnetic interference | implantable cardioverter defibrillator</t>
  </si>
  <si>
    <t>A 46‚Äêyear‚Äêold man with a history of sustained monomorphic ventricular tachycardia underwent an implantation of a third generation multiprogrammable implantable cardioverter defibrillator. One year post implant, while manipulating a remote control to a radiofrequency modulated toy car, the patient experienced a defibrillator discharge not preceded by an arrhythmia prodrome. Subsequent interrogation of the defibrillator revealed that a 34‚Äêioule shock had been delivered and had been preceded by RR intervals ranging from 141‚Äì406 msec, consistent with sensing lead noise. The remote control utilizes a 12‚Äêvolt battery and has a carrier frequency of 75.95 MHz and a modulating frequency of 50 Hz. Evaluation of the remote control and de/ibrillator interaction revealed that the remote control was able to trigger tachyarrhythmia sensing and reproduce the clinical episode. Interference was present only when the remote control was within 8 cm of the pulse generator and at specific angles relative to the device and only when the antenna length was &gt; 45 cm. Interference was eliminated when a ground wire was attached to the antenna and when an aluminium shield was placed between the pulse generator and the remote control. This case report suggests that patients with third generation multiprogrammable defibrillators should be cautioned against close contact with potential sources of electromagnetic interference, such as remote control units. Copyright ¬© 1993, Wiley Blackwell. All rights reserved</t>
  </si>
  <si>
    <t>1756-1758</t>
  </si>
  <si>
    <t>Pacing and Clinical Electrophysiology</t>
  </si>
  <si>
    <t>60007200;60007200;60007200;60007200;60007200</t>
  </si>
  <si>
    <t>7101754043;7103293373;7005859498;35431764400;7003726254</t>
  </si>
  <si>
    <t>MAN, K. CHING;DAVIDSON, THERESA;LANGBERG, JONATHAN J.;MORADY, FRED;KALBFLEISGH, STEVEN J.</t>
  </si>
  <si>
    <t>Ann Arbor</t>
  </si>
  <si>
    <t>Michigan Medicine</t>
  </si>
  <si>
    <t>MAN K.C.</t>
  </si>
  <si>
    <t>Interference From a Hand Held Radiofrequency Remote Control Causing Discharge of an Implantahle Defibrillator</t>
  </si>
  <si>
    <t>10.1111/j.1540-8159.1993.tb01049.x</t>
  </si>
  <si>
    <t>2-s2.0-0027268074</t>
  </si>
  <si>
    <t>['resistive tapers', 'rapidly synthesized', 'method embeds', 'function inside', 'conducting scatterers', 'complex scatterers', 'automatic method']</t>
  </si>
  <si>
    <t>An automatic method of synthesizing resistive tapers is developed. This method embeds a hybrid moment method/Green's function inside a nonlinear optimization package. Using this technique, resistive tapers are rapidly synthesized for complex scatterers which can consist of multiple resistive strips, as well as large, arbitrary conducting regions. The method is applied to the optimization of resistive tapers that reduce the diffraction from conducting scatterers.</t>
  </si>
  <si>
    <t>128-143</t>
  </si>
  <si>
    <t>Baucke, R. Craig</t>
  </si>
  <si>
    <t>Cincinnati</t>
  </si>
  <si>
    <t>GE Aviation</t>
  </si>
  <si>
    <t>Baucke R.</t>
  </si>
  <si>
    <t>Application of the hybrid moment method/Green's function technique to the optimization of resistive strips</t>
  </si>
  <si>
    <t>2-s2.0-0027268951</t>
  </si>
  <si>
    <t>['two approaches', 'techniques offer', 'system calibration', 'reconstructed images', 'pattern outside', 'pattern efficiency', 'open water', 'one solution', 'matrix form', 'experimental results', 'defined beam', 'calibration algorithms', 'attractive alternative', 'aperture weighting', 'antenna range', 'another solution', 'also presented', 'airborne prototype']</t>
  </si>
  <si>
    <t>Calibration algorithms for a synthetic aperture microwave radiometer are presented. The calibration is geared to Earth remote sensing applications, and is demonstrated on an airborne prototype of thinned array imager. Two approaches to the system calibration are presented; the first utilizes commonly available reference brightness temperature scenes, such as open water, and the second utilizes data collected on the antenna range. Both algorithms yield spatial response information which is cast in matrix form and inverted to obtain the image reconstruction formula. Experimental results are examined, and errors in some reconstructed images are linked to the present prototype antenna design. Algorithms for improving the synthesized antenna pattern side lobe performance are also presented. In one solution, the pattern efficiency is optimized by minimizing the pattern outside a defined beam. In another solution, the patterns are matched to a desired model pattern by the method of least squared errors. Both techniques offer an attractive alternative to aperture weighting. ¬© 1993 IEEE</t>
  </si>
  <si>
    <t>257-267</t>
  </si>
  <si>
    <t>60009037-60014313</t>
  </si>
  <si>
    <t>Tanner, Alan B.</t>
  </si>
  <si>
    <t>Amherst MA;Pasadena</t>
  </si>
  <si>
    <t>University of Massachusetts Amherst;Jet Propulsion Laboratory</t>
  </si>
  <si>
    <t>60014313;60009037</t>
  </si>
  <si>
    <t>Tanner A.</t>
  </si>
  <si>
    <t>Calibration of a Synthetic Aperture Radiometer</t>
  </si>
  <si>
    <t>10.1109/36.210465</t>
  </si>
  <si>
    <t>2-s2.0-0027269096</t>
  </si>
  <si>
    <t>['within 1', 'within 0', 'various parameters', 'various forms', 'shielded enclosure', 'results obtained', 'resonant frequency', 'patch inside', 'new model', 'mwm follow', 'method could', 'fundamental mode', 'fullwave analysis', 'equilateral triangle', 'efficient even', 'dielectric superstrate', 'desktop computer', 'computationally fast']</t>
  </si>
  <si>
    <t>A new model, called the Modified Wolff Model (MWM) is proposed to calculate the resonant frequency of a rectangular open microstrip patch, a patch with a dielectric superstrate and a patch inside a shielded enclosure. The model has also been applied to calculate resonant frequencies of higher order modes. Dependence of resonant frequency on the various parameters and its accuracy has been discussed using MWM. Results obtained from MWM follow very closely the results from various forms of fullwave analysis, and in almost all cases they are within 0.5% of published experimental results for the fundamental mode and within 1.7% for higher order modes. The method is computationally fast and efficient even on a desktop computer. The method could be used for other patches like circular, hexagonal and equilateral triangle. ¬© 1993 IEEE</t>
  </si>
  <si>
    <t>109-116</t>
  </si>
  <si>
    <t>60029284;60029284</t>
  </si>
  <si>
    <t>7401937908;6508035569</t>
  </si>
  <si>
    <t>Verma, Anand K.;Rostamy, Zargham</t>
  </si>
  <si>
    <t>New Delhi</t>
  </si>
  <si>
    <t>University of Delhi</t>
  </si>
  <si>
    <t>Verma A.</t>
  </si>
  <si>
    <t>Resonant frequency of uncovered and covered rectangular microstrip patch using modified wolff model</t>
  </si>
  <si>
    <t>10.1109/22.210236</t>
  </si>
  <si>
    <t>2-s2.0-0027269313</t>
  </si>
  <si>
    <t>Office of Naval Research</t>
  </si>
  <si>
    <t>NOOOI4-85-K-0550</t>
  </si>
  <si>
    <t>ONR</t>
  </si>
  <si>
    <t>['two dimensions', 'two algorithms', 'relative performance', 'one based', 'multiple source', 'minimum variance', 'dimensional case', 'also presented']</t>
  </si>
  <si>
    <t>We consider the problem of extending the estimation of signal parameters via rotational invariance techniques (ESPRIT) algorithm for multiple source, cochannel direction finding to the two-dimensional case (e.g., azimuth and elevation angle estimation). Two algorithms are presented, one based on the optimal (minimum variance) subspace fitting formulation of ESPRIT, and the other based on an approximation to it. The algorithms are applicable to antenna arrays composed of identical subarrays displaced in two dimensions, such as uniform rectangular phased arrays. Simulation results Illustrating the relative performance of the algorithms are also presented. ¬© 1993 IEEE</t>
  </si>
  <si>
    <t>145-156</t>
  </si>
  <si>
    <t>60006832;60012708</t>
  </si>
  <si>
    <t>55665154800;7102843718</t>
  </si>
  <si>
    <t>Swindlehurst, A.;Kailath, T.</t>
  </si>
  <si>
    <t>Palo Alto;Provo</t>
  </si>
  <si>
    <t>Stanford University;Brigham Young University</t>
  </si>
  <si>
    <t>60012708;60006832</t>
  </si>
  <si>
    <t>Swindlehurst A.</t>
  </si>
  <si>
    <t>Azimuth/Elevation direction finding using regular array geometries</t>
  </si>
  <si>
    <t>10.1109/7.249120</t>
  </si>
  <si>
    <t>2-s2.0-0027271416</t>
  </si>
  <si>
    <t>NSF ECS-85-25981</t>
  </si>
  <si>
    <t>['two recursive', 'two components', 'te polarizations', 'systematic development', 'patch geometries', 'mom ).', 'memory requirements', 'matrix algorithms', 'formulation uses', 'electromagnetic scattering', 'electric field', 'dimensional geometries', 'conducting strip', 'computational complexities', 'canonical geometries']</t>
  </si>
  <si>
    <t>Two recursive T-matrix algorithms (RTMA‚Äôs) are presented and their reduced computational complexities and reduced memory requirements are demonstrated. These algorithms are applied to the problem of electromagnetic scattering from conducting strip and patch geometries. For a systematic development, canonical geometries of strips and patches are chosen. These geometries are reminiscent of finite-sized frequency selective surfaces (FSS‚Äôs). Computational complexities of O(N2) and O(N7/3) and memory requirements of O(N) and O(N4/3) are shown to be feasible for two-dimensional and three-dimensional geometries, respectively. The formulation uses only two components of the electric field. Therefore, the vector electromagnetic problem of scattering from three-dimensional patch geometries can be solved using scalar‚Äîrather than vector‚Äîaddition theorems for spherical harmonic wave functions. For a two-dimensional strip problem, both TM and TE polarizations can be solved simultaneously using this formulation. Numerical scattering results are presented in the form of radar cross sections (RCS‚Äôs) and validated by comparison with the method of moments (MoM). ¬© 1993 IEEE</t>
  </si>
  <si>
    <t>91-99</t>
  </si>
  <si>
    <t>7004393069;26643168800</t>
  </si>
  <si>
    <t>Gurel, Levent;Chew, Weng Cho</t>
  </si>
  <si>
    <t>Gurel L.</t>
  </si>
  <si>
    <t>Recursive T-Matrix Algorithms for the Solution of Electromagnetic Scattering from Strip and Patch Geometries</t>
  </si>
  <si>
    <t>10.1109/8.210120</t>
  </si>
  <si>
    <t>2-s2.0-0027271779</t>
  </si>
  <si>
    <t>['space applications', 'operating configurations', 'new concept', 'mechanical joints', 'large reflectors', 'given rise', 'energy stored', 'deployment times', 'deployable systems', 'deployable antenna', 'compact package', 'communication booms', 'active research']</t>
  </si>
  <si>
    <t>The volume constraints imposed by current launch modules and the desirability of large reflectors and communication booms for space applications has given rise to active research in the field of deployable systems. These systems are stowed in a compact package for launch before being deployed into their operating configurations in orbit. A new concept for a deployable antenna is presented. The deployment of one such 5.0 m antenna is investigated. The antenna is deployed by a number of mechanical joints. The energy stored in these joints is quantified and the deployment times and stresses at `latch-up' are predicted.</t>
  </si>
  <si>
    <t>209-220</t>
  </si>
  <si>
    <t>International Journal of Space Structures</t>
  </si>
  <si>
    <t>60021097;60021097</t>
  </si>
  <si>
    <t>7003308763;7004432798</t>
  </si>
  <si>
    <t>Fanning, P.;Hollaway, L.</t>
  </si>
  <si>
    <t>Guildford</t>
  </si>
  <si>
    <t>University of Surrey</t>
  </si>
  <si>
    <t>Fanning P.</t>
  </si>
  <si>
    <t>Deployment analysis of a large space antenna</t>
  </si>
  <si>
    <t>10.1177/026635119300800307</t>
  </si>
  <si>
    <t>2-s2.0-0027277951</t>
  </si>
  <si>
    <t>['¬© 1993', 'two pairs', 'successively subdivided', 'single branches', 'side branches', 'shaped anlage', 'sensillogenic epithelium', 'pupal stage', 'probably haemocytes', 'primary incisions', 'periphery towards', 'peripheral nerves', 'morphogenetic processes', 'initial pattern', 'incisions proceeding', 'imaginal antenna', 'flagellum consists', 'first day', 'finished 9', 'featherlike structure', 'completely rearranged', 'arethen split', 'antennal anlage', 'antenna develops', '3 days', '21 days', '10 days']</t>
  </si>
  <si>
    <t>Antenna | Antheraea polyphemus | epidermal feet | metamorphosis | segmentation</t>
  </si>
  <si>
    <t>The imaginal antenna of the male silkmoth Antheraea polyphemus is a featherlike structure; its flagellum consists of about 30 stem segments each giving off two pairs of side branches. The antenna develops during the pupal stage (lasting in total about 21 days) from a leaf-shaped anlage by incisions proceeding from the periphery towards the prospective antennal stem. Primary incisions, starting about 3 days after apolysis, form double branches, which arethen split into single branches by parallel running secondary incisions. The initial pattern of tracheae and peripheral nerves is completely rearranged during these morphogenetic processes which are finished 9-10 days after apolysis. In Antheraea the dorsal and ventral epithelial monolayers of the antennal anlage are successively subdivided during development into a pattern of repetitive epithelial zones. Within the first day after apolysis alternating stripes of sensillogenic and non-sensillogenic epithelium are differentiating. Then the latter are further subdivided, and at last four different stripelike zones (I-IV) can be discriminated. Long basal protrusions of the epidermal cells ('epidermal feet'), and most probably haemocytes, seem to be involved in the reconstruction of the epithelium: both show characteristic arrangements within the antennal anlage during successive developmental stages. ¬© 1993.</t>
  </si>
  <si>
    <t>447-464</t>
  </si>
  <si>
    <t>Tissue and Cell</t>
  </si>
  <si>
    <t>60005460;60005460</t>
  </si>
  <si>
    <t>11240680700;26643587600</t>
  </si>
  <si>
    <t>Steiner, Cornelia;Keil, Thomas A.</t>
  </si>
  <si>
    <t>Pocking</t>
  </si>
  <si>
    <t>Max Planck Institute for Ornithology</t>
  </si>
  <si>
    <t>Steiner C.</t>
  </si>
  <si>
    <t>Morphogenesis of the antenna of the male silkmoth, Antheraea polyphemus. IV. Segmentation and branch formation</t>
  </si>
  <si>
    <t>004081669390085Y</t>
  </si>
  <si>
    <t>10.1016/0040-8166(93)90085-Y</t>
  </si>
  <si>
    <t>2-s2.0-0027278894</t>
  </si>
  <si>
    <t>['œ ±-', 'published data', 'phosphorylethanolamine substituent', 'one oligosaccharide', 'neotetraose antenna', 'neisseria meningitidis', 'l3 lps', 'information obtained', 'galactopyranosyl residue', 'endogenous sialylation', 'different regions', 'degradation procedures', 'complete structure', 'another oligosaccharide', 'also established', 'also elucidated']</t>
  </si>
  <si>
    <t>The L3 immunotype lipopolysaccharide (LPS) of Neisseria meningitidis was subjected to degradation procedures, which produced a number of different oligosaccharide fragments. The high resolution 1H and 13C NMR spectroscopic analyses of these oligosaccharides yielded structural information on a number of different regions of the LPS. For example, from one oligosaccharide, it was found that the endogenous sialylation of the meningococcal LPS occurs at O-3 of the terminal Œ≤-D-galactopyranosyl residue of its lacto-N-neotetraose antenna in the Œ±-D-configuration. From another, it was also established that the dominant structural feature responsible for L3 epitope specificity is the presence of a phosphorylethanolamine substituent at O-3 of the penultimate heptopyranosyl residue of its other antenna. In addition from information obtained with another oligosaccharide the structure of the 3-deoxy-D-manno-octulosonic acid disaccharide region of the L3 LPS was also elucidated. From all the above cumulative data plus some published data, it was then possible to reconstruct the complete structure of the entire native L3 LPS.</t>
  </si>
  <si>
    <t>14146-14152</t>
  </si>
  <si>
    <t>60009839;60009839;60009839;60009839;60009839</t>
  </si>
  <si>
    <t>6602094882;7103345649;57202051696;7004338393;7101854591</t>
  </si>
  <si>
    <t>Pavliak, V.;Brisson, J. R.;Michon, F.;Uhrin, D.;Jennings, H. J.</t>
  </si>
  <si>
    <t>Ottawa ON,</t>
  </si>
  <si>
    <t>National Research Council Canada</t>
  </si>
  <si>
    <t>Pavliak V.</t>
  </si>
  <si>
    <t>Structure of the sialylated L3 lipopolysaccharide of Neisseria meningitidis</t>
  </si>
  <si>
    <t>2-s2.0-0027285210</t>
  </si>
  <si>
    <t>['system could', 'specified form', 'low frequencies', 'given depth', 'electric field', 'displacement currents', 'discrete array', 'conducting half', 'azimuthal symmetry', 'analytical procedure']</t>
  </si>
  <si>
    <t>An analytical procedure is presented to determine the required surface current density to produce a specified form of the electric field at a given depth in a conducting half-space. It is demonstrated that the system could be implemented with a discrete array of concentric loop currents. Attention is confined to azimuthal symmetry and to low frequencies where displacement currents in the upper free space region are negligible. ¬© 1993 IEEE</t>
  </si>
  <si>
    <t>119-123</t>
  </si>
  <si>
    <t>IEEE Transactions on Magnetics</t>
  </si>
  <si>
    <t>60010065;60010065</t>
  </si>
  <si>
    <t>7103195054;6701356057</t>
  </si>
  <si>
    <t>Wait, James R.;Nabulsi, Khalid A.</t>
  </si>
  <si>
    <t>Tucson</t>
  </si>
  <si>
    <t>The University of Arizona</t>
  </si>
  <si>
    <t>Wait J.</t>
  </si>
  <si>
    <t>An inverse electromagnetic induction problem</t>
  </si>
  <si>
    <t>10.1109/20.195556</t>
  </si>
  <si>
    <t>2-s2.0-0027286901</t>
  </si>
  <si>
    <t>['wide range', 'results show', 'radiation characteristics', 'outer radii', 'outer periphery', 'modified readily', 'mode expansion', 'matching methods', 'input impedance', 'feed position', 'experimental data', 'electrical parameters', 'e .,', 'coaxial probe', 'antenna gain', 'analytical results']</t>
  </si>
  <si>
    <t>Input impedance, resonant frequency bandwidth and radiation characteristics of annular ring patch microstrip antennas shorted at the outer periphery are investigated. The analytical results are compared with the experimental data. The effect of the feed position, i.e., a coaxial probe, is included by the mode expansion and matching methods. The results show that by changing the ratio of the inner to outer radii of the antenna, its electrical parameters can be modified readily. In particular, the antenna gain and bandwidth are adjustable over a wide range. Symmetric principal plane patterns can also be obtained.</t>
  </si>
  <si>
    <t>60009697;60009697</t>
  </si>
  <si>
    <t>7406588622;8092251400</t>
  </si>
  <si>
    <t>Lin, Yiyu;Shafai, Lot</t>
  </si>
  <si>
    <t>Winnipeg</t>
  </si>
  <si>
    <t>University of Manitoba</t>
  </si>
  <si>
    <t>Lin Y.</t>
  </si>
  <si>
    <t>Characteristics of annular ring patch antennas shorted at the outer periphery</t>
  </si>
  <si>
    <t>2-s2.0-0027286965</t>
  </si>
  <si>
    <t>85-94</t>
  </si>
  <si>
    <t>1532527X</t>
  </si>
  <si>
    <t>Electromagnetics</t>
  </si>
  <si>
    <t>60068535;60068535</t>
  </si>
  <si>
    <t>56962710300;6603533504</t>
  </si>
  <si>
    <t>Nosich, Alexander I.;Svezhentsev, Alexander Ye</t>
  </si>
  <si>
    <t>Ukraine</t>
  </si>
  <si>
    <t>Kharkiv</t>
  </si>
  <si>
    <t>O. Ya. Usikov Institute for Radiophysics and Electronics of the National Academy of Sciences of Ukraine</t>
  </si>
  <si>
    <t>Nosich A.I.</t>
  </si>
  <si>
    <t>Principal and higher order modes of microstrip and slot lines on a cylindrical substrate</t>
  </si>
  <si>
    <t>10.1080/02726349308908331</t>
  </si>
  <si>
    <t>2-s2.0-0027286971</t>
  </si>
  <si>
    <t>['soft constraints', 'noise ratio', 'much easier', 'limiting solution', 'correspondence derives', 'constrained minimization', 'ccmp method']</t>
  </si>
  <si>
    <t>The correspondence derives the limiting solution of the quadratically constrained broad-band beam formers as the mean-square error increases. It is shown that the limiting solution is equivalent to the correlation-constrained minimization of power (CCMP) method. Hence, the improvement in signal-to-noise ratio (SNR) through the use of soft constraints can also be achieved through the CCMP method, which is much easier to solve. ¬© 1993 IEEE</t>
  </si>
  <si>
    <t>Er, M. H.</t>
  </si>
  <si>
    <t>Singapore</t>
  </si>
  <si>
    <t>Singapore City</t>
  </si>
  <si>
    <t>Nanyang Technological University</t>
  </si>
  <si>
    <t>On the Limiting Solution of Quadratically Constrained Broad-Band Beam Formers</t>
  </si>
  <si>
    <t>10.1109/TSP.1993.193168</t>
  </si>
  <si>
    <t>2-s2.0-0027287115</t>
  </si>
  <si>
    <t>HO-924/1-3</t>
  </si>
  <si>
    <t>['¬© 1993', 'wave pigments', 'transient absorption', 'small long', 'rights reserved', 'resolved studies', 'pigment pools', 'picosecond resolution', 'occur within', 'observed also', 'negative amplitude', 'middle component', 'long wavelengths', 'lived one', 'lived component', 'lifetimes resolved', 'kinetically connected', 'global lifetime', 'fluorescence kinetics', 'fluorescence carried', 'even faster', 'energy transfer', 'data show', 'core particles', 'core particle', 'combined fluorescence', 'biophysical society', 'antenna size', '40 ps', '36 ps', '33 ps', '3 ps', '100 chlorophyll', '1 ns']</t>
  </si>
  <si>
    <t>The energy transfer and charge separation kinetics of a photosystem I (PS I) core particle of an antenna size of 100 chlorophyll/P700 has been studied by combined fluorescence and transient absorption kinetics with picosecond resolution. This is the first combined picosecond study of transient absorption and fluorescence carried out on a PS I particle and the results are consistent with each other. The data were analyzed by both global lifetime and global target analysis procedures. In fluorescence major lifetime components were found to be 12 and 36 ps. The shorter-lived one shows a negative amplitude at long wavelengths and is attributed to an energy transfer process between pigments in the main antenna Chl pool and a small long-wavelength Chl pool emitting around 720 nm whereas the longer-lived component is assigned to the overall charge separation lifetime. The lifetimes resolved in transient absorption are 7‚Äì8 ps, 33 ps, and [unk]1 ns. The shortest-lived one is assigned to energy transfer between the same pigment pools as observed also in fluorescence kinetics, the middle component of 33 ps to the overall charge separation, and the long-lived component to the lifetime of the oxidized primary donor P700+. The transient absorption data indicate an even faster, but kinetically unresolved energy transfer component in the main Chl pool with a lifetime &lt;3 ps. Several kinetic models were tested on both the fluorescence and the picosecond absorption data by global target analysis procedures. A model where the long-wave pigments are spatially and kinetically connected with the reaction center P700 is favored over a model where P700 is connected more closely with the main Chl pool. Our data show that the charge separation kinetics in these PS I particles is essentially trap limited. The relevance of our data with respect to other time-resolved studies on PS I core particles is discussed, in particular with respect to the nature and function of the long-wave pigments. From the transient absorption data we do not see any evidence for the occurrence of a reduced Chl primary electron acceptor, but we also can not exclude that possibility, provided that reoxidation of that acceptor should occur within a time &lt;40 ps. ¬© 1993, The Biophysical Society. All rights reserved.</t>
  </si>
  <si>
    <t>1813-1826</t>
  </si>
  <si>
    <t>Biophysical Journal</t>
  </si>
  <si>
    <t>60072285;;;</t>
  </si>
  <si>
    <t>35501122300;16460158600;7005752951;6602426350</t>
  </si>
  <si>
    <t>Holzwarth, Alfred R.;Schatz, G√ºnther;Brock, Helmuth;Bittersmann, Edith</t>
  </si>
  <si>
    <t>Mulheim an der Ruhr</t>
  </si>
  <si>
    <t>Max Planck Institute for Chemical Energy Conversion</t>
  </si>
  <si>
    <t>Holzwarth A.</t>
  </si>
  <si>
    <t>Energy transfer and charge separation kinetics in photosystem I: Part 1: Picosecond transient absorption and fluorescence study of cyanobacterial photosystem I particles</t>
  </si>
  <si>
    <t>S0006349593815522</t>
  </si>
  <si>
    <t>10.1016/S0006-3495(93)81552-2</t>
  </si>
  <si>
    <t>2-s2.0-0027289393</t>
  </si>
  <si>
    <t>Alexander von Humboldt-Stiftung</t>
  </si>
  <si>
    <t>['œ ±-', '¬© 1993', 'zeaxanthin ),', 'xanthophylls occurred', 'wild type', 'two photosystems', 'stable lhc', 'significant increase', 'probably associated', 'pool sizes', 'observed changes', 'mutant phenotypes', 'loroxanthin ).', 'loroxanthin ),', 'located primarily', 'light employed', 'lhcs ),', 'less dramatic', 'induced changes', 'illumination produces', 'harvesting complexes', 'grown cells', 'distal lhcs', 'developmental strain', 'develop chlorophyll', 'deficient strains', 'comparable studies', 'carotenoids occur', 'carotenoids comparable', 'antennae systems', '20 w', ')- 5']</t>
  </si>
  <si>
    <t>Carotenes | Green algae | Light-harvesting complexes | Scenedesmus obliquus</t>
  </si>
  <si>
    <t>Chloroplasts of dark-grown cells of the green alga Scenedesmus obliquus contain both Œ±- and Œ≤-carotene and their respective major xanthophylls, i.e. (3R, 3‚Ä≤R, 6‚Ä≤R)-Œ≤,Œµ{lunate}-carotene-3,3‚Ä≤-diol (lutein) and (3R, 3‚Ä≤R, 6‚Ä≤R)-Œ≤,Œµ{lunate}-carotene-3,19,3‚Ä≤-triol (loroxanthin), and (3R, 3‚Ä≤R)-Œ≤,Œ≤-carotene-3,3‚Ä≤-diol (zeaxanthin), (3R, 5R, 6S, 5‚Ä≤R, 6‚Ä≤S)-5,6,5‚Ä≤,6‚Ä≤-diepoxy-5,6,5‚Ä≤,6‚Ä≤-tetradehy dro-Œ≤,Œ≤-carotene-3,3‚Ä≤-diol (violaxanthin) and (3S, 5R, 6R, 3‚Ä≤S, 5‚Ä≤R, 6‚Ä≤S)-5‚Ä≤,6‚Ä≤-epoxy-6,7-didehydro-5,6,5‚Ä≤,6‚Ä≤-t etrahydro-Œ≤,Œ≤-carotene-3,5,3‚Ä≤-triol (neoxanthin) respectively. When exposed to light major changes in the pool sizes of some of these carotenoids occur, the extent of which depends on both the intensity and wavelength of the light employed and the duration of exposure. The primary alterations noted during a 24 h illumination period (20 W m-2) were in Œ±-carotene and its derivatives with only small changes occurring in the total Œ≤-carotene pool. Principally, illumination produces an immediate and significant increase in the levels of lutein at the expense of Œ±-carotene and trihydroxy-Œ±-carotene (loroxanthin). Comparable studies were performed on mutant phenotypes of Scenedesmus which were (i) unable to synthesize chlorophyll b and the light-harvesting complexes (LHCs), and (ii) failed to develop chlorophyll and the total photosynthetic apparatus when grown in darkness, but greened when exposed to light. In the LHC-deficient strains, changes in Œ±-carotene and its xanthophylls occurred, but were less dramatic than those seen in the wild type; this results from their inability to develop a stable LHC in vivo. The developmental strain, C-2A‚Ä≤, showed light-induced changes in the carotenoids comparable with those observed in the wild type. Since the xanthophylls, such as lutein, are located primarily in both the proximal and distal LHCs of the two photosystems, the observed changes are probably associated with the adaptation of the antennae systems to increasing light intensities. There was no indication that the zeaxanthin/violaxanthin cycle operates in Scenedesmus at the intensities and exposure times utilized in these experiments. ¬© 1993.</t>
  </si>
  <si>
    <t>273-279</t>
  </si>
  <si>
    <t>Journal of Photochemistry and Photobiology, B: Biology</t>
  </si>
  <si>
    <t>60012556;60012556;60012556;60012556;60012556;60013402</t>
  </si>
  <si>
    <t>7005126308;7402148809;6508078572;6507611675;6506881267;25941843200</t>
  </si>
  <si>
    <t>Senger, Horst;Wagner, Catharina;Hermsmeier, Dieter;Hohl, Norbert;Urbig, Thomas;Bishop, Norman I.</t>
  </si>
  <si>
    <t>United States;Germany</t>
  </si>
  <si>
    <t>Corvallis;Marburg</t>
  </si>
  <si>
    <t>Oregon State University;Philipps-Universit√§t Marburg</t>
  </si>
  <si>
    <t>60013402;60012556</t>
  </si>
  <si>
    <t>Senger H.</t>
  </si>
  <si>
    <t>The influence of light intensity and wavelength on the contents of Œ±- and Œ≤-carotene and their xanthophylls in green algae</t>
  </si>
  <si>
    <t>101113449380075K</t>
  </si>
  <si>
    <t>10.1016/1011-1344(93)80075-K</t>
  </si>
  <si>
    <t>2-s2.0-0027289459</t>
  </si>
  <si>
    <t>['¬© 1993', 'various levels', 'theoretical expression', 'theoretical analysis', 'rate constant', 'qe mechanism', 'qe ).', 'psii units', 'probability pe', 'previous paper', 'pigment antenna', 'photosystem ii', 'ph gradient', 'order hyperbola', 'minimal levels', 'macroscopic changes', 'induced relaxation', 'hyperbolic relationship', 'good agreement', 'f0 presented', 'experimental data', 'experimental applications', 'energy exchanges', 'dependent quenching', 'also derived', '55 ),']</t>
  </si>
  <si>
    <t>Chlorophyll fluorescence | High energy state | Non-photochemical quenching | Photosystem II</t>
  </si>
  <si>
    <t>Experimentally, there is a hyperbolic relationship between the maximal and minimal levels of in vivo chlorophyll fluorescence from photosystem II (Fm(t) and F0(t) respectively) during dark-induced relaxation of the "energy-dependent quenching" mechanism (qE). In this paper, a theoretical analysis of qE is presented which describes this behaviour. The dissipative process leading to qE is assumed to quench excitation energy in the photosystem II (PSII) pigment antenna and is characterized by a rate constant kE whose value is modulated by the pH gradient. Introducing this rate constant into the theoretical expression of F0 presented in a previous paper (M. Havaux, R. J. Strasser and H. Greppin, Photosynth. Res., 27 (1991) 41-55), an equation relating Fm(t) to F0(t) by a first-order hyperbola is derived, which allows the macroscopic changes in the Fm(t) amplitude to be predicted at various levels of qE. A very good agreement was obtained between predicted and experimental data. Simple fluorescence parameters are also derived which provide relative estimates of the value of kE and allow (assuming no energy exchanges between PSII units) the determination of the probability pE for energy dissipation via the qE mechanism. Some experimental applications for the rate constant kE are given. ¬© 1993.</t>
  </si>
  <si>
    <t>97-104</t>
  </si>
  <si>
    <t>Havaux, Michel</t>
  </si>
  <si>
    <t>Saint Paul lez Durance</t>
  </si>
  <si>
    <t>CEA Cadarache</t>
  </si>
  <si>
    <t>Havaux M.</t>
  </si>
  <si>
    <t>Non-photochemical energy dissipation in photosystem II: Theoretical modelling of the "energy-dependent quenching" of chlorophyll fluorescence emission from intact plant leaves</t>
  </si>
  <si>
    <t>101113449387102S</t>
  </si>
  <si>
    <t>10.1016/1011-1344(93)87102-S</t>
  </si>
  <si>
    <t>2-s2.0-0027290449</t>
  </si>
  <si>
    <t>['thermal measurements', 'see part', 'second carcinomas', 'rights reserved', 'oral tongue', 'october 1991', 'october 1989', 'microwave radiometry', 'interstitial hyperthermia', 'hyperthermia system', 'eight patients', 'complete response', 'called himcar', 'brachytherapy combination', '9 ghz', '25 lesions', '21 t2', '17 tumours', '16 patients']</t>
  </si>
  <si>
    <t>Cancer | Hyperthermia | Interstitial | Microwave | Radiometry</t>
  </si>
  <si>
    <t>From October 1989 to October 1991, 16 patients (17 tumours) with locally advanced carcinomas of the oral tongue and eight patients with second carcinomas of the base of tongue in previously irradiated areas, have been treated by means of an interstitial hyperthermia-brachytherapy combination in a phase II clinical trial. Each miniature microwave antenna of our hyperthermia system, called HIMCAR, is used both for heating and for thermal measurements by microwave radiometry at 3 and 9 GHz (see Part I). Among these 25 lesions (21 T2, 4 T3), 21 showed a complete response (15/17 locally advanced carcinomas and 6/8 second carcinomas in previously irradiiated areas). The toxicity was not severe (less than 10% A French multicentre phase III study is now under way. ¬© 1993 Informa UK Ltd All rights reserved: reproduction in whole or part not permitted.</t>
  </si>
  <si>
    <t>455-462</t>
  </si>
  <si>
    <t>105925153;105736577;105925153;60008134;60008134;60000905;60008134-60000905</t>
  </si>
  <si>
    <t>7003814979;7801626593;6603391805;6701735722;7202188003;6602980643;7004583077</t>
  </si>
  <si>
    <t>Prevost, B.;de Cordoue-Rohart, S.;Mirabel, X.;Camart, J. C.;Fabre, J. J.;Sozanski, J. P.;Chive, M.</t>
  </si>
  <si>
    <t>France;France;France;France</t>
  </si>
  <si>
    <t>Paris;Paris;Lille;Lille</t>
  </si>
  <si>
    <t>CNRS Centre National de la Recherche Scientifique;Inserm;Centre de Lutte Contre le Cancer Oscar Lambret;Centre Bourgogne</t>
  </si>
  <si>
    <t>60008134;60000905;105925153;105736577</t>
  </si>
  <si>
    <t>Prevost B.</t>
  </si>
  <si>
    <t>915 MHz microwave interstitial hyperthermia. Part III: Phase II clinical results</t>
  </si>
  <si>
    <t>10.3109/02656739309005044</t>
  </si>
  <si>
    <t>2-s2.0-0027300893</t>
  </si>
  <si>
    <t>National Institutes of Health</t>
  </si>
  <si>
    <t>P01CA044665</t>
  </si>
  <si>
    <t>NIH</t>
  </si>
  <si>
    <t>['treatment field', 'thermometry system', 'surface temperatures', 'successfully verified', 'rights reserved', 'restrain power', 'related complications', 'reduce treatment', 'recursive algorithm', 'precision close', 'neighbouring antennas', 'excessive temperatures', 'antenna element', 'antenna array', 'also used']</t>
  </si>
  <si>
    <t>Adaptive | Antenna array | Hyperthermia | Recursive | Temperature control</t>
  </si>
  <si>
    <t>An adaptive temperature control system has been developed for the microstrip antenna array applicators used for large area superficial hyperthermia. A recursive algorithm which allows rapid power updating even for large antenna arrays and accounts for coupling between neighbouring antennas has been developed, based on a first-order difference equation model. Surface temperatures from the centre of each antenna element are the primary feedback information. Also used are temperatures from additional surface probes placed within the treatment field to protect locations vulnerable to excessive temperatures. In addition, temperatures at depth are observed by mappers and utilized to restrain power to reduce treatment-related complications. Experiments on a tissue-equivalent phantom capable of dynamic differential cooling have successfully verified this temperature control system. The results with the 25 (5¬±5) antenna array have demonstrated that during dynamic water cooling changes and other experimentally simulated disturbances, the controlled temperatures converge to desired temperature patterns with a precision close to the resolution of the thermometry system (0-1 ¬∞C). ¬© 1993 Informa UK Ltd All rights reserved: reproduction in whole or part not permitted.</t>
  </si>
  <si>
    <t>479-490</t>
  </si>
  <si>
    <t>60015615;60015615</t>
  </si>
  <si>
    <t>55574214493;6603945998</t>
  </si>
  <si>
    <t>Zhou, L.;Fessenden, P.</t>
  </si>
  <si>
    <t>Stanford</t>
  </si>
  <si>
    <t>Stanford University Medical Center</t>
  </si>
  <si>
    <t>Zhou L.</t>
  </si>
  <si>
    <t>Automation of temperature control for large-array microwave surface applicators</t>
  </si>
  <si>
    <t>10.3109/02656739309005046</t>
  </si>
  <si>
    <t>2-s2.0-0027302360</t>
  </si>
  <si>
    <t>['waveguide geometries', 'transmission response', 'technique lends', 'simple insertion', 'many combinations', 'low loss', 'guide within', 'good bandwidth', 'frequency bands']</t>
  </si>
  <si>
    <t>A waveguide is described that propagates at two-frequency bands with low loss and good bandwidth. The structure is achieved by the simple insertion of a frequency selective surface to form a guide within a guide. The transmission response is tailored by the response of the FSS. The technique lends itself to other waveguide geometries and many combinations of frequencies can be accommodated. ¬© 1993 IEEE</t>
  </si>
  <si>
    <t>Langley, R. J.</t>
  </si>
  <si>
    <t>Canterbury</t>
  </si>
  <si>
    <t>University of Kent</t>
  </si>
  <si>
    <t>Langley R.</t>
  </si>
  <si>
    <t>A Dual-Frequency Band Waveguide Using FSS</t>
  </si>
  <si>
    <t>10.1109/75.180674</t>
  </si>
  <si>
    <t>2-s2.0-0027306882</t>
  </si>
  <si>
    <t>['simulation model', 'reasonable agreement', 'prediction capability', 'multipath propagation', 'corresponding results', 'corresponding measurements', 'copyright 1993']</t>
  </si>
  <si>
    <t>A simulation model of multipath propagation will be used to characterize the relationship between the cross‚Äêpolarization discrimination and the co‚Äêpolar attenuation in frequency‚Äêreuse line‚Äêof‚Äêsight microwave links. The behavior of several links described in the literature will then be simulated, and the results will be compared with the corresponding measurements, to test the prediction capability of the model. A reasonable agreement between the corresponding results will be displayed. Further, it will also be shown that the cross‚Äêpolar phase patterns of the antennas could significantly affect the behavior of the cross‚Äêpolarization discrimination. Copyright 1993 by the American Geophysical Union.</t>
  </si>
  <si>
    <t>37-47</t>
  </si>
  <si>
    <t>1944799X</t>
  </si>
  <si>
    <t>Radio Science</t>
  </si>
  <si>
    <t>January-February 1993</t>
  </si>
  <si>
    <t>;</t>
  </si>
  <si>
    <t>37013154300;6603028835</t>
  </si>
  <si>
    <t>Costa, Emanoel;Dhein, Ney R.</t>
  </si>
  <si>
    <t>Costa E.</t>
  </si>
  <si>
    <t>A Simulation of the behavior of the cross‚Äêpolarization discrimination in frequency‚Äêreuse line‚Äêof‚Äêsight links</t>
  </si>
  <si>
    <t>10.1029/91RS01974</t>
  </si>
  <si>
    <t>2-s2.0-0027307865</t>
  </si>
  <si>
    <t>['three models', 'reflector antennas', 'pec screen', 'obtain well', 'nonuniform currents', 'nonuniform current', 'moments solution', 'integrated around', 'found depending', 'excellent agreement', 'cross polarization', 'appreciably modified', 'also used']</t>
  </si>
  <si>
    <t>Incremental length diffraction coefficients (ILDC‚Äôs) are applied to the calculation of reflector antenna patterns. ILDC‚Äôs for the half-plane are integrated around the rim of a paraboloid reflector antenna to obtain well-behaved far fields of the nonuniform current for all angles of observation. These computed nonuniform current far fields, when added to the physical optics far field, produce a more accurate total far field of the reflector. Excellent agreement with the far fields obtained from a method-of-moments solution to the electric field integral equation applied to a 20-wavelength-diameter reflector shows that the cross polarization, further-out sidelobes, and fields near nulls of reflector antennas can be appreciably modified by the fields of the nonuniform currents. ILDC‚Äôs are also used to investigate the effect of cracks on the surface of reflectors that can result from the imperfect fitting together of panels to form large reflectors. Three models of cracks are studied: 1) a slit in a perfectly electrically conducting (PEC) screen; 2) a channel with a semicircular cross section in a PEC screen; and 3) a boss with a semicircular cross section in a PEC screen. Significant pattern effects of cracks are found depending on the model and orientation of the cracks. ¬© 1993 IEEE</t>
  </si>
  <si>
    <t>7102001903;7003451771</t>
  </si>
  <si>
    <t>Shore, Robert A.;Yaghjian, Arthur D.</t>
  </si>
  <si>
    <t>Shore R.</t>
  </si>
  <si>
    <t>Application of Incremental Length Diffraction Coefficients to Calculate the Pattern Effects of the Rim and Surface Cracks of a Reflector Antenna</t>
  </si>
  <si>
    <t>10.1109/8.210108</t>
  </si>
  <si>
    <t>2-s2.0-0027308050</t>
  </si>
  <si>
    <t>National Institute of General Medical Sciences</t>
  </si>
  <si>
    <t>R01GM011632</t>
  </si>
  <si>
    <t>NIGMS</t>
  </si>
  <si>
    <t>['¬© 1993', 'unmodified antennae', 'triantennary glycopeptide', 'three antennae', 'third antenna', 'sugar residues', 'specifically removed', 'solution conformation', 'rights reserved', 'reversibly modulated', 'resulting single', 'resolved energy', 'previously observed', 'present study', 'maintained exclusively', 'linkage configuration', 'individual antenna', 'folded conformers', 'folded conformation', 'fluorescent glycopeptides', 'extended conformer', 'extended conformation', 'donor fluorophore', 'data suggest', 'conformational change', 'complex oligosaccharides', 'biochemistry 30', 'acceptor pairs']</t>
  </si>
  <si>
    <t>We have investigated the solution conformation of a triantennary glycopeptide using resonance energy transfer [Rice et al. (1991) Biochemistry 30, 6646‚Äì6655]. Triantennary glycopeptide was derivatized with a donor fluorophore on the N-terminus and with an acceptor fluorophore attached individually to each terminal galactose residue, resulting in three isomeric donor-acceptor pairs. Time-resolved energy-transfer experiments revealed two distinct donor-acceptor distance populations for two of the three antennae of the oligosaccharide. An extended conformation and a folded conformation were detected for the two flexible antennae whereas the third antenna on the oligosaccharide was rigid, containing only an extended conformer. The ratios of the extended to folded conformers of the two flexible antennae were reversibly modulated by temperature, allowing the calculation of ŒîH and ŒîS for the conformational change [Wu et al. (1991) Proc. Natl. Acad. Sci. U.S.A. 88, 9355‚Äì9359]. In the present study, we have trimmed the fluorescent glycopeptides with exoglycosidases which specifically removed the unmodified antennae of the oligosaccharide. The resulting single-chain isomeric glycopeptides each contained identical core sugar residues and a terminally located donor and acceptor, but differed only in the linkage configuration of the sugar residues. Analysis of these glycopeptides by time-resolved energy transfer indicated that each antenna of the oligosaccharide is, by itself, maintained exclusively in the extended conformation. Temperature modulation failed to induce antenna folding as was previously observed for the complete triantennary structure. These data suggest that interantenna interactions modulate the conformation of individual antenna of complex oligosaccharides. ¬© 1993, American Chemical Society. All rights reserved.</t>
  </si>
  <si>
    <t>7264-7270</t>
  </si>
  <si>
    <t>60003500;60005248;60005248;60005248</t>
  </si>
  <si>
    <t>57203054054;7403119238;7102793158;8161510400</t>
  </si>
  <si>
    <t>Rice, Kevin G.;Wu, Pengguang;Brand, Ludwig;Lee, Yuan C.</t>
  </si>
  <si>
    <t>Baltimore;Columbus</t>
  </si>
  <si>
    <t>Johns Hopkins University;The Ohio State University</t>
  </si>
  <si>
    <t>60005248;60003500</t>
  </si>
  <si>
    <t>Rice K.</t>
  </si>
  <si>
    <t>Modification of Oligosaccharide Antenna Flexibility Induced by Exoglycosidase Trimming</t>
  </si>
  <si>
    <t>10.1021/bi00079a024</t>
  </si>
  <si>
    <t>2-s2.0-0027308234</t>
  </si>
  <si>
    <t>['verified experimentally', 'mutual coupling', 'finite size', 'element arrays', 'electrically thick', 'analysis presented']</t>
  </si>
  <si>
    <t>An analysis of the mutual coupling between metal strip antennas which are contiguous with the ends of finite size, electrically thick dielectric substrates is outlined. Such antennas have been proposed as useful monolithic microwave integrated circuit (MMIC) antennas for Millimeter Wavelength applications. The analysis presented here is verified experimentally, and the results are applied to three-element arrays of metal strip folded dipoles with coplanar strip feed lines. The effect of the electrically thick, finite size dielectric substrates on the mutual coupling between elements of the arrays is described. ¬© 1993 IEEE</t>
  </si>
  <si>
    <t>108-115</t>
  </si>
  <si>
    <t>60009512;60009512;60009512</t>
  </si>
  <si>
    <t>7101609897;7401891327;22982787500</t>
  </si>
  <si>
    <t>Parfitt, Andrew J.;Griffin, Donald W.;Cole, Peter H.</t>
  </si>
  <si>
    <t>Adelaide</t>
  </si>
  <si>
    <t>The University of Adelaide</t>
  </si>
  <si>
    <t>Parfitt A.</t>
  </si>
  <si>
    <t>Mutual Coupling Between Metal Strip Antennas on Finite Size, Electrically Thick Dielectric Substrates</t>
  </si>
  <si>
    <t>10.1109/8.210125</t>
  </si>
  <si>
    <t>2-s2.0-0027313706</t>
  </si>
  <si>
    <t>['¬© 1993', 'subsequently confirmed', 'skeletal dysplasia', 'rights reserved', 'karyotype analysis', 'intracranial abnormalities', 'frontal bossing', 'fetal face', 'facial clefting', 'essential part', 'common finding', 'chromosomal abnormality', 'abnormal karyotype', '24 fetuses']</t>
  </si>
  <si>
    <t>In order to assess the significance of fetal facial anomalies detected by ultrasound, a 4 year review was made of all detailed antenatal scans performed in our department. Anomalies were detected in 24 fetuses. All findings were subsequently confirmed. Micrognathia was the most common finding, 38% of these had an abnormal karyotype, and 45% had a recognized skeletal dysplasia. Facial clefting was also commonly seen, both in isolation and associated with other abnormalities. When associated with other abnormalities, 40% of cases with facial clefting had a chromosomal abnormality indicating a need for karyotype analysis in these patients. Other anomalies detected included cebocephaly, hypotelorism, frontal bossing, exophthalmos and hypertelorism. We feel that visualization of the fetal face is an essential part of the assessment of intracranial abnormalities and is valuable in any situation where a chromosomal abnormality or a skeletal dysplasia is suspected. ¬© 1993, All rights reserved.</t>
  </si>
  <si>
    <t>389-395</t>
  </si>
  <si>
    <t>Clinical Radiology</t>
  </si>
  <si>
    <t>60030816;60030816</t>
  </si>
  <si>
    <t>55160042600;7004735110</t>
  </si>
  <si>
    <t>Turner, G. M.;Twining, P.</t>
  </si>
  <si>
    <t>Nottingham</t>
  </si>
  <si>
    <t>Queen's Medical Centre</t>
  </si>
  <si>
    <t>Turner G.M.</t>
  </si>
  <si>
    <t>The facial profile in the diagnosis of fetal abnormalities</t>
  </si>
  <si>
    <t>S000992600581058X</t>
  </si>
  <si>
    <t>10.1016/S0009-9260(05)81058-X</t>
  </si>
  <si>
    <t>2-s2.0-0027316125</t>
  </si>
  <si>
    <t>National Institute of Neurological Disorders and Stroke</t>
  </si>
  <si>
    <t>P01NS028495</t>
  </si>
  <si>
    <t>NINDS</t>
  </si>
  <si>
    <t>['vivo prior', 'two influences', 'total length', 'sensory axons', 'rising titer', 'pupal development', 'olfactory lobe', 'neuronal types', 'morphological development', 'morphological changes', 'examined quantitatively', 'different stages', 'different doses', 'coincides temporally', 'cell culture', 'brief exposure']</t>
  </si>
  <si>
    <t>20‚Äêhydroxycdysone | antennallobe neurons | sensory axons | steroid hormones</t>
  </si>
  <si>
    <t>Neurons in the developing (antennal) olfactory lobe of the moth Manduca sexta undergo a period of extensive process outgrowth and branching that coincides temporally with both a rising titer of the steroid hormone 20‚Äêhydroxyecdysone and the ingrowth of sensory axons from receptors in the antenna. To evaluate the contribution of these two influences to the morphological development of antennal‚Äêlobe neurons, we placed the neurons in cell culture. Antennal‚Äêlobe neurons were dissociated from normal and chronically unafferented lobes at different stages of development and were exposed to different doses of hormone. Six neuronal cell types with distinctive and stable morphologies appeared in cultures from all stages of pupal development. Morphological changes in these neuronal types were examined quantitatively by comparison of the total length and number of branches. We found that 20‚Äêhydroxyecdysone had little direct effect on the morphological development of antennal‚Äêlobe neurons, but brief exposure to sensory axons in vivo prior to dissociation significantly enhanced subsequent outgrowth in culture. ¬© 1993 John Wiley &amp; Sons, Inc. Copyright ¬© 1993 John Wiley &amp; Sons, Inc.</t>
  </si>
  <si>
    <t>1170-1186</t>
  </si>
  <si>
    <t>Journal of Neurobiology</t>
  </si>
  <si>
    <t>60023324;60023324</t>
  </si>
  <si>
    <t>7004335896;7201425890</t>
  </si>
  <si>
    <t>Oland, Lynne A.;Hayashi, Jon H.</t>
  </si>
  <si>
    <t>Arizona Research Laboratories</t>
  </si>
  <si>
    <t>Oland L.</t>
  </si>
  <si>
    <t>Effects of the steroid hormone 20‚Äêhydroxyecdysone and prior sensory input on the survival and growth of moth central olfactory neurons in vitro</t>
  </si>
  <si>
    <t>10.1002/neu.480240905</t>
  </si>
  <si>
    <t>2-s2.0-0027317102</t>
  </si>
  <si>
    <t>['various volumes', 'temperature control', 'rights reserved', 'microwave radiometry', 'increasing part', 'heat tumours', 'experimental study', 'clinical assessment', 'cancer treatment']</t>
  </si>
  <si>
    <t>Antenna-array | Heating pattern | Hyperthermia | Interstitial | Microwave</t>
  </si>
  <si>
    <t>Microwave interstitial hyperthermia now plays an increasing part in the various hyperthermia techniques used in cancer treatment. This paper will present the design, construction and theoretical as well as experimental study of miniature coaxial antennas designed to heat tumours of various volumes and sizes. Monitoring temperature using multifrequency radiometry during hyperthermia stems naturally from the very design of these antennas. Experiments on phantoms, animals and patients in phase I clinical assessment have demonstrated that microwave interstitial hyperthermia can be achieved with temperature control and monitoring by microwave radiometry. ¬© 1993 Informa UK Ltd All rights reserved: reproduction in whole or part not permitted.</t>
  </si>
  <si>
    <t>433-444</t>
  </si>
  <si>
    <t>60008134;60008134-60000905;60008134;60008134;60008134;105925153;105925153;105736577</t>
  </si>
  <si>
    <t>7202188003;7004583077;7102611104;6701735722;6507095334;7003814979;6603520475;6701770743</t>
  </si>
  <si>
    <t>Fabre, J. J.;Chive, M.;Dubois, L.;Camart, J. C.;Playez, E.;Prevost, B.;Vanseymortier, L.;Rohart, J.</t>
  </si>
  <si>
    <t>Fabre J.J.</t>
  </si>
  <si>
    <t>915 MHz microwave interstitial hyperthermia. Part I: Theoretical and experimental aspects with temperature control by multifrequency radiometry</t>
  </si>
  <si>
    <t>10.3109/02656739309005042</t>
  </si>
  <si>
    <t>2-s2.0-0027319612</t>
  </si>
  <si>
    <t>Japan Society for the Promotion of Science</t>
  </si>
  <si>
    <t>['west java', 'virgin workers', 'three low', 'sterile gamergates', 'social organization', 'reproductive activity', 'reclinata group', 'rarely found', 'ranked gamergates', 'produced eggs', 'principally organized', 'paper provides', 'ovarian development', 'linear order', 'inhibitory effects', 'great variation', 'frequently observed', 'francis ltd', 'first demonstration', 'experimental removal', 'developed oocytes', 'colony growth', 'colonies resulted', 'colonies consisted', 'antennation increased', 'among gamergates', 'amblyopone sp', 'aggressive antenna', '97 workers', '18 workers']</t>
  </si>
  <si>
    <t>Amblyopone | Ant | Dominance hierarchy | Indonesia | Polygyny | Queenless | Worker reproduction</t>
  </si>
  <si>
    <t>Social organization of colonies in the primitive ponerine ant Amblyopone sp. (reclinata group) was studied in Bogor, West Java, Indonesia. The colonies consisted of 97 workers on average, and there were no morphologically distinct queens; between one and 18 workers were inseminated and produced eggs, instead. Virgin workers developed their oocytes, but most of them degenerated before maturation. Experimental removal of mated laying workers (gamergates) from colonies resulted in oviposition by some virgin workers, suggesting that gamer- gates inhibit ovarian development of virgin workers. Degree of ovarian development of gamergates was not so different among gamergates within each colony; however, great variation was observed among colonies. This was correlated with number of virgin workers per gamergate. Among gamergates, aggressive antenna- tion was frequently observed. The frequency of antennation increased with colony growth. A linear order was constructed by the antennation among gamergates, although there were many reversal interactions. Higher-ranked gamergates had 1-3 developed oocytes while three low-ranked gamergates had no developed oocytes. Since such sterile gamergates were rarely found in the field, low-ranked gamergates may be expelled from their colonies. Colonies of Amblyopone sp. were principally organized through physical and pheromonal interactions among individual workers. This paper provides the first demonstration of a dominance structure among gamergates and inhibitory effects of gamergates on reproductive activity of virgin workers in a functionally polygynous ant colony without queens. ¬© 1993 Taylor &amp; Francis Ltd.</t>
  </si>
  <si>
    <t>1315-1324</t>
  </si>
  <si>
    <t>November-December 1993</t>
  </si>
  <si>
    <t>Ito, F.</t>
  </si>
  <si>
    <t>Sapporo</t>
  </si>
  <si>
    <t>Hokkaido University</t>
  </si>
  <si>
    <t>Ito F.</t>
  </si>
  <si>
    <t>Social organization in a primitive ponerine ant: Queenless reproduction, dominance hierarchy and functional polygyny in amblyopone sp. (reclinata group) (hymenoptera: Formicidae: Ponerinae)</t>
  </si>
  <si>
    <t>10.1080/00222939300770751</t>
  </si>
  <si>
    <t>2-s2.0-0027329436</t>
  </si>
  <si>
    <t>['¬© asce', 'shaped raft', 'settlement response', 'ring plates', 'ring plate', 'located 18', 'loading tests', 'loaded area', 'load cycling', 'inside diameter', 'include soaking', 'ground wetting', 'full plates', 'foundation level', 'diameter ring']</t>
  </si>
  <si>
    <t>Plate-loading tests were carried out on very dense calcareous sand for the construction of the new telecommunications center complex in downtown Kuwait City. The tests were conducted at the foundation level, which was located 18 m below the original ground level. Circular plates 0.3 m, 0.61 m, and 1.28 m in diameter, and a ring plate of 1.28 m outside and 0.68 m inside diameter were employed. The tests were intended to provide reliable soil modulus values for the estimation of the settlement of a 55-m diameter ring-shaped raft of the 370-m tall antenna tower. Several factors affecting settlement were examined. These include soaking or ground wetting, the size of the loaded area, and load cycling or repetition. The load-settlement response of the ring plates and the full plates are compared. ¬© ASCE.</t>
  </si>
  <si>
    <t>622-638</t>
  </si>
  <si>
    <t>0733-9410</t>
  </si>
  <si>
    <t>Journal of Geotechnical Engineering</t>
  </si>
  <si>
    <t>60038812;60038812;101490993</t>
  </si>
  <si>
    <t>7003666223;7005195101;57216274708</t>
  </si>
  <si>
    <t>Al-Sanad, Hasan A.;Ismael, Nabil F.;Brenner, R. Peter</t>
  </si>
  <si>
    <t>Kuwait;Switzerland</t>
  </si>
  <si>
    <t>Kuwait City;Zurich</t>
  </si>
  <si>
    <t>Kuwait University;Electrowatt Engineering Services Ltd.</t>
  </si>
  <si>
    <t>60038812;101490993</t>
  </si>
  <si>
    <t>Al-Sanad H.A.</t>
  </si>
  <si>
    <t>Settlement of circular and ring plates in very dense calcareous sands</t>
  </si>
  <si>
    <t>10.1061/(ASCE)0733-9410(1993)119:4(622)</t>
  </si>
  <si>
    <t>2-s2.0-0027333949</t>
  </si>
  <si>
    <t>['¬© asce', 'test results', 'specific issues', 'several environments', 'separate antenna', 'satellite visibility', 'rigid platform', 'rapid determination', 'provide real', 'potential applications', 'gps signals', 'four six', 'determined using', 'channel receiver', 'channel banks', 'ashtech 3', 'angular orientation', 'airborne navigation', '24 channels']</t>
  </si>
  <si>
    <t>The Ashtech 3-dimensional Direction Finding system (3DF) utilizes carrier phase measurements from the Global Positioning System (GPS) to provide real-time attitude information along with highly accurate position and velocity, The 3DF system includes a 24-channel receiver and four microstrip antennae. The receiver's 24 channels are configured in four six-channel banks. Each bank is connected to a separate antenna. Attitude is the angular orientation of a body with respect to some reference. This orientation is determined using the GPS signals and knowledge of the precise relative antenna positions. Mounting at least three antennae on a rigid platform and determining the relative positions provides threedimensional attitude information. The Ashtech 3DF system uses four antennae for rapid determination of differential phase ambiguities and for continuation of position and attitude information even when satellite visibility is low. Potential applications of the 3DF system include land, marine, and airborne navigation. Specific issues that arise in these applications are discussed in detail. Test results of the 3DF in several environments will also be presented. ¬© ASCE.</t>
  </si>
  <si>
    <t>22-39</t>
  </si>
  <si>
    <t>Journal of Surveying Engineering</t>
  </si>
  <si>
    <t>;100344509;100344509;100344509</t>
  </si>
  <si>
    <t>7201620189;36842786700;7103086848;7202154261</t>
  </si>
  <si>
    <t>Ferguson, Kendall;Gourevitch, Sergei;Kuhl, Mark;Qin, Xinhua</t>
  </si>
  <si>
    <t>Sunnyvale</t>
  </si>
  <si>
    <t>Ashtech Inc</t>
  </si>
  <si>
    <t>Ferguson K.</t>
  </si>
  <si>
    <t>Attitude determination with ashtech 3-D direction finding system</t>
  </si>
  <si>
    <t>10.1061/(ASCE)0733-9453(1993)119:1(22)</t>
  </si>
  <si>
    <t>2-s2.0-0027334045</t>
  </si>
  <si>
    <t>N00014-89-K-0038</t>
  </si>
  <si>
    <t>['used prior', 'thus indicating', 'stationarity characteristics', 'signal cancellation', 'pressure field', 'multipath arrivals', 'hz data', 'highly inhomogeneous', 'full aperture', 'adaptive processor']</t>
  </si>
  <si>
    <t>This paper investigates various approaches to the beamforming of data from large aperture vertical line arrays. The attention is focussed on the conventional beamforming problem where the angular power spectrum is estimated, in this case by the adaptive minimum variance processor. The data to be processed are 200-Hz CW transmissions collected at sea by a 900-m vertical line array with 120 equally spaced sensors. Correlated multipath arrivals result in signal cancellation for the adaptive processor and spatial smoothing techniques must be used prior to beamforming. The processing of subapertures is proposed because of the adaptive processor requirement of having numerous data snapshots to estimate and invert the data covariance matrix while at the same time being constrained in total observation time by the stationarity characteristics of the pressure field. Full aperture and subaperture processing techniques are used on the 200-Hz data. Multipath arrivals are found to illuminate only parts of the array, thus indicating that the wavefield can be highly inhomogeneous with depth. ¬© 1992 IEEE</t>
  </si>
  <si>
    <t>15-24</t>
  </si>
  <si>
    <t>IEEE Journal of Oceanic Engineering</t>
  </si>
  <si>
    <t>Tran, Jean Marie Q.D.</t>
  </si>
  <si>
    <t>Tran J.M.Q.D.</t>
  </si>
  <si>
    <t>SDatial Smoothing and Minimum Variance Beamforming on Data from Large Aperture Vertical Line Arrays</t>
  </si>
  <si>
    <t>10.1109/48.211500</t>
  </si>
  <si>
    <t>2-s2.0-0027334191</t>
  </si>
  <si>
    <t>['¬© 1993', 'touched upon', 'systems aspects', 'shipbuilding industries', 'range photogrammetry', 'past decade', 'modern three', 'microwave antenna', 'industrial photogrammetry', 'ideal tool', 'aircraft manufacturing']</t>
  </si>
  <si>
    <t>Photogrammetry displays many attributes which make it an ideal tool for precise industrial measurement. Modern automated photogrammetric systems are fast, accurate, reliable, flexible and economical in comparison to traditional as well as some modern three-dimensional coordinate measuring techniques. The benefits of industrial photogrammetry have attracted growing recognition over the past decade, to the point where the method is now a widely used measurement tool, especially in the aerospace, aircraft manufacturing, microwave antenna and shipbuilding industries. In this paper the role of close-range photogrammetry in industry is discussed. Characteristics of the technique are reviewed, systems aspects are touched upon, and four diverse applications are summarized. ¬© 1993.</t>
  </si>
  <si>
    <t>ISPRS Journal of Photogrammetry and Remote Sensing</t>
  </si>
  <si>
    <t>Fraser, Clive S.</t>
  </si>
  <si>
    <t>Melbourne</t>
  </si>
  <si>
    <t>Geodetic Systems, Inc.</t>
  </si>
  <si>
    <t>Fraser C.</t>
  </si>
  <si>
    <t>A resume of some industrial applications of photogrammetry</t>
  </si>
  <si>
    <t>0924-2716(93)90060-Z</t>
  </si>
  <si>
    <t>10.1016/0924-2716(93)90060-Z</t>
  </si>
  <si>
    <t>2-s2.0-0027334449</t>
  </si>
  <si>
    <t>['sources produce', 'present open', 'magnetic source', 'line analysis', 'las response', 'las method', 'las gives', 'general formula', 'field method', 'favorable characteristics', 'electrical source', 'conversion factors']</t>
  </si>
  <si>
    <t>Theoretical and actual experimental investigations are made on a Loop Antenna System (LAS) consisting of N-gap loop antennas. A general formula for the LAS response to an external EM field is derived by using both the method of moments and techniques for transmission-line analysis. Numerical evaluation verifies that the LAS has favorable characteristics, such as invariable response within a wide frequency range. In addition, differences between the LAS method and the present open-field method in the results of measurement are evaluated. It should be noted that the LAS gives a much lower output for an electrical source than for a magnetic source, even if both sources produce the same value with the open-field method. It is concluded that conversion factors for the results from the LAS method to the open-field method strongly depend on the orientation of the source as well as its characteristics. Consequently, new conversion factors are proposed to obtain practical EMI measurements.</t>
  </si>
  <si>
    <t>E76-B</t>
  </si>
  <si>
    <t>IEICE Transactions on Communications</t>
  </si>
  <si>
    <t>60032325;60032325;60032325</t>
  </si>
  <si>
    <t>7007005159;36176445900;55378388500</t>
  </si>
  <si>
    <t>Shinozuka, Takashi;Sugiura, Akira;Nishikata, Atsuhiro</t>
  </si>
  <si>
    <t>Koganei</t>
  </si>
  <si>
    <t>Japan National Institute of Information and Communications Technology</t>
  </si>
  <si>
    <t>Shinozuka T.</t>
  </si>
  <si>
    <t>Rigorous analysis of a loop antenna system for magnetic interference measurement</t>
  </si>
  <si>
    <t>2-s2.0-0027341994</t>
  </si>
  <si>
    <t>['wire antennas', 'wiley company', 'weighting functions', 'numerical calculation', 'measured values', 'magnetic currents', 'integral equation', 'input impedance', 'inc .,', 'good agreement', 'expressed instead', 'equivalent electric', 'equivalent currents', 'equivalence principle', 'electric field', 'dipole antenna', 'different numbers', 'current flowing', 'current distribution', 'coil surface', 'coil loaded', 'capacitive loading', 'boundary condition', 'axial component']</t>
  </si>
  <si>
    <t>Coil‚Äêloading | numerical analysis | Pocklington's integral equation | wire antennas</t>
  </si>
  <si>
    <t>An analysis method using Pocklington's integral equation is presented for wire antennas with lumped inductive loading along its arm. In the formulation of the integral equation, using the equivalence principle, the equivalent electric and magnetic currents on the coil surface are expressed instead of the current flowing on the coil and the electric field. The boundary condition that the axial component of the total electric field vanishes is applied on the antenna axis including the coil. Piecewise‚Äêsinusoidal functions are used for the current expansion functions and the weighting functions. The numerical calculation is made for the different numbers of turns, pitch, and radius of the coil loaded at the midpoint or the top of a dipole antenna. The good agreement between calculated and measured values for the current distribution and input impedance are obtained. The analysis method proposed in this paper is applicable to antennas with resistive or capacitive loading by changing the expressions for the equivalent currents on the surface of loads. Copyright ¬© 1993 Wiley Periodicals, Inc., A Wiley Company</t>
  </si>
  <si>
    <t>74-83</t>
  </si>
  <si>
    <t>Electronics and Communications in Japan (Part I: Communications)</t>
  </si>
  <si>
    <t>60011846;60011846;60011846;60011846</t>
  </si>
  <si>
    <t>57044187900;7404375701;55741538100;57191018275</t>
  </si>
  <si>
    <t>Taguchi, Mitsuo;Yamashita, Kiyomi;Tanaka, Kazumasa;Tanakas, Toshiyuki</t>
  </si>
  <si>
    <t>Nagasaki</t>
  </si>
  <si>
    <t>Nagasaki University</t>
  </si>
  <si>
    <t>Taguchi M.</t>
  </si>
  <si>
    <t>Analysis of a coil‚Äêloaded wire antenna</t>
  </si>
  <si>
    <t>10.1002/ecja.4410760107</t>
  </si>
  <si>
    <t>2-s2.0-0027342059</t>
  </si>
  <si>
    <t>['wing tip', 'wing span', 'vortex strength', 'vortex pair', 'upon removal', 'time interval', 'port vortex', 'ground effect', 'flight speed', 'flat terrain', 'experimental data', 'early series', 'downwind member', 'closely simulates', 'cessna agtruck', 'burst first', 'always observed', 'altitudes varying', 'aircraft used', 'aerial spraying']</t>
  </si>
  <si>
    <t>Data on the stability of the trailing vortex system shed by a small, clean aircraft cruising in ground effect are presented for a flight speed of 57 m/s at altitudes varying between 2.8 and 19.2 m over flat terrain. The aircraft used during the experiments, a Harvard Mark IV, closely simulates the vortex strength and wing span of a Cessna Agtruck. In all of the 46 flights analyzed, the vortices were observed to decay by core bursting following asymmetric, sinuous motion without exhibiting any tendency to link. In an early series of tests, the port vortex was always observed to burst first, most probably because of a small antenna mounted near the wing tip. Upon removal of the antenna, neither vortex consistently burst first. Also a ground marker used for some tests was found to induce early bursting when it interacted with the downwind member of the vortex pair. The time-to-burst was correlated with the atmospheric turbulent dissipation rate and the results agreed well with other experimental data and with the predictions of a model. It was observed that each vortex became extinct after core bursting within an 18 s time interval. The implications of these results for aerial spraying are discussed.</t>
  </si>
  <si>
    <t>17-25</t>
  </si>
  <si>
    <t>0045432X</t>
  </si>
  <si>
    <t>Canadian Agricultural Engineering</t>
  </si>
  <si>
    <t>60019967;60019967</t>
  </si>
  <si>
    <t>7003881460;7101945933</t>
  </si>
  <si>
    <t>Panneton, B.;Drummond, A. M.</t>
  </si>
  <si>
    <t>Ottawa</t>
  </si>
  <si>
    <t>Agriculture et Agroalimentaire Canada</t>
  </si>
  <si>
    <t>Panneton B.</t>
  </si>
  <si>
    <t>Trailing vortex instability and its implications for aerial spraying</t>
  </si>
  <si>
    <t>2-s2.0-0027342106</t>
  </si>
  <si>
    <t>['true geometry', 'thereby developed', 'theoretical point', 'sophisticated model', 'results demands', 'radar response', 'pulse behavior', 'plasma temperature', 'first pointed', 'cloud lightning', 'charge rearrangement']</t>
  </si>
  <si>
    <t>The role of plasma temperature in radar response of lightning is first pointed out. The application of these results demands a more sophisticated model for true geometry of lightning. Observations of pulse-to-pulse behavior, radar range dependence of lightning echo amplitude and dual wavelength measurements including a comparison of echoes from lightning and from precipitation provide valuable information which are thereby developed from theoretical point of view. Implications for charge rearrangement by thunder-cloud lightning are also critically considered.</t>
  </si>
  <si>
    <t>21-29</t>
  </si>
  <si>
    <t>IETE Journal of Research</t>
  </si>
  <si>
    <t>Jan-Feb</t>
  </si>
  <si>
    <t>Bhattacharya, A. B.</t>
  </si>
  <si>
    <t>Kalyani</t>
  </si>
  <si>
    <t>University of Kalyani</t>
  </si>
  <si>
    <t>Bhattacharya A.</t>
  </si>
  <si>
    <t>Lightning channel properties determined with C-band, S-band and UHF-radars</t>
  </si>
  <si>
    <t>10.1080/03772063.1993.11437091</t>
  </si>
  <si>
    <t>2-s2.0-0027342118</t>
  </si>
  <si>
    <t>['wiley company', 'simple circuit', 'signal power', 'results obtained', 'quite effective', 'paper proposes', 'output signal', 'opposite phase', 'n ratios', 'low c', 'ipmm ),', 'inc .,', 'equal amplitudes', 'cancellation circuit', 'auxiliary antenna', 'accurately even']</t>
  </si>
  <si>
    <t>effective frequency utilization | Interference cancellation | in‚Äêband power minimizing method | output power detection | satellite communications | small earth station</t>
  </si>
  <si>
    <t>This paper proposes an interference cancellation method called the in‚Äêband power minimizing method (IPMM), and describes the use of the method in satellite communication earth stations. In this method, an interfering signal arriving from an earth station antenna is combined by a cancellation circuit with an interfering signal received by an auxiliary antenna and the two interfering signals are arranged to have equal amplitudes but opposite phase. To achieve this condition, the amplitude and phase are adjusted so that the signal power of the output signal from the cancellation circuit contained in the desired signal frequency band is to be a minimum. This method is characterized by the fact that a simple circuit can be used to detect interference rapidly and accurately even at low C/N ratios. This paper also discusses the principle of IPMM and examines the results obtained when it is applied to small earth stations. It was found that IPMM is quite effective in this application. Copyright ¬© 1993 Wiley Periodicals, Inc., A Wiley Company</t>
  </si>
  <si>
    <t>84-94</t>
  </si>
  <si>
    <t>60021208;60021208</t>
  </si>
  <si>
    <t>7004107194;57191016150</t>
  </si>
  <si>
    <t>Minamisono, Kenichi;Satohs, Gunkichi</t>
  </si>
  <si>
    <t>KDDI Corporation</t>
  </si>
  <si>
    <t>Minamisono K.</t>
  </si>
  <si>
    <t>An interference cancellation method for small earth stations</t>
  </si>
  <si>
    <t>10.1002/ecja.4410760108</t>
  </si>
  <si>
    <t>2-s2.0-0027342146</t>
  </si>
  <si>
    <t>['two slots', 'side faces', 'series connected', 'reflected fields', 'rectangular shape', 'natural admittances', 'natural admittance', 'mutual admittance', 'longitudinal slots', 'known formulae', 'infinite number', 'geometrical theory', 'geometrical dimensions', 'formulae convenient', 'external mutual', 'expressions obtained', 'diffraction fields', 'components due', 'calculated using', 'admittances due']</t>
  </si>
  <si>
    <t>Expressions are obtained for calculating the external mutual and natural admittances of slot radiators situated in a channel of rectangular shape, using the geometrical theory of diffraction. According to this theory and admittances are represented in the form of the sum of the admittances of the slots, lying on an infinitely conducting plane and an infinite number of admittances due to reflected fields from the side faces and diffraction fields from the edges of the channel. The components due to the reflected fields are calculated using well-known formulae for the mutual admittance of two slots, while the diffraction fields are calculated using the methods of the geometrical theory of diffraction. For the natural admittances, the series connected with the reflected fields are summed (with improved convergence), and formulae convenient for calculation are obtained. The case of longitudinal slots is considered in detail and an estimate is made of the error of the expressions obtained, which overall do not exceed 5%. In conclusion the results of calculations of the natural admittance as a function of the geometrical dimensions of the channel are given.</t>
  </si>
  <si>
    <t>Telecommunications and Radio Engineering (English translation of Elektrosvyaz and Radiotekhnika)</t>
  </si>
  <si>
    <t>Oznobikhin, V. I.</t>
  </si>
  <si>
    <t>Oznobikhin V.</t>
  </si>
  <si>
    <t>Calculation of the external conductances of slot radiators</t>
  </si>
  <si>
    <t>2-s2.0-0027342192</t>
  </si>
  <si>
    <t>42-43</t>
  </si>
  <si>
    <t>Journal of child and adolescent psychiatric and mental health nursing</t>
  </si>
  <si>
    <t>Christenson, P.</t>
  </si>
  <si>
    <t>Christenson P.</t>
  </si>
  <si>
    <t>What are those antennae, anyway?</t>
  </si>
  <si>
    <t>2-s2.0-0027344837</t>
  </si>
  <si>
    <t>['wiley company', 'two antennas', 'satellite communication', 'multipath effects', 'interference wave', 'interference canceler', 'input signals', 'inc .,', 'ground station', 'frequency characteristics', 'found experimentally', 'discriminate whether', 'confirmed experimentally', 'case exists', 'arriving interferences']</t>
  </si>
  <si>
    <t>cancellation availability | interference cancellation | multipath propagation | Radio communication</t>
  </si>
  <si>
    <t>A case exists in which cancellation of interference is not possible with an interference canceler which cancels the interference wave from ground radio stations mixing into the ground station for the satellite communication. It is found experimentally that this is caused by the difference in the frequency characteristics of the input signals to the two antennas by the multipath effects. Further, a method is proposed to discriminate whether the arriving interferences can be cancelled. Its effectiveness is confirmed experimentally. Whether or not the interferences can be cancelled can be determined by the amount of variation of the received electric field intensity of the interferences. If there is a signal with a constant‚Äêshaped spectrum, the distortion of the shape can be used for discrimination. As a result, the condition and limit of applications of the interference canceler are found. Copyright ¬© 1993 Wiley Periodicals, Inc., A Wiley Company</t>
  </si>
  <si>
    <t>104-115</t>
  </si>
  <si>
    <t>Kaitsuka, Toshiyuki</t>
  </si>
  <si>
    <t>Nippon Telegraph and Telephone Corporation</t>
  </si>
  <si>
    <t>Kaitsuka T.</t>
  </si>
  <si>
    <t>Criteria of the possibility of multipath interference cancellation</t>
  </si>
  <si>
    <t>10.1002/ecja.4410760110</t>
  </si>
  <si>
    <t>2-s2.0-0027347760</t>
  </si>
  <si>
    <t>['radiation fields', 'objective functions', 'multidimensional signals', 'modern methods', 'effective algorithm', 'digital processing']</t>
  </si>
  <si>
    <t>An effective algorithm for calculating the radiation fields of reflector antennas using restoration (interpolation) methods is described. The methods are based on the concept of objective functions and modern methods for the digital processing of multidimensional signals.</t>
  </si>
  <si>
    <t>116-122</t>
  </si>
  <si>
    <t>Sazonov, M. D.</t>
  </si>
  <si>
    <t>Sazonov M.</t>
  </si>
  <si>
    <t>Radiation field interpolation methods for accelerated calculations of the characteristics of reflector antenna systems</t>
  </si>
  <si>
    <t>2-s2.0-0027353945</t>
  </si>
  <si>
    <t>['treated via', 'simultaneously measured', 'sacrificed 0', 'rectal temperature', 'prostatic urethra', 'prostatic tissue', 'needle deployment', 'needle antennas', 'necrotic lesions', 'lesions found', 'human trials', 'histopathologic changes', 'examined macroscopically', 'entire experiment', 'directly related', 'created around', 'could justify', 'canine model', 'bladder neck', 'bladder base', 'actual size', 'achieved safely', '1 cm']</t>
  </si>
  <si>
    <t>Benign prostatic hyperplasia | Radiofrequency energy | Transurethral needle ablation</t>
  </si>
  <si>
    <t>Transurethral needle ablation of the canine prostate using low level radiofrequency energy was examined for efficacy and safety in a two-stage experimental study. Eleven mongrel dogs were treated via the bladder neck and prostatic urethra using a specially designed cathether through which needle antennas were advanced into the prostatic tissue. A radiofrequency energy source was connected to the catheter and used to create tissue ablation. In the first 5 dogs this was found to be feasible. Necrotic lesions were created around the needle antennas. Typically, lesions were 1 cm in diameter and conical in shape. The actual size of the lesion was directly related to power level used, time of ablation and length of needle deployment. In the next 6 dogs temperatures were simultaneously measured in the prostatic urethra and rectum. The dogs were sacrificed 0, 2, 2, 14, 28 and 30 days following the experiments and the bladder, prostate and anterior rectal wall were removed en bloc and examined macroscopically and histopathologically for any changes. It was found that urethral temperatures increased to 46.1¬∞C on the average while rectal temperature did not rise during the entire experiment. The lesions found in the prostate were similar to those found in the first 5 dogs. No macroscopic or histopathologic changes were noted at the bladder base, anterior rectal wall or in the distal prostatic urethra. It was concluded that prostatic tissue ablation in the canine model can be achieved safely and could justify the start of human trials.</t>
  </si>
  <si>
    <t>400-405</t>
  </si>
  <si>
    <t>60011766;60011766;60011766;60011766;60011766;60011766;60011766;60011766</t>
  </si>
  <si>
    <t>7005352379;35594423000;6504251422;6601954827;36744538400;7801353729;6603915281;7401520644</t>
  </si>
  <si>
    <t>Goldwasser, B.;Ramon, J.;Engelborg, S.;Ohad, D.;Sharkey, H.;Strul, B.;Rasor, J. S.;Edwards, S. D.</t>
  </si>
  <si>
    <t>Tel Hashomer tel Aviv</t>
  </si>
  <si>
    <t>Chaim Sheba Medical Center Israel</t>
  </si>
  <si>
    <t>Goldwasser B.</t>
  </si>
  <si>
    <t>Transurethral needle ablation (TUNA) of the prostate using low-level radiofrequency energy: An animal experimental study</t>
  </si>
  <si>
    <t>10.1159/000474337</t>
  </si>
  <si>
    <t>2-s2.0-0027365938</t>
  </si>
  <si>
    <t>['x chromosome', 'third chromosome', 'sta1 reveals', 'sta1 acts', 'sta maps', 'shortened antennae', 'ribosomal protein', 'recessive enhancer', 'p40 provided', 'p40 activity', 'p element', 'molecular characterization', 'minute mutations', 'mediated transformation', 'insufficient phenotype', 'imaginal development', 'developmental analysis', 'associated protein', '4 region']</t>
  </si>
  <si>
    <t>We describe the molecular characterization of the Drosophila melanogaster gene stubarista (sta) that encodes the highly conserved putative ribosome- associated protein D-p40, sta maps to cytological position 2A3-B2 on the X chromosome and encodes a protein (D-p40) of 270 amino acids. D-p40 shares 63% identity with the human p40 ribosomal protein. P element-mediated transformation of a 4.4-kb genomic fragment encompassing the 1-kb transcript corresponding to D-p40 was used to rescue both a lethal (sta2) and a viable (sta1) mutation at the stubarista (sta) locus. Developmental analysis of the sta2 mutation implicates a requirement for D-p40 during oogenesis and imaginal development, which is consistent with the expression of sta throughout development. In addition, we have analyzed the basis of the sta1 visible phenotype which consists of shortened antennae and bristles. sta1 is a translocation of the 1E1-2 to 2B3-4 region of the X chromosome onto the third chromosome at 89B21-C4. We provide genetic evidence that Dp(1;3)sta1 is mutant at the spineless (ss) locus and that it is associated with partial D-p40 activity. We demonstrate that sta1 acts as a recessive enhancer of ss; reduction in the amount of D-p40 provided by the transposed X chromosomal region of sta1 reveals a haplo-insufficient phenotype of the otherwise recessive ss mutations. This phenomenon is reminiscent of the enhancing effect observed with Minute mutations, one of which, rp49, has previously been shown to encode a ribosomal protein.</t>
  </si>
  <si>
    <t>553-564</t>
  </si>
  <si>
    <t>Genetics</t>
  </si>
  <si>
    <t>60002746;60002746;60002746</t>
  </si>
  <si>
    <t>57202224144;7003385631;7102932049</t>
  </si>
  <si>
    <t>Melnick, M. B.;Noll, E.;Perrimon, N.</t>
  </si>
  <si>
    <t>Boston</t>
  </si>
  <si>
    <t>Harvard Medical School</t>
  </si>
  <si>
    <t>Melnick M.</t>
  </si>
  <si>
    <t>The Drosophila stubarista phenotype is associated with a dosage effect of the putative ribosome-associated protein D-p40 on spineless</t>
  </si>
  <si>
    <t>2-s2.0-0027368827</t>
  </si>
  <si>
    <t>['tissue occurs', 'stages 12', 'small pocket', 'sensory complex', 'procephalic lobe', 'presumptive eye', 'posterior part', 'particular attention', 'partially overlaps', 'located anterior', 'lateral wall', 'lateral position', 'larval period', 'labrum adjacent', 'labral bud', 'labial en', 'head involution', 'greatly reduced', 'first hours', 'expression starts', 'expression domain', 'epithelium lining', 'embryonic development', 'drosophila head', 'dorsal pouch', 'cell death', 'antenna disc']</t>
  </si>
  <si>
    <t>Drosophila | Eye-antenna disc | Head development</t>
  </si>
  <si>
    <t>The embryonic development of the primordia of the Drosophila head was studied by using an enhancer trap line expressed in these structures from embryonic stage 13 onward. Particular attention was given to the question of how the adult head primordia relate to the larval head segments. The clypeo-labral bud to the stage 13 embryo is located at a lateral position in the labrum adjacent to the labral sensory complex ("epiphysis"). Both clypeo-labral bud and sensory complex are located anterior to the engrailed-expression domain of the labrum. Throughout late embryogenesis and the larval period, the clypeo-labral bud forms integral part of the epithelium lining the roof of the atrium. The labial disc originates from the lateral labial segment adjacent to the labial sensory complex ("hypophysis"). It partially overlaps with the labial en-domain. After head involution, the labial disc forms a small pocket in the ventro-lateral wall of the atrium. The eye-antenna disc develops from a relatively large territory occupying the dorso-posterior part of the procephalic lobe, as well as parts of the dorsal gnathal segments. Cells in this territory are greatly reduced in number by cell death during stages 12-14. After head involution, the presumptive eye-antenna disc occupies a position in the lateral-posterior part of the dorsal pouch. Evagination of this tissue occurs during the first hours after hatching. In the embryo, no en-expression is present in the presumptive eye-antenna disc. en-expression starts in three separate regions in the third instar larva. ¬© 1993 Springer-Verlag.</t>
  </si>
  <si>
    <t>60-73</t>
  </si>
  <si>
    <t>1432041X</t>
  </si>
  <si>
    <t>0930035X</t>
  </si>
  <si>
    <t>Roux's Archives of Developmental Biology</t>
  </si>
  <si>
    <t>60027550;60027550;60027550</t>
  </si>
  <si>
    <t>6602125753;7003804049;7005813125</t>
  </si>
  <si>
    <t>Younossi-Hartenstein, Amelia;Tepass, Ulrich;Hartenstein, Volker</t>
  </si>
  <si>
    <t>Los Angeles</t>
  </si>
  <si>
    <t>University of California, Los Angeles</t>
  </si>
  <si>
    <t>Younossi-Hartenstein A.</t>
  </si>
  <si>
    <t>Embryonic origin of the imaginal discs of the head of Drosophila melanogaster</t>
  </si>
  <si>
    <t>10.1007/BF00539891</t>
  </si>
  <si>
    <t>2-s2.0-0027381166</t>
  </si>
  <si>
    <t>['¬© 1993', 'russian vhf', 'performance tests', 'paper describes', 'obtained using', 'first stage', 'eiscat vhf', 'antenna system']</t>
  </si>
  <si>
    <t>This paper describes the first stage of a Russian VHF-incoherent scatter receiving station near Murmansk. The facility is planned to operate in connection with the EISCAT VHF-radar. Basic technical features of the design are described and some performance tests are presented, obtained using the completed single module of the antenna system. ¬© 1993.</t>
  </si>
  <si>
    <t>559-566</t>
  </si>
  <si>
    <t>Journal of Atmospheric and Terrestrial Physics</t>
  </si>
  <si>
    <t>March 1993/April 1993</t>
  </si>
  <si>
    <t>60069629;60069629;60021331</t>
  </si>
  <si>
    <t>6601938554;7004580172;36928865700</t>
  </si>
  <si>
    <t>Khudukon, B. Z.;Tereshchenko, E. D.;Semenov, V. M.</t>
  </si>
  <si>
    <t>Russian Federation;Russian Federation</t>
  </si>
  <si>
    <t>Apatity;Moscow</t>
  </si>
  <si>
    <t>Polar Geophysical Institute, Russian Academy of Science;Russian Academy of Sciences</t>
  </si>
  <si>
    <t>60069629;60021331</t>
  </si>
  <si>
    <t>Khudukon B.Z.</t>
  </si>
  <si>
    <t>A VHF incoherent scatter receiving station at the Russian Polar Geophysical Institute: the current status and a brief description</t>
  </si>
  <si>
    <t>002191699390004I</t>
  </si>
  <si>
    <t>10.1016/0021-9169(93)90004-I</t>
  </si>
  <si>
    <t>2-s2.0-0027382640</t>
  </si>
  <si>
    <t>['two processes', 'two fractions', 'translationally activated', 'study examines', 'structurally similar', 'previously cloned', 'physical association', 'photosystem ii', 'normal light', 'light stress', 'induced proteins', 'high light', 'harvesting antennae', 'faster migrating', 'early light', 'cells transferred', 'cells growing', 'cells exposed', 'cbr gene', 'cbr decayed', 'bound equally', 'accelerated carotenogenesis', '18836 ).']</t>
  </si>
  <si>
    <t>The cbr gene, previously cloned from the unicellular green alga Dunaliella bardawil, is transcriptionally and translationally activated in parallel to accelerated carotenogenesis in response to light stress conditions. The product of cbr, structurally similar to Elips (early light-induced proteins of higher plants), is associated with a minor light harvesting complexes of photosystem II component (Levy, H., Gokhman, I., and Zamir, A. (1992) J. Biol. Chem. 267, 18831-18836). This study examines the relationship between the induction of Cbr and another plant response to light stress, the deepoxidation of violaxanthin to zeaxanthin. A parallel between the two processes was observed in cells exposed to high light, starved for sulfate, or treated with norflurazon, a herbicide inducing photooxidative damage by inhibiting de novo carotenoid biosynthesis. When highly illuminated cells were returned to normal light, Cbr decayed in parallel to the reepoxidation of zeaxanthin to violaxanthin. Evidence for the physical association of Cbr and zeaxanthin was provided by nondenaturing gel electrophoresis. In cells transferred from low to high light, zeaxanthin was associated with the faster migrating of two electrophoretically resolved fractions of light harvesting complexes of photosystem II that also contained Cbr. In cells growing under normal light, violaxanthin was bound equally to the two fractions. Based on these results we propose that Cbr/early light-induced proteins bind zeaxanthin to form photoprotective complexes within the light-harvesting antennae.</t>
  </si>
  <si>
    <t>20892-20896</t>
  </si>
  <si>
    <t>60017563;60017563;60017563;60017563</t>
  </si>
  <si>
    <t>57197269001;57136614000;6603764546;7006701679</t>
  </si>
  <si>
    <t>Levy, H.;Tal, T.;Shaish, A.;Zamir, A.</t>
  </si>
  <si>
    <t>Rehovot</t>
  </si>
  <si>
    <t>Weizmann Institute of Science Israel</t>
  </si>
  <si>
    <t>Levy H.</t>
  </si>
  <si>
    <t>Cbr, an algal homolog of plant early light-induced proteins, is a putative zeaxanthin binding protein</t>
  </si>
  <si>
    <t>2-s2.0-0027383306</t>
  </si>
  <si>
    <t>['tracheostomy closed', 'tidal volume', 'stimulation frequency', 'radio control', 'phrenic nerves', 'near future', 'minimum lifetime', 'microcontroller mc68hc705c8', 'living permanently', 'including battery', 'impulse duration', 'implant include', 'differing etiologies', 'diaphragm training', 'december 1992', 'chronic pacing', '83 months', '7 patients', '6 mmhg', '51 years', '5 mmhg', '4 patients', '33 hz', '3 years', '3 sec', '3 patients', '256 steps', '23 patients', '22 months', '20 ml', '198 ml', '15 patients', '14 months', '13 patients', '1000 œºsec']</t>
  </si>
  <si>
    <t>Between 1983 and 1992, 23 patients with complete ventilatory insufficiency of differing etiologies were treated with an eight channel implant (Medimplant Inc., Vienna) for fatigue free stimulation of both phrenic nerves. Data for 15 patients with high spinal cord lesions (ages: 9-51 years) are summarized: 1) level of lesion: C0, 3 patients; C1/C2, 4; C2/C3, 8; 2) time between incident and implantation: 3-14 months; 3) diaphragm training: 1-22 months; 4) chronic pacing: 5-83 months; 5) tracheostomy closed: 7 patients; 6) living permanently at home: 13 patients; 7) respiratory rate per minute: 12-17; 8) duration of inspiration: 1.0-1.3 sec; 9) tidal volume: 7- 20 ml/kg body weight; 10) volume per minute: 121-198 ml/kg body weight; 11) pH: 7.39-7.42; 12) pCO2: 22.9-38.6 mmHg; 13) pO2: 81.2-104.5 mmHg; and 14) died by December 1992, 4 patients. All currently available implants for phrenic pacing need an external power supply and radio control. The authors have developed and tested the first fully implantable device. Features of this implant include an electronic circuit based on the microcontroller MC68HC705C8; surface mounted technology (SMD); eight channels; constant current source adjustable to 5 mA in 256 steps, impulse duration: 100-1000 Œºsec, stimulation frequency: 1-33 Hz; and minimum lifetime: 3 years. The implant is programmed via bidirectional radio transmission using an IBM compatible computer. The dimensions, including battery, eight electrode connectors, and antenna, are 67 x 48 x 13 mm. The implant weighs 58 g. This new device may improve patients' safety and quality of life in the near future.</t>
  </si>
  <si>
    <t>ASAIO Journal</t>
  </si>
  <si>
    <t>60026929;60026929;60026929;60026929;60026929;60026929;60026929</t>
  </si>
  <si>
    <t>7102350895;7006689555;7003498879;7006289498;6701428797;7102221508;57192120277</t>
  </si>
  <si>
    <t>Mayr, W.;Bijak, M.;Girsch, W.;Holle, J.;Lanmuller, H.;Thoma, H.;Zrunek, M.</t>
  </si>
  <si>
    <t>Austria</t>
  </si>
  <si>
    <t>Vienna</t>
  </si>
  <si>
    <t>Allgemeines KrankenHaus Wien</t>
  </si>
  <si>
    <t>Mayr W.</t>
  </si>
  <si>
    <t>Multichannel stimulation of phrenic nerves by epineural electrodes. Clinical experience and future developments</t>
  </si>
  <si>
    <t>10.1097/00002480-199339030-00111</t>
  </si>
  <si>
    <t>2-s2.0-0027383667</t>
  </si>
  <si>
    <t>['thoracic segments', 'south wales', 'partial infilling', 'living arthropods', 'intersegmental bars', 'earlier ideas', 'body junction', 'antennae preserved', 'alimentary canal']</t>
  </si>
  <si>
    <t>A recently discovered specimen of Placoparia (Placoparia) cambriensis in shale from Lower Llanvirn rocks of South Wales has the antennae preserved, but more remarkably a partial infilling of the alimentary canal and traces of intersegmental bars and the coxa-body junction. The exoskeleton is reconstructed, including the previously unremarked ridge on the articulating half ring of the thoracic segments and pygidium. Building on earlier ideas and on descriptions of living arthropods, musculature in the extended and fully enrolled positions is suggested, and its operation in enabling the animal's activities. -Author</t>
  </si>
  <si>
    <t>109-118</t>
  </si>
  <si>
    <t>Philosophical Transactions - Royal Society of London, B</t>
  </si>
  <si>
    <t>Whittington, H. B.</t>
  </si>
  <si>
    <t>Whittington H.</t>
  </si>
  <si>
    <t>Anatomy of the Ordovician trilobite Placoparia</t>
  </si>
  <si>
    <t>10.1098/rstb.1993.0008</t>
  </si>
  <si>
    <t>2-s2.0-0027384456</t>
  </si>
  <si>
    <t>ATM-8813454</t>
  </si>
  <si>
    <t>['¬© 1992', 'zenith angle', 'varying spread', 'usually seen', 'two voltages', 'transmitting antennas', 'thus cast', 'sufficiently accurate', 'spectral power', 'spatial interferometry', 'sometimes asymmetry', 'significant information', 'shown first', 'several altitudes', 'section 6', 'section 5', 'section 4', 'section 3', 'section 2', 'scattering points', 'scattering distribution', 'scattering amplitudes', 'recovered power', 'raw power', 'random distributions', 'radial velocities', 'pulsed sounding', 'pulse series', 'puerto rico', 'present results', 'power scattered', 'polarization properties', 'polarization filtering', 'physical processes', 'phase behavior', 'obvious question', 'nearly specular', 'much like', 'mode points', 'meteor trails', 'linear modes', 'idi process', 'idi algorithm', 'horizontal plane', 'horizontal layers', 'frequency returns', 'frequency radars', 'fourier frequency', 'etc .)', 'en passant', 'easily interpreted', 'easily characterize', 'e region', 'doppler velocities', 'doppler sorting', 'dimensional locations', 'data volume', 'data taken', 'contracting sharply', 'contour maps', 'compression technique', 'combined power', 'characteristic mesospheric', 'calcultional uncertainties', 'better low', 'aspect sensitivity', 'april 1989', 'apparent points', 'analysis characterizes', 'altitude rather', 'allows us', 'air turbulence', 'aida campaign', '5 h', '175 mhz']</t>
  </si>
  <si>
    <t>MAPSTAR is a medium-frequency imaging Doppler interferometer (IDI) radar. In this paper we describe the radar and present results from 34.5 h of data taken during the AIDA campaign in Puerto Rico during April 1989. The IDI method uses several independent antennas and receivers, pulsed sounding, range-gating, Doppler sorting and spatial interferometry to determine a three-dimensional Doppler image of the rf scatterers within the volume being illuminated. The analysis characterizes any perturbation in the index of refraction that returns rf energy (clear-air turbulence, scattering from striations, meteor trails, etc.) in terms of the three-dimensional locations, Doppler velocities and scattering amplitudes and phases of a number of apparent points in space, called 'scattering points'. Scattering points are defined as those Fourier voltages whose phases on the several antennas agree on the direction in the sky of the source of that spectral power. We find that most of the power scattered from the mesosphere and E region can be described in this fashion. This allows us to replace, say, 10 complex voltages by two voltages and two coordinates locating the source. The IDI process is, en passant, a data-compression technique, reducing the data volume by a factor of 25-30 without losing any significant information. However, if we can so easily characterize the data as if discrete scattering points were responsible, the obvious question is: what physical processes do these scattering points actually represent? We don't complete an answer to this question here, but we do begin an answer with a description of some of their properties and behavior. We present in Section 2 a description of the hardware as designed and in Section 3 a description of its deployment in Puerto Rico, where the radar was tuned to 3.175 MHz and used the Arecibo Heating Facility's transmitters and transmitting antennas. In Section 4 we show the time domain data, in which the E region and several distinct mesospheric regions can be seen. We show the power vs altitude profile, which is typical of medium-frequency returns and describe the phase behavior of the returns, which can be used for tracking discrete targets such as TIDs and meteors. We describe in Section 5 the IDI algorithm, which involves Fourier transforming the several independent data streams and examining (for each pulse series, at each range-gate and at each Fourier frequency) the phases of the 10 complex Fourier voltages. When it is sufficiently accurate to represent the phase variations along the two linear distributions of antennas as linear with distance, we replace the 10 complex voltages with two voltages and two phase gradients. The data are thus cast into a form that is most easily interpreted as the result of scattering from a number of simultaneous discrete points. In Section 6 we describe some of the properties of these scattering points. The polarization properties of the points are shown first, since this is used for filtering the results that follow. We show the distribution of radial velocities with altitude for the ordinary, extraordinary and linear modes. The radial velocities show the characteristic mesospheric-scattering distribution of the ordinary-mode points (which was the transmitted mode), contrasted with the near-random distributions of the linear and extraordinary-mode points. This justifies the use of polarization filtering and introduces a powerful new filtering technique. Next we show the combined power of the scattering points (the 'recovered' power) and its variation with altitude and time. The recovered power looks very much like the raw power as usually seen by medium-frequency radars (one to several mesospheric regions plus the E region), except that it has somewhat better altitude resolution (being in altitude rather than range) and better low-altitude coverage due to ‚âà 10 dB better signal/noise. Skymaps of the scattering points (i.e. their locations in the horizontal plane) are shown at several altitudes, showing the varying spread and sometimes asymmetry, in their distribution. We then show the variation of the recovered power with zenith angle, demonstrating the aspect sensitivity of the returns, from nearly specular at 60 80 km, spreading out to a maximum around 90 100 km and contracting sharply to very mirror-like above that. The motions of the scattering points are explored with contour maps of horizontal layers and by calculating their three-dimensional mean motions. Estimates of the calcultional uncertainties are made for the locations and motions of the points. ¬© 1992.</t>
  </si>
  <si>
    <t>203-228</t>
  </si>
  <si>
    <t>100619766;60031706</t>
  </si>
  <si>
    <t>6603366505;7401507285</t>
  </si>
  <si>
    <t>Brosnahan, J. W.;Adams, G. W.</t>
  </si>
  <si>
    <t>Logan;</t>
  </si>
  <si>
    <t>Utah State University;La Salle Research Corp.</t>
  </si>
  <si>
    <t>60031706;100619766</t>
  </si>
  <si>
    <t>Brosnahan J.</t>
  </si>
  <si>
    <t>The MAPSTAR imaging Doppler interferometer (IDI) radar: description and first results</t>
  </si>
  <si>
    <t>10.1016/0021-9169(93)90067-9</t>
  </si>
  <si>
    <t>2-s2.0-0027385797</t>
  </si>
  <si>
    <t>ATM 90-20955</t>
  </si>
  <si>
    <t>['¬© 1993', 'unique features', 'taking advantage', 'potential applications', 'osa ),', 'new techniques', 'mst radar', 'middle atmosphere', 'experimental results']</t>
  </si>
  <si>
    <t>Taking advantage of the newly developed volume scattering model for MST radar and the unique features of the Chung Li VHF radar, several novel observational techniques have been developed and implemented. Techniques such as oblique spaced antenna (OSA), the frequency domain analysis of spaced antenna data, the full spectrum analysis (FSA) and the multifrequency frequency domain interferometer (FDI) will be discussed and experimental results will be presented. Potential applications of the new techniques to study the dynamics of the middle atmosphere will be discussed. ¬© 1993.</t>
  </si>
  <si>
    <t>1055-1066</t>
  </si>
  <si>
    <t>60024666;60024666</t>
  </si>
  <si>
    <t>25631010600;7403224755</t>
  </si>
  <si>
    <t>Liu, C. H.;Pan, C. J.</t>
  </si>
  <si>
    <t>Taiwan</t>
  </si>
  <si>
    <t>Taoyuan</t>
  </si>
  <si>
    <t>National Central University</t>
  </si>
  <si>
    <t>Liu C.</t>
  </si>
  <si>
    <t>New observational techniques for studying the dynamics of the middle atmosphere using the Chung Li VHF radar</t>
  </si>
  <si>
    <t>002191699390097I</t>
  </si>
  <si>
    <t>10.1016/0021-9169(93)90097-I</t>
  </si>
  <si>
    <t>2-s2.0-0027387478</t>
  </si>
  <si>
    <t>['vertical plane', 'two arrays', 'two 30', 'time scales', 'separation distance', 'sample data', 'one hemisphere', 'long antennas', 'identical instruments', 'global origin', 'global circuit', 'first days', 'field mill', 'electric field', 'detection electronics', 'cm radius', 'atmospheric current', 'antarctic plateau']</t>
  </si>
  <si>
    <t>The atmospheric current is measured by a sensor that uses a split-hemispheric conducting shell of 17.8-cm radius, separated by a thin Teflon insulating disk. The detection electronics are inside the sphere. In principle, the atmospheric current flows into one hemisphere, through the electronics where it is measured, and out the other hemisphere. The electric field is measured by a field mill of the rotating dipole type. The electric field sensing elements are two 30-cm-long antennas, driven to rotate in the vertical plane at 1800 rotations per minute. Two arrays of identical instruments have been deployed, separated by 600m, in order to distinguish between atmospheric electrical signals of local and global origin. The separation distance of the arrays was determined by the climatology of the Antarctic plateau. Sample data from the first days of operation at the South Pole indicate variations in the global circuit over time scales from minutes, to hours, to days. -from Authors</t>
  </si>
  <si>
    <t>2611-2618</t>
  </si>
  <si>
    <t>D2</t>
  </si>
  <si>
    <t>Journal of Geophysical Research</t>
  </si>
  <si>
    <t>Byrne, G. J.</t>
  </si>
  <si>
    <t>Byrne G.</t>
  </si>
  <si>
    <t>Ground-based instrumentation for measurements of atmospheric conduction current and electric field at the South Pole</t>
  </si>
  <si>
    <t>10.1029/92JD02303</t>
  </si>
  <si>
    <t>2-s2.0-0027387592</t>
  </si>
  <si>
    <t>['vertebrate systems', 'transmittercytochemical properties', 'target neurons', 'synaptic organization', 'reviews morphological', 'provided insights', 'possible roles', 'paper summarizes', 'olfactory glomeruli', 'neurons identified', 'lobe occur', 'instructive influence', 'insect brain', 'information processing', 'finestructural aspects', 'findings reviewed', 'copyright1993 wileyliss', 'american cockroach', 'afferent axons', '1993 wileyliss']</t>
  </si>
  <si>
    <t>Electron microscopy | Glial cells | Immunocytochemistry | Invertebrate brain | Neural development | Neuroanatomy | Neurons | Olfactory system</t>
  </si>
  <si>
    <t>Many insects possess a highly developed sense of smell. This paper summarizes the cellular and synaptic organization of the antennal (olfactory) lobe of the insect brain and then reviews morphological and finestructural aspects of the development of the lobe. Visualization of synapses between classes of neurons identified by physiological, morphological, or transmittercytochemical properties has provided insights into arrangements of contacts and their possible roles in information processing. Studies of development have revealed the requirement for afferent axons from the antenna for the formation of olfactory glomeruli, where virtually all of the synapses in the lobe occur, and have suggested the possibility that glial cells play a role in the instructive influence of the axons on their target neurons in the lobe. The findings reviewed in this paper are primarily from one representative hemimetabolous insect, the American cockroach, and one representative holometabolous insect, a hawkmoth, and comparisons are made with vertebrate systems when appropriate.1993 WileyLiss, Inc. Copyright1993 WileyLiss, Inc.</t>
  </si>
  <si>
    <t>260-280</t>
  </si>
  <si>
    <t>1059910X</t>
  </si>
  <si>
    <t>Microscopy Research and Technique</t>
  </si>
  <si>
    <t>60030807;60023324</t>
  </si>
  <si>
    <t>6701782875;7102144017</t>
  </si>
  <si>
    <t>Boeckh, J.;Tolbert, L. P.</t>
  </si>
  <si>
    <t>Germany;United States</t>
  </si>
  <si>
    <t>Regensburg;Tucson</t>
  </si>
  <si>
    <t>Universit√§t Regensburg;Arizona Research Laboratories</t>
  </si>
  <si>
    <t>Boeckh J.</t>
  </si>
  <si>
    <t>Synaptic organization and development of the antennal lobe in insects</t>
  </si>
  <si>
    <t>10.1002/jemt.1070240305</t>
  </si>
  <si>
    <t>2-s2.0-0027392775</t>
  </si>
  <si>
    <t>['usually reduced', 'substitution process', 'substitution medium', 'substitution damage', 'soluble components', 'soluble antigens', 'prolonged substitution', 'possible artefact', 'poecilocampa populi', 'plunge freezing', 'olfactory sensilla', 'insect specimens', 'insect antennae', 'increasing size', 'immunocytochemical studies', 'freezing damage', 'elevated temperatures', 'deliberately warming', 'cuticular surface', 'boreus hiemalis', 'bombyx mori', 'antennal branches', '40 œºm']</t>
  </si>
  <si>
    <t>Antheraea polyphemus | Bombyx mori | Boreus hiemalis | Cryofixation | Cryosubstitution | Drosophila melanogaster | Olfactory sensilla | Pheromone‚Äêbinding protein | Poecilocampa populi | Thermo‚Äê/hygroreceptive sensilla</t>
  </si>
  <si>
    <t>Methods of plunge freezing and freeze‚Äêsubstitution (FS) for insect antennae and similar body appendages are described. In these more or less cylindrical specimens, usually a layer below the cuticular surface of 10‚Äì15 Œºm thickness is well preserved without freezing damage, further inwards ice‚Äêcrystal ghosts of increasing size are encountered, but in the very centre of antennal branches (diameter ‚àº80 Œºm) of the silkmoth, Bombyx mori, freezing damage is usually reduced again. The frost‚Äêhardy species, Poecilocampa populi and Boreus hiemalis, exhibit regions free from freezing damage up to 40 Œºm below the cuticular surface. Secondary freezing damage in silkmoth sensory hairs is observed only after deliberately warming the specimens to ‚Äì43¬∞C for &gt;&gt;10 min before FS. Secondary artefacts due to the substitution process are investigated by comparison with freeze‚Äêetching and by comparing different FS media and protocols. Methanol is not recommended as a substitution medium for insect specimens. Structures particularly liable to substitution damage are the stimulus‚Äêconducting pore tubules of olfactory sensilla and the receptor cell membrane. Extraction of soluble components is more likely with pure organic solvents without added chemical fixing agents and with prolonged substitution at elevated temperatures. Such extraction may also be a possible artefact with soluble antigens in immunocytochemical studies. A review is given of the major achievements attained with these techniques in insect functional morphology and immunocytochemistry. ¬© 1993 Wiley‚ÄêLiss, Inc. Copyright ¬© 1993 Wiley‚ÄêLiss, Inc.</t>
  </si>
  <si>
    <t>488-504</t>
  </si>
  <si>
    <t>Steinbrecht, Rudolf Alexander</t>
  </si>
  <si>
    <t>Steinbrecht R.</t>
  </si>
  <si>
    <t>Freeze‚ÄêSubstitution for morphological and immunocytochemical studies in insects</t>
  </si>
  <si>
    <t>10.1002/jemt.1070240605</t>
  </si>
  <si>
    <t>2-s2.0-0027398974</t>
  </si>
  <si>
    <t>['tested directly', 'small size', 'selectively adhere', 'primary function', 'prevents resolution', 'like sensors', 'integral relationship', 'immediate environment1', 'electrophysiological approach', 'dynamic nature', 'different functions']</t>
  </si>
  <si>
    <t>The dynamic nature of neuronal growth cone filopodia led to the suggestion that the primary function of filopodia is to sample their immediate environment1-3, responding to and transducing environmental signals that affect growth cone behaviour4-6 and shape7-11. Filopodia seem well suited to serve as antenna-like sensors, their broad span allows sampling of information over a greatly enhanced radius, and forward-projecting filopodia encounter potential cues in the molecular terrain long before the advancing growth cone itself12. Filopodia in culture can serve structural roles13, exert mechanical tension 14-16 and selectively adhere to their surrounding17-20. Whether or not filopodia have a general sensory role has not been tested directly, largely because of their small size, which limits an electrophysiological approach, and their integral relationship with the parent growth cone, which prevents resolution of their different functions. Here we use surgical procedures to isolate individual filopodia from their parent growth cone and, by monitoring their morphology and calcium second messenger systems, we show that neuronal growth cone filopodia contain signal transduction mechanisms that allow autonomous responses and the transmission of distant environmental information to their parent growth cone. ¬© 1993 Nature Publishing Group.</t>
  </si>
  <si>
    <t>721-724</t>
  </si>
  <si>
    <t>60009226-60020329;60009226;60009226;60009226</t>
  </si>
  <si>
    <t>7102000268;6602465347;7003322688;7005402529</t>
  </si>
  <si>
    <t>Davenport, Roger W.;Dou, Ping;Rehder, Vincent;Kater, S. B.</t>
  </si>
  <si>
    <t>Tubingen;Fort Collins</t>
  </si>
  <si>
    <t>Max Planck Institute for Developmental Biology;Colorado State University</t>
  </si>
  <si>
    <t>60020329;60009226</t>
  </si>
  <si>
    <t>Davenport R.</t>
  </si>
  <si>
    <t>A sensory role for neuronal growth cone filopodia</t>
  </si>
  <si>
    <t>10.1038/361721a0</t>
  </si>
  <si>
    <t>2-s2.0-0027399767</t>
  </si>
  <si>
    <t>88-00341</t>
  </si>
  <si>
    <t>['thylakoid membrane', 'rights reserved', 'review discusses', 'prochlorothrix hollandica', 'prochloron sp', 'photosynthetic prokaryotes', 'photosynthetic apparatus', 'may indicate', 'increased dependence', 'harvesting structures', 'harvesting complexes', 'harvesting apparatus', 'functional association', 'fall within', 'diverse group', 'demonstrated capacity', 'cyclic photophosphorylation', 'chloroplast systems', 'anobacterial lineage', 'analysis yields']</t>
  </si>
  <si>
    <t>Chlorophyll | Cyanobacteria | Photosynthesis | Photosynthetic antenna | Prochlorococcus | Prochloron | Prochlorothrix | Thylakoid</t>
  </si>
  <si>
    <t>The prochlorophytes are a diverse group of photosynthetic prokaryotes that fall within the cy-anobacterial lineage, yet lack phycobilisomes as light harvesting structures. Instead, the prochlorophytes have a light-harvesting apparatus composed of the higher plant pigments chlorophylls a and b. This review discusses the evolutionary relationships among these bacteria, with focus on the structure and function of the photosynthetic apparatus. This analysis yields a consensus from studies both on Prochloron sp. and Prochlorothrix hollandica as to how the thylakoid membrane is organized. Overall, we propose that the structure of the light-harvesting complexes (LHC) from prochlorophytes is very different from those of chloroplast systems, and is evolutionarily very ancient. The functional association of the light-harvesting apparatus with photosystem I (PSI) in both Prochlorothrix and Prochloron, as well as a demonstrated capacity for PSI-dependent anoxygenic photosynthesis in Prochlorothrix, may indicate that there is an increased dependence on cyclic photophosphorylation in these organisms. Finally, the structure of the prochlorophyte thylakoid membrane is discussed with respect to the forces that drive thylakoid membrane stacking in prochlorophytes and chloroplasts. We suggest that the light-harvesting structures in prochlorophytes play little, if any, role in this process. ¬© 1993 Informa UK Ltd All rights reserved: reproduction in whole or part not permitted.</t>
  </si>
  <si>
    <t>43-59</t>
  </si>
  <si>
    <t>1040841X</t>
  </si>
  <si>
    <t>Critical Reviews in Microbiology</t>
  </si>
  <si>
    <t>60018475;60007903</t>
  </si>
  <si>
    <t>7004682381;7006861021</t>
  </si>
  <si>
    <t>Bullerjahn, George S.;Post, Anton F.</t>
  </si>
  <si>
    <t>United States;Israel</t>
  </si>
  <si>
    <t>Bowling Green;Jerusalem</t>
  </si>
  <si>
    <t>Bowling Green State University;Hebrew University of Jerusalem</t>
  </si>
  <si>
    <t>Bullerjahn G.</t>
  </si>
  <si>
    <t>The prochlorophytes: Are they more than just chlorophyll a/b-containing cyanobacteria??</t>
  </si>
  <si>
    <t>10.3109/10408419309113522</t>
  </si>
  <si>
    <t>2-s2.0-0027404991</t>
  </si>
  <si>
    <t>['¬© 1993', 'widely used', 'well known', 'type transducer', 'transducer positioning', 'rights reserved', 'radar systems', 'power beamwidth', 'plane wave', 'plane bounded', 'new technique', 'mhz pzt', 'like beam', 'lens attached', 'large reflector', 'iteratively adjust', 'focal point', 'experimental system', 'easily detected', 'copper reflector', 'cm diameter', 'acoustical society', '6 cm', '2 cm']</t>
  </si>
  <si>
    <t>It is well known that a point source located at the focal point of a parabolic reflector produces a pencil-like beam. Although such an arrangement is widely used as a transmitting/receiving antenna system in radar systems, it is not suitable for underwater acoustic imaging since a relatively large disk-type transducer and a large reflector are needed for high pressure transmission. In this paper a new technique is proposed to iteratively adjust the shape of a relatively small reflector, the transducer positioning, and the shape of a lens attached to the transducer so that hopefully a plane wave is generated at the plane bounded by the circularly symmetrical reflector edge. The resulting field distribution on the aperture is such that the beam is kept from spreading as the wave propagates forward. An experimental system was fabricated with a 2.5-MHz PZT (lead zirconate titanate) transducer of 2.5-cm diameter and a copper reflector of 12-cm diameter. The experimental results showed that the half-power beamwidth was 5.2 cm at 10-m depth and 2.6 cm at 6-m depth and an image of a letter ‚ÄúK‚Äù of 15 cm X 20 cm was easily detected at a distance of 5 m. ¬© 1993, Acoustical Society of America. All rights reserved.</t>
  </si>
  <si>
    <t>1166-1174</t>
  </si>
  <si>
    <t>60032144;60032144</t>
  </si>
  <si>
    <t>55364774500;7501833766</t>
  </si>
  <si>
    <t>Oh, Jong T.;Park, Song B.</t>
  </si>
  <si>
    <t>South Korea</t>
  </si>
  <si>
    <t>Daejeon</t>
  </si>
  <si>
    <t>Korea Advanced Institute of Science and Technology</t>
  </si>
  <si>
    <t>Oh J.</t>
  </si>
  <si>
    <t>Iterative design of a lensed transducer-reflector system for underwater acoustic imaging</t>
  </si>
  <si>
    <t>10.1121/1.405511</t>
  </si>
  <si>
    <t>2-s2.0-0027406060</t>
  </si>
  <si>
    <t>['¬© 1993', 'uncoupling receptor', 'two proteins', 'putative site', 'primary structure', 'phosphorylated receptors', 'locusta migratoria', 'identified arrestins', 'heliothis virescens', 'cationic region']</t>
  </si>
  <si>
    <t>antennae | Arrestin | insects | molecular cloning | primary structure</t>
  </si>
  <si>
    <t>Arrestin is supposed to be involved in uncoupling receptor-mediated second messenger cascades. Clones encoding proteins homologous to arrestin have been isolated from antennal cDNA libraries of Locusta migratoria and Heliothis virescens. Based on the size and several characteristic motifs, the two proteins are considered as members of different arrestin subtypes, which has also been found in Drosophila, lacks the regulatory acidic C-terminal. The putative site of interaction with phosphorylated receptors, a cationic region in the primary structure, is conserved in all identified arrestins from locust to human. ¬© 1993.</t>
  </si>
  <si>
    <t>69-80</t>
  </si>
  <si>
    <t>Cellular Signalling</t>
  </si>
  <si>
    <t>60018373;60018373;60018373;60018373</t>
  </si>
  <si>
    <t>6603037070;35851145100;7201508329;7103041183</t>
  </si>
  <si>
    <t>Raming, Klaus;Freitag, Joachim;Krieger, J√ºrgen;Breer, Heinz</t>
  </si>
  <si>
    <t>Stuttgart</t>
  </si>
  <si>
    <t>Universit√§t Hohenheim</t>
  </si>
  <si>
    <t>Raming K.</t>
  </si>
  <si>
    <t>Arrestin-substypes in insect antennae</t>
  </si>
  <si>
    <t>0898-6568(93)90009-B</t>
  </si>
  <si>
    <t>10.1016/0898-6568(93)90009-B</t>
  </si>
  <si>
    <t>2-s2.0-0027409166</t>
  </si>
  <si>
    <t>['two 2', 'transurethral hyperthermia', 'residual urine', 'prostates smaller', 'objective improvement', 'mean madsen', 'mean follow', 'major improvement', 'larger prostates', 'june 1991', 'june 1990', 'iversen score', 'ii patients', 'hour sessions', 'heating antenna', 'group ii', '9 months', '82 %).', '64 %).', '50 ml', '40 patients', '4 months', '39 patients', '05 ),', '01 ).']</t>
  </si>
  <si>
    <t>Heating antenna, length | Transurethral thermotherapy</t>
  </si>
  <si>
    <t>From June 1990 to June 1991, 79 poor surgical risk patients with benign prostatic hyperplasia (BPH) were treated with transurethral hyperthermia. The patients were divided into 2 treatment groups. In group I, 40 patients were treated by two 2-hour sessions at 44. 5 ¬∞ C and a heating antenna of 1 cm long. In group II, 39 patients received one 3-hour treatment session at a temperature of 46 ¬∞C and a 2-cm-long heating antenna. The mean follow-up period was 7.9 months for group I and 8.4 months for group II patients. In group I, 22 of 40 patients (55%) showed subjective and objective improvement. In group-II patients a major improvement was noted in 25 of 39 patients (64%). The patients in both groups were subdivided into those with prostates smaller or larger than 50 ml. Significantly better treatment results were obtained in patients with prostates smaller than 50 ml in group-I and group-II patients. The mean Madsen-Iversen score, residual urine and maximum flow rate improved significantly in 47% of groups-I patients with larger prostates and 62% of those with prostates &lt; 50 ml (p &lt; 0.05), and in 50% of group-II patients with prostates &gt; 50 ml and 82 % of those with prostates &lt; 50 ml (p &lt; 0.01). A temperature of 46 ¬∞C with a 2-cm-long heating antenna in patients with prostates &lt; 50 ml gave the best treatment results (82%).</t>
  </si>
  <si>
    <t>307-311</t>
  </si>
  <si>
    <t>60022851;60022851;60022851;60022851</t>
  </si>
  <si>
    <t>7005722264;6506874916;6603462973;35587701500</t>
  </si>
  <si>
    <t>Nissenkorn, I.;Rotbard, M.;Slutzker, D.;Bernheim, J.</t>
  </si>
  <si>
    <t>Connection between the length of the heating antenna and volume of the prostate in transurethral thermotherapy for benign prostatic hyperplasia</t>
  </si>
  <si>
    <t>10.1159/000474618</t>
  </si>
  <si>
    <t>2-s2.0-0027411907</t>
  </si>
  <si>
    <t>National Institute on Deafness and Other Communication Disorders</t>
  </si>
  <si>
    <t>R01DC000588</t>
  </si>
  <si>
    <t>NIDCD</t>
  </si>
  <si>
    <t>['synchronous development', 'sensory neurons', 'pupal ecdysteroids', 'premature removal', 'premature expression', 'olfactory system', 'olfactory development', 'odorant sensitivity', 'odes ).', 'functional maturation', 'findings suggest', 'ecdysteroid hormones', 'culturing tissue', 'chaging levels', 'anatomically complete', 'adult metamorphosis', 'adult emergence']</t>
  </si>
  <si>
    <t>antenna | ecdysone | Manduca | OBP | ODE | odorant binding protein | pheromone</t>
  </si>
  <si>
    <t>During adult metamorphosis, the moth olfactory neurons and their glia‚Äêlike support cells pass through a coordinated and synchronous development. By 60% of development, the olfactory system is anatomically complete, but functional maturation does not occur until about 90% of development. Maturation is characterized by the onset of odorant sensitivity in the sensory neurons and the expression of certain antennal‚Äêspecific proteins including odorant binding proteins (OBPs) and odorant degrading enzymes (ODEs). The OBPs have been cloned and sequenced, and are thus useful models for investigating the molecular mechanisms coordinating final maturation of the developing olfactory system. The ecdysteroid hormones have been observed to regulate many cellular level neuronal changes during adult metamorphosis. In particular, the late pupal decline in ecdysteroids is known to influence programmed death of nerves and muscles at the end of metamorphoses. Experiments are presented here which indicate that this decline in ecdysteroids also induces the expression of the OBPs. Normal OBP expression occurs 35‚Äì40 h before adult emergence. In culture, OBP expression could be induced at least 90 h before adult emergence by the premature removal of ecdysteroid. This premature expression was blocked by culturing tissue in the presence of the biologically active ecdysteroid 20‚Äêhydroxyecdysone. These findings suggest that maturation of the olfactory system is regulated by the decline in ecdysteroids, and support the view that olfactory development, in general, may be coordinated by chaging levels of pupal ecdysteroids. ¬© 1993 John Wiley &amp; Sons, Inc. Copyright ¬© 1993 John Wiley &amp; Sons, Inc.</t>
  </si>
  <si>
    <t>581-597</t>
  </si>
  <si>
    <t>60018179;60025111;60025038;60025283</t>
  </si>
  <si>
    <t>7202412220;6701321945;57212380242;35519038900</t>
  </si>
  <si>
    <t>Vogt, Richard G.;Rybczynski, Robert;Cruz, Manuel;Lerner, Michael R.</t>
  </si>
  <si>
    <t>United States;United States;United States;United States</t>
  </si>
  <si>
    <t>New Haven;Chapel Hill;Berkeley;Columbia</t>
  </si>
  <si>
    <t>Boyer Center for Molecular Medicine;The University of North Carolina at Chapel Hill;University of California, Berkeley;University of South Carolina</t>
  </si>
  <si>
    <t>60025283;60025111;60025038;60018179</t>
  </si>
  <si>
    <t>Vogt R.</t>
  </si>
  <si>
    <t>Ecdysteroid regulation of olfactory protein expression in the developing antenna of the tobacco hawk moth, Manduca sexta</t>
  </si>
  <si>
    <t>10.1002/neu.480240505</t>
  </si>
  <si>
    <t>2-s2.0-0027416442</t>
  </si>
  <si>
    <t>R01CA023594</t>
  </si>
  <si>
    <t>['wiley company', 'vivo experiments', 'turp ).', 'transurethral resection', 'symptomatic bph', 'prostatic urethra', 'prostatic tissues', 'periurethral tissues', 'microwave applicator', 'local hyperthermia', 'intended region', 'inc .,', 'hyperthermia may', 'foley catheter', 'foley balloon', 'elderly men', 'designed around', 'common disease', 'antenna choke', '915 mhz']</t>
  </si>
  <si>
    <t>benign prostatic hyperplasia | foley catheter | hyperthermia | intracavitary | microwave antenna | transurethral</t>
  </si>
  <si>
    <t>Benign prostatic hyperplasia (BPH) is a common disease of elderly men. The current definitive treatment for urinary obstruction caused by this disease is surgery (transurethral resection of the prostate, or TURP). Recent evidence suggests that hyperthermia may be a useful nonsurgical alternative for treatment of symptomatic BPH. A transurethral microwave applicator has been designed around a Foley catheter for delivery of local hyperthermia to the prostate. The Foley balloon is used to maintain the antenna position within the prostatic urethra. The Foley catheter also features an antenna choke to confine power deposition to the intended region. The antenna is a coaxial dipole designed to operate at 915 MHz. Qualitative and quantitative specific absorption rate (SAR) patterns are shown for this antenna. In vivo experiments in dog prostate demonstrate that temperatures &gt;42¬∞C can be obtained &gt; 1 cm away from the catheter, while maintaining a maximum urethral temperature of 47¬∞C to 48¬∞C. Histology obtained acutely after the hyperthermia treatments showed minimal damage to the periurethral tissues. We conclude from these studies that this microwave applicator is capable of providing local hyperthermia to the prostatic tissues with a predictable and well‚Äêcircumscribed thermal distribution. ¬© 1993 Wiley‚ÄêLiss, Inc. Copyright ¬© 1993 Wiley‚ÄêLiss, Inc., A Wiley Company</t>
  </si>
  <si>
    <t>125-138</t>
  </si>
  <si>
    <t>The Prostate</t>
  </si>
  <si>
    <t>60030443-60001844-60030058;60001844;60001844;60030443;60001844;60030443-60001844;60001844</t>
  </si>
  <si>
    <t>7403531361;16245367600;7005967291;7003830659;7004387376;7003894176;7007000893</t>
  </si>
  <si>
    <t>Wong, Terence Z.;Jonsson, Eirikur;Hoopes, P. Jack;Trembly, B. Stuart;Heaney, John A.;Douple, Evan B.;Coughlin, Christopher T.</t>
  </si>
  <si>
    <t>Hanover;Boston;Lebanon</t>
  </si>
  <si>
    <t>Thayer School of Engineering at Dartmouth;Beth Israel Deaconess Medical Center;Dartmouth-Hitchcock Medical Center</t>
  </si>
  <si>
    <t>60030443;60030058;60001844</t>
  </si>
  <si>
    <t>Wong T.Z.</t>
  </si>
  <si>
    <t>A coaxial microwave applicator for transurethral hyperthermia of the prostate</t>
  </si>
  <si>
    <t>10.1002/pros.2990220205</t>
  </si>
  <si>
    <t>2-s2.0-0027418382</t>
  </si>
  <si>
    <t>['wiley blackwell', 'rights reserved', 'primary structure', 'peripheral antenna', 'individual members', 'gene clusters', 'far characterised', 'either 500', 'differential response', '650 nucleotides']</t>
  </si>
  <si>
    <t>The genome of Rhodopseudomonas palustris contains five antenna gene clusters, Œ±Œ≤a, Œ±Œ≤b, Œ±Œ≤c, Œ±Œ≤d and Œ±Œ≤e, which encode the light‚Äêharvesting peripheral antenna complex II polypeptides. The isolation and characterisation of the gene which encodes the Œ±e and Œ≤e polypeptides are reported. The primary structure of the Œ≤e polypeptide is identical to that of Œ≤b whilst the structure of Œ±e is different from the other Œ± subunits so far characterised. All five of the gene clusters were transcribed under high‚Äêlight conditions while under low‚Äêlight conditions only three were transcribed (Œ±Œ≤b, Œ±Œ≤d and Œ±Œ≤e). Furthermore, Northern‚Äêblot analysis showed that the gene clusters encode RNA transcripts of either 500 or 650 nucleotides. Individual members of the gene family showed a differential response in terms of the regulation of abundance of mRNA upon growth under either high‚Äêlight or low‚Äêlight intensities. Possible promoter sequences and operator sites upstream of the Œ±Œ≤b, Œ±Œ≤d and Œ±Œ≤e genes were located. Furthermore using puc‚ÄêlacZ fusions in trans in R. palustris, we were able to examine the positions of the promoter of the gene clusters. The significance of these observations with respect to the regulation, organization and role of the peripheral antenna is discussed. Copyright ¬© 1993, Wiley Blackwell. All rights reserved</t>
  </si>
  <si>
    <t>867-875</t>
  </si>
  <si>
    <t>European Journal of Biochemistry</t>
  </si>
  <si>
    <t>60025641;60025641;60025641;60025641;60007257</t>
  </si>
  <si>
    <t>7005687711;7801399442;56441471800;57192361157;7003825007</t>
  </si>
  <si>
    <t>TADROS, Monier H.;KATSIOU, Eleni;HOON, Mark A.;YURKOVA, Natalie;RAMJI, Dipak P.</t>
  </si>
  <si>
    <t>Freiburg im Breisgau;Heidelberg</t>
  </si>
  <si>
    <t>Universit√§t Freiburg im Breisgau;European Molecular Biology Laboratory Heidelberg</t>
  </si>
  <si>
    <t>60025641;60007257</t>
  </si>
  <si>
    <t>TADROS M.H.</t>
  </si>
  <si>
    <t>Cloning of a new antenna gene cluster and expression analysis of the antenna gene family of Rhodopseudomonas palustris</t>
  </si>
  <si>
    <t>10.1111/j.1432-1033.1993.tb18315.x</t>
  </si>
  <si>
    <t>2-s2.0-0027430150</t>
  </si>
  <si>
    <t>National Institute of Allergy and Infectious Diseases</t>
  </si>
  <si>
    <t>R37AI023253</t>
  </si>
  <si>
    <t>NIAID</t>
  </si>
  <si>
    <t>['unique neuron', 'unidentified neurons', 'ultrastructural characteristics', 'synaptic processing', 'synaptic connections', 'sensory neurons', 'sensory axons', 'sends branches', 'send information', 'ramification pattern', 'primary neurite', 'possible role', 'olfactory information', 'neuron projects', 'modulatory influences', 'may modulate', 'low frequency', 'high ratio', 'finding suggests', 'electron microscope', 'contralateral protocerebrum', 'cell body', 'bilateral branches', 'antennal lobes', 'antennal lobe']</t>
  </si>
  <si>
    <t>double labeling | immunocytochemistry | immunogold</t>
  </si>
  <si>
    <t>The two antennal lobes, the primary olfactory centers of the brain, of the moth Manduca sexta each contain one neuron that displays serotonin immunoreactivity. The neuron projects out of the antennal lobe and sends branches into ipsi‚Äê and contralateral protocerebral areas. An axon‚Äêlike process extends from the contralateral protocerebrum to, and terminates in, the contralateral antennal lobe. In order to begin to investigate the possible role of this unique neuron in olfactory information processing, we have used laser scanning confocal microscopic and electron microscopic immunocytochemical techniques to study the ramification pattern, ultrastructural characteristics, and synaptic connections of the neuron in the antennal lobes of female adult Manduca sexta. The neuron ramifies extensively in the antennal lobe contralateral to the cell body. The ramifications, mainly in the base and center of each glomerulus, do not overlap with those of the sensory axons from the antenna. This finding suggests that the serotonin‚Äêimmunoreactive neuron may not receive direct input from sensory neurons, and that it may modulate the activity of the neurons of the antennal lobe rather than that of the sensory neurons. In the electron microscope, the neuron exhibits large dense‚Äêcored vesicles and small, clear round vesicles. In the antennal lobe ipsilateral to the cell body, the primary neurite of the serotonin‚Äêimmunoreactive neuron is unbranched and lacks detectable synaptic connections. The ramifications in the contralateral antennal lobe, however, participate in synaptic connections. At very low frequency, contralateral branches form synapses onto unlabeled processes and also receive synapses from unidentified neurons in the glomeruli, indicating that the neuron may participate directly in synaptic processing of olfactory information. The high ratio of output to input synapses made by the serotonin‚Äêimmunoreactive processes in the contralateral antennal lobe is consistent with the idea that this neuron may receive synaptic input via its bilateral branches in the protocerebrum and then send information to the contralateral antennal lobe where the neuron may exert feedback or modulatory influences on olfactory information processing in the glomeruli. ¬© 1993 Wiley‚ÄêLiss, Inc. Copyright ¬© 1993 Wiley‚ÄêLiss, Inc.</t>
  </si>
  <si>
    <t>60010065;60010065;60010065</t>
  </si>
  <si>
    <t>57111015900;7102144017;7102653635</t>
  </si>
  <si>
    <t>Sun, X. J.;Tolbert, L. P.;Hildebrand, J. G.</t>
  </si>
  <si>
    <t>Sun X.</t>
  </si>
  <si>
    <t>Ramification pattern and ultrastructural characteristics of the serotonin‚Äêimmunoreactive neuron in the antennal lobe of the moth Manduca sexta: A laser scanning confocal and electron microscopic study</t>
  </si>
  <si>
    <t>10.1002/cne.903380103</t>
  </si>
  <si>
    <t>2-s2.0-0027436894</t>
  </si>
  <si>
    <t>['tegumentary neuropil', 'spiny lobster', 'serial reconstructions', 'panulirus argus', 'mechanical stimulation', 'innervation pattern', 'equilibrium responses', 'consistent pattern', 'central organization', 'backfills indicate', 'antennular nerves', 'antennular motoneurons']</t>
  </si>
  <si>
    <t>biocytin | brain | crustacean | deutocerebrum | Panulirus argus</t>
  </si>
  <si>
    <t>The central organization of antennular motoneurons in the brain of the spiny lobster, Panulirus argus, was analyzed by combining biocytin backfills with serial reconstructions of the antennular nerves and the brain. Eighty‚Äênine to 99 antennular motoneurons occur in each hemibrain. The somata of the motoneurons are distributed in a consistent pattern in two complex soma clusters, the ventral paired mediolateral cluster of the deutocerebrum and the dorsal unpaired median cluster of the tritocerebrum. The motoneurons arborize ipsilaterally in the lateral and median antennular neuropils and the tegumentary neuropil. The backfills indicate a minimum of five morphological types of motoneurons with different arborization patterns. The innervation pattern of the motoneurons, together with previously reported innervation patterns of antennular sensory afferents, suggest that the lateral antennular neuropil is a lower motor center driving local antennular reflexes in response to chemical and mechanical stimulation of the antennule, whereas the median antennular neuropil is a lower motor center for equilibrium responses. ¬© 1993 Wiley‚ÄêLiss, Inc. Copyright ¬© 1993 Wiley‚ÄêLiss, Inc.</t>
  </si>
  <si>
    <t>583-594</t>
  </si>
  <si>
    <t>60013959-60011604;60013959</t>
  </si>
  <si>
    <t>35590709300;7006343779</t>
  </si>
  <si>
    <t>Schmidt, Manfred;Ache, Barry W.</t>
  </si>
  <si>
    <t>Gainesville;Berlin</t>
  </si>
  <si>
    <t>University of Florida;Technical University of Berlin</t>
  </si>
  <si>
    <t>60013959;60011604</t>
  </si>
  <si>
    <t>Schmidt M.</t>
  </si>
  <si>
    <t>Antennular projections to the midbrain of the spiny lobster. III. Central arborizations of motoneurons</t>
  </si>
  <si>
    <t>10.1002/cne.903360410</t>
  </si>
  <si>
    <t>2-s2.0-0027441152</t>
  </si>
  <si>
    <t>['¬© 1993', 'rights reserved', 'processors perform', 'paper investigates', 'isotropic noise', 'fourier transformed', 'band processors', 'acoustical society']</t>
  </si>
  <si>
    <t>In frequency domain antenna array processing, broadband signals received on elements are Fourier transformed and each bin is processed using narrow-band processors. This paper investigates how these processors perform at different frequency bins for a given array geometry. An analysis is presented to show the effect of isotropic noise on the performance of two array processors. The array processors considered are an element space processor and a beam space processor. ¬© 1993, Acoustical Society of America. All rights reserved.</t>
  </si>
  <si>
    <t>372-377</t>
  </si>
  <si>
    <t>Godara, Lal C.</t>
  </si>
  <si>
    <t>Canberra</t>
  </si>
  <si>
    <t>University of New South Wales at Australian Defence Force Academy</t>
  </si>
  <si>
    <t>Godara L.C.</t>
  </si>
  <si>
    <t>On the frequency response of antenna array processors</t>
  </si>
  <si>
    <t>10.1121/1.405617</t>
  </si>
  <si>
    <t>2-s2.0-0027447684</t>
  </si>
  <si>
    <t>['¬© 1992', 'wind radar', 'wave spectrum', 'undergo tide', 'two decades', 'spaced antenna', 'single site', 'sees wind', 'scatteer radar', 'reflecton technique', 'reflection velocities', 'reflection technique', 'reflection measurements', 'raw data', 'paper reports', 'observations made', 'new methods', 'modes adopted', 'measure motions', 'lower thermosphere', 'limited period', 'like changes', 'hf partial', 'helmholtz waves', 'greater heights', 'good representation', 'full potential', 'face value', 'emissions near', 'different sets', 'data reduction', 'current methods', 'complete agreement', 'certain measurers', 'basic mode', 'applied successfully', 'ambient winds', '97 km', '95 km', '80 km', '175 mhz', '100 km']</t>
  </si>
  <si>
    <t>The MF/HF partial-reflection technique of observing the mesosphere and lower thermosphere has been employed for more than two decades to measure motions, but there has never been complete agreement as to what motions were being detected. This paper reports on observations made during a major international campaign-AIDA '89-that was initiated with the objective of resolving this question. The partial-reflection system employed was an Imaging Doppler Interferometer operating at 3.175 MHz, but it stands here as a prototype for all MF/HF partial-reflection radar systems: its raw data were analyzed both in its own basic mode, derived on the assumption that it sees wind-borne multiple scattering centers and in modes adopted by other interferometric and 'spaced antenna' systems. The motions thus revealed are compared here with those found by what we consider to be more certain measurers of winds: an incoherent-scatteer radar at heights of 65-95 km, a meteor-wind radar at heights of 80-100 km and a Fabry-Perot interferometer measuring 0(1S) emissions near a height of 97 km. Comparisons of the different sets of observations oblige us to conclude that 1. (1) MF/HF partial-reflection systems may be expected to give a good representation of ambient winds up to a height of about 80 km; 2. (2) they fail to give a consistently reliable measurement of the ambient winds above a height of about 80 km 3. (3) they yield, at the greater heights, what appears in our data to be some convolution of the horizontal phase velocities of atmospheric gravity waves, with the wave spectrum having been modified by passage through the underlying wind system and containing, on occasion, locally generated Kelvin-Helmholtz waves; and 4. (4) when the underlying winds change, the local wave spectrum will change in response and, in MF/HF partial-reflection measurements, will give the appearance of a changing local wind: if the underlying winds undergo tidal changes, the wave spectrum will undergo tide-like changes that will masquerade as true tidal winds. These results are, of course, limited to a single site over a limited period of observation. Nevertheless, taken at face value they suggest that current methods of data reduction are inappropriate for partial-reflection velocities at heights above 80 km and that new methods of data reduction, perhaps extending certain older methods that have been applied successfully in the past to total-reflection measurements, should be employed in their place if the full potential of the MF/HF partial-reflecton technique is to be realized. ¬© 1992.</t>
  </si>
  <si>
    <t>241-287</t>
  </si>
  <si>
    <t>100776303;60031706;100619766;105785223;100776303;100776303;100776303-60021243</t>
  </si>
  <si>
    <t>7005570487;7401507285;6603366505;6602107314;7006172242;6603960263;6602177985</t>
  </si>
  <si>
    <t>Hines, C. O.;Adams, G. W.;Brosnahan, J. W.;Djuth, F. T.;Sulzer, M. P.;Tepley, C. A.;Van Baelen, J. S.</t>
  </si>
  <si>
    <t>United States;United States;United States;United States;United States</t>
  </si>
  <si>
    <t>Logan;Boulder;El Segundo;Arecibo;</t>
  </si>
  <si>
    <t>Utah State University;National Center for Atmospheric Research;Geospacc Research, Inc.;Arecibo Observatory;La Salle Research Corp.</t>
  </si>
  <si>
    <t>60031706;60021243;105785223;100776303;100619766</t>
  </si>
  <si>
    <t>Hines C.</t>
  </si>
  <si>
    <t>Multi-instrument observations of mesospheric motions over Arecibo: comparisons and interpretations</t>
  </si>
  <si>
    <t>002191699390069B</t>
  </si>
  <si>
    <t>10.1016/0021-9169(93)90069-B</t>
  </si>
  <si>
    <t>2-s2.0-0027449530</t>
  </si>
  <si>
    <t>['whole mount', 'tuh eye', 'situ hybridization', 'results demonstrated', 'regulatory transcripts', 'r functions', 'r function', 'profound suppression', 'mothers pass', 'mothers carrying', 'influence exerted', 'homozygous tuh', 'homozygous mothers', 'homeotic mutant', 'head defects', 'controlling tuh', 'class c', 'class b', 'b transcription', 'b protein', 'appears normal', '3 offspring', '3 misregulates', '3 expression', '3 embryos', '3 abd', '21 abd']</t>
  </si>
  <si>
    <t>Abdominal-B (Abd-B) mutants of the bithorax-complex (BX-C) were studied in trans with tuh-3 to evaluate their interactions with this homeotic mutant and the maternal effect locus (tuh-1) controlling tuh-3 expression. Head defects occur in tuh-3 offspring from tuh-1(h) homozygous mothers, while genital defects occur in homozygous tuh-3 offspring from mothers carrying the tuh- 1(g) allele. The influence exerted by the tuh-1 maternal effects on tuh-3 Abd-B transcript distribution was evaluated by whole mount in situ hybridization. Results demonstrated that: (1) of the 21 Abd-B mutants tested, head defects were produced by SGA62, 1127(B), 1127(O) and tuh-3, with 1127(B) and tuh-3 as the only mutants to require the head defect maternal effect for expression; (2) one specific cluster of regulatory (r) mutants, Uab1, 65 and 1127(B), enhanced penetrance and expressivity of tuh-3 head defects; (3) the most profound suppression of head defect penetrance occurred when Abd-B mutants eliminated the morphogenetic (m) and r functions; (4) genital defects increased in frequency in tuh-3/Abd-B mutant trans-heterozygotes with loss of r function; (5) Abd-B transcription (class A, class B, class C) appears normal in tuh-3 embryos when their mothers pass on the tuh-1(h) head defect maternal effect, whereas the regulatory transcripts (class B and class C) are reduced when tuh-3 mothers pass on the tuh-1(g) genital disc maternal effect; (5) tuh eye-antennal imaginal discs express ABD-B protein; and (6) tuh-3 misregulates both m and r function of Abd-B.</t>
  </si>
  <si>
    <t>593-604</t>
  </si>
  <si>
    <t>60022144;60022144;60022144;60022144</t>
  </si>
  <si>
    <t>7201509177;7101786321;7202654156;6505773275</t>
  </si>
  <si>
    <t>Kuhn, D. T.;Mack, J. A.;Duan, C.;Packert, G.</t>
  </si>
  <si>
    <t>Orlando</t>
  </si>
  <si>
    <t>University of Central Florida</t>
  </si>
  <si>
    <t>Kuhn D.</t>
  </si>
  <si>
    <t>Tumorous-head (tuh-1; tuh-3) modulates Abd-B bithorax-complex functions in Drosophila melanogaster</t>
  </si>
  <si>
    <t>2-s2.0-0027459543</t>
  </si>
  <si>
    <t>['¬© 1993', 'square process', 'simple least', 'rights reserved', 'relatively simple', 'received signals', 'proposed method', 'propagation operator', 'priori knowledge', 'new method', 'method relies', 'good accuracy', 'geometric reference', 'equal number', 'array shape', 'antenna distortion', 'acoustical society']</t>
  </si>
  <si>
    <t>In this paper, a new method for array shape calibration is presented. This method can be applied to any antenna distortion, it does not require any a priori knowledge about the sources, and it is relatively simple to implement. A number of unknown remote point sources, propagating plane waves, are required to implement this method. An equal number of sensors having known relative positions are used as a geometric reference. The method relies on a propagation operator, called the propagator, which can be estimated from the cross spectral matrix of the received signals through a simple least-square process. The performances of the proposed method are illustrated through simulations by showing how good accuracy in source bearing estimation, by both the classical beamforming method and MUSIC, can be recovered when the array shape is estimated. ¬© 1993, Acoustical Society of America. All rights reserved.</t>
  </si>
  <si>
    <t>1987-1994</t>
  </si>
  <si>
    <t>Marcos, Sylvie</t>
  </si>
  <si>
    <t>Marcos S.</t>
  </si>
  <si>
    <t>Calibration of a distorted towed array using a propagation operator</t>
  </si>
  <si>
    <t>10.1121/1.406712</t>
  </si>
  <si>
    <t>2-s2.0-0027460568</t>
  </si>
  <si>
    <t>U.S. Department of Health and Human Services</t>
  </si>
  <si>
    <t>2 pol CA42745-04</t>
  </si>
  <si>
    <t>HHS</t>
  </si>
  <si>
    <t>['wise manner', 'uniformly illuminated', 'rights reserved', 'radiating aperture', 'paper develops', 'much simpler', 'measurements show', 'mathematically replaced', 'individual sub', 'field regions', 'field patterns', 'experimental measurements', 'euam ).', 'aperture fields', 'aperture antennas']</t>
  </si>
  <si>
    <t>Antennas | Arrays | Hyperthermia | Microwaves | Near-field</t>
  </si>
  <si>
    <t>This paper develops and presents an application of Huygen's principle herein referred to as the equivalent uniformly illuminated aperture method (EUAM). This method is used to predict the E-field patterns of aperture antennas in both the near- and far-field regions. In applying this method the radiating aperture is mathematically replaced by an array of smaller, uniformly illuminated aperture sources. Thus the true aperture field is approximated in a step-wise manner by the individual sub-apertures that are uniformly illuminated by the field at the point on the aperture where the sub-aperture is located. This method is suitable for analysing any antenna if its aperture fields are known. Comparisons are made between this method, an equivalent dipole method, and experimental measurements. These calculations and measurements show that the EUAM is more accurate (especially in the near-field region), is much simpler to implement, and requires less execution time than the equivalent dipole method. ¬© 1993 Informa UK Ltd All rights reserved: reproduction in whole or part not permitted.</t>
  </si>
  <si>
    <t>37-49</t>
  </si>
  <si>
    <t>60008724;60008724;60008724</t>
  </si>
  <si>
    <t>6507004320;55876267500;7004721662</t>
  </si>
  <si>
    <t>Takemoto-Hambleton, R. M.;Zhang, Y.;Joines, W. T.</t>
  </si>
  <si>
    <t>Durham</t>
  </si>
  <si>
    <t>Duke University</t>
  </si>
  <si>
    <t>Takemoto-Hambleton R.</t>
  </si>
  <si>
    <t>Modelling aperture antennas in the near- and far-Field regions using subarrays of equivalent uniformly illuminated apertures</t>
  </si>
  <si>
    <t>10.3109/02656739309061477</t>
  </si>
  <si>
    <t>2-s2.0-0027460663</t>
  </si>
  <si>
    <t>['unconditioned stimulus', 'treatments resulted', 'transient changes', 'training procedures', 'term storage', 'term acquisition', 'sucrose solution', 'spike frequencies', 'sensitizing stimulus', 'second series', 'second group', 'response behavior', 'proboscis ),', 'physiological experiments', 'one group', 'neuron showed', 'neuron belongs', 'mushroom bodies', 'minute range', 'lateral protocerebrum', 'functionally analyzed', 'frequency modulations', 'first series', 'extrinsic cells', 'extensive arborizations', 'effect observed', 'differential conditioning', 'different spike', 'cs +.', 'conditioning effect', 'conditioned stimulus', 'associative nature']</t>
  </si>
  <si>
    <t>1. Sensitization and classical odor conditioning of the proboscis extension reflex were functionally analyzed by repeated intracellular recordings from a single identified neuron (PE1-neuron) in the central bee brain. This neuron belongs to the class of 'extrinsic cells' arising from the pedunculus of the mushroom bodies and has extensive arborizations in the median and lateral protocerebrum. The recordings were performed on isolated bee heads. 2. Two different series of physiological experiments were carried out with the use of a similar temporal succession of stimuli as in previous behavioral experiments. In the first series, one group of animals was used for a single conditioning trial [conditioned stimulus (CS), carnation; unconditioned stimulus (US), sucrose solution to the antennae and proboscis), a second group was used for sensitization (sensitizing stimulus, sucrose solution to the antennae and/or proboscis), and the third group served as control (no sucrose stimulation). In the second series, a differential conditioning paradigm (paired odor CS+, carnation; unpaired odor CS-, orange blossom) was applied to test the associative nature of the conditioning effect. 3. The PE1-neuron showed a characteristic burstlike odor response before the training procedures. The treatments resulted in different spike- frequency modulations of this response, which were specific for the nonassociative and associative stimulus paradigms applied. During differential conditioning, there are dynamic up and down modulations of spike frequencies and of the DC potentials underlying the responses to the CS+. Overall, only transient changes in the minute range were observed. 4. The results of the sensitization procedures suggest two qualitatively different US pathways. The comparison between sensitization and one-trial conditioning shows differential effects of nonassociative and associative stimulus paradigms on the response behavior of the PE1-neuron. The results of the differential conditioning procedure reveal that the effect observed for the one-trial conditioning paradigm is of an associative nature and that there might be modulations, which are specific for single and multiple trial conditioning procedures. It is hypothesized that the PE1-neuron is a possible element involved in the short-term acquisition, rather than in the long-term storage, of an associative olfactory memory in the honeybee.</t>
  </si>
  <si>
    <t>609-625</t>
  </si>
  <si>
    <t>Journal of Neurophysiology</t>
  </si>
  <si>
    <t>Mauelshagen, J.</t>
  </si>
  <si>
    <t>Berlin</t>
  </si>
  <si>
    <t>Freie Universit√§t Berlin</t>
  </si>
  <si>
    <t>Mauelshagen J.</t>
  </si>
  <si>
    <t>Neural correlates of olfactory learning paradigms in an identified neuron in the honeybee brain</t>
  </si>
  <si>
    <t>10.1152/jn.1993.69.2.609</t>
  </si>
  <si>
    <t>2-s2.0-0027466055</t>
  </si>
  <si>
    <t>['western blotting', 'western blots', 'structural similarity', 'significantly inhibited', 'present study', 'monoclonal antibodies', 'molecular mass', 'molecular biology', 'membrane preparations', 'initial investigation', 'identified producing', 'h exchange', 'functional assays', 'electrogenic exchange', 'electrogenic antiporter', 'denaturing conditions', 'border membranes', 'assayed immunohistochemically', 'antennal gland', 'accommodate na', '185 kda']</t>
  </si>
  <si>
    <t>acridine orange | amiloride | brush-border membrane | hepatopancreas | Homarus americanus | immunohistochemistry | lobster | sodium/hydrogen exchange | Western blotting</t>
  </si>
  <si>
    <t>We have previously published evidence that suggests that Na/H exchange in crustacean and echinoderm epithelia occurs by an electrogenic antiporter protein with two external cation binding sites that accommodate Na, amiloride, or Ca and display a 2:1 monovalent cation antiport stoichiometry. The present study is an initial investigation into the molecular biology of this invertebrate electrogenic exchanger to ascertain its structural similarity to the analogous vertebrate electroneutral antiport system. A panel of monoclonal antibodies was prepared against components of lobster hepatopancreatic epithelial brush-border membranes and assayed immunohistochemically and by Western blotting. The antibodies were tested further in functional assays for their ability to interfere with electrogenic 2 Na/1 H antiport in isolated hepatopancreatic brush-border membrane vesicles. One cell line was identified producing an antibody that significantly inhibited the electrogenic exchange of cations by these membrane preparations and recognized a single protein band on Western blots of hepatopancreas, antennal gland, and gill epithelia corresponding to a molecular mass of 185 kDa. The existence of such an antibody probe may facilitate the purification of the electrogenic antiporter under denaturing conditions, in in vitro expression systems, or in prokaryotic expression libraries.</t>
  </si>
  <si>
    <t>4 33-4</t>
  </si>
  <si>
    <t>American Journal of Physiology - Regulatory Integrative and Comparative Physiology</t>
  </si>
  <si>
    <t>60013791;60013791;60013791;60013791</t>
  </si>
  <si>
    <t>6603694064;6507366056;57220273427;7006417406</t>
  </si>
  <si>
    <t>De Couet, H. G.;Busquets-Turner, L.;Gresham, A.;Ahearn, G. A.</t>
  </si>
  <si>
    <t>Honolulu</t>
  </si>
  <si>
    <t>University of Hawai ªi at MƒÅnoa</t>
  </si>
  <si>
    <t>De Couet H.G.</t>
  </si>
  <si>
    <t>Electrogenic 2 Na/1 H antiport in crustacean epithelium is inhibited by a monoclonal antibody</t>
  </si>
  <si>
    <t>2-s2.0-0027466659</t>
  </si>
  <si>
    <t>['well tolerated', 'urethral catheter', 'unique device', 'type probe', 'transurethral route', 'surgical treatment', 'sole antenna', 'single l', 'simple method', 'residue decreases', 'radiometry ).', 'prostcare apparatus', 'preliminary report', 'patients mention', 'microwave heating', 'mhz generator', 'medical treatment', 'madsen score', 'introduced within', 'hour session', 'endorectal route', 'coaxial antennae', 'bruker spectrospin', 'allows us', '76 patients', '53 ml', '5 ml', '3 months', '18 months']</t>
  </si>
  <si>
    <t>Hyperthermia | Radiometry | Thermotherapy</t>
  </si>
  <si>
    <t>Up to now control of the microwave heating of the prostate was only possible with rectal or urethral surface catheters. This problem has finally been solved with the help of the Prostcare apparatus (Bruker Spectrospin, Wissembourg, France) and radiometry: the prostate can be treated by the urethral or endorectal route with a 915-MHz generator and coaxial antennae, a unique device which allows us to measure real intraprostatic temperature, to regulate the microwave emission power and to eliminate classic surface controls. A sole antenna is used for the urethral catheter; it is introduced within the Foley-type probe and allows us to heat and measure the heat (radiometry). In this preliminary report, we present clinical results of the first 105 treated patients over 18 months by the transurethral route in a single l-hour session: 7 have a protuberant median lobe and the treatment is without any effect; 76 patients can be analyzed and the Madsen score before treatment, at 3 months and at 6 months moves from 11.2 to 2.5 and 3.1, the maximum flow rate from 9.6 to 12.3 and 12.5 ml/s, the residue decreases from 102 to 68 and 53 ml. The session is well tolerated and patients mention that the effects are better than those of medical treatment. Hyperthermia is a simple method that will find its place between medical and surgical treatment once the numerous randomized studies have determined the most suitable therapeutic procedures.</t>
  </si>
  <si>
    <t>326-329</t>
  </si>
  <si>
    <t>60016095;60016095</t>
  </si>
  <si>
    <t>57212298118;7004583077</t>
  </si>
  <si>
    <t>Belot, G.;Chive, M.</t>
  </si>
  <si>
    <t>Strasbourg</t>
  </si>
  <si>
    <t>Clinique Bethesda</t>
  </si>
  <si>
    <t>Belot G.</t>
  </si>
  <si>
    <t>Transurethral thermotherapy of the benign prostate hypertrophy controlled by radiometry</t>
  </si>
  <si>
    <t>10.1159/000474622</t>
  </si>
  <si>
    <t>2-s2.0-0027468474</t>
  </si>
  <si>
    <t>['worker honeybees', 'unconditioned stimulus', 'treated bees', 'term memory', 'significant reduction', 'second injection', 'possible role', 'olfactory stimulus', 'olfactory conditioning', 'odor presentation', 'odor alone', 'leucine incorporation', 'injected via', 'injected controls', 'honeybee forms', 'different times', 'conditioned response', 'classically conditioned', 'cellular mechanisms', 'brain proteins', 'bees restrained', 'antennae followed', '4 series', '3 hr', '24 hr']</t>
  </si>
  <si>
    <t>cycloheximide | honeybee | inhibition of protein synthesis | insect | learning and memory | olfactory conditioning</t>
  </si>
  <si>
    <t>The honeybee forms a long-term memory in different training situations that lasts for a lifetime, but the cellular mechanisms of long-term memory formation are not known. We analyzed the dependency of long-term memory on the de novo brain protein synthesis. The protein synthesis inhibitor cycloheximide was injected via the median ocellus directly into the brain. 3H-leucine incorporation into brain proteins was inhibited by &gt;95% for &gt;3 hr. The time of protein synthesis inhibition was prolonged by a second injection of the same dose. Worker honeybees were conditioned to an olfactory stimulus at different times before and after injection. The proboscis extension response (PER) of bees restrained in tubes was classically conditioned with sugar water applied first to the antennae followed by feeding (unconditioned stimulus) paired with odor presentation (conditioned stimulus). The bees were tested by presenting the odor alone at different times up to 24 hr after injection. No significant reduction in the probability of the conditioned response in cycloheximide-treated bees was found when compared to the Ringer-injected controls in 4 series of experiments. Since protein synthesis was inhibited between 7 hr pre- and 7 hr postconditioning without affecting the formation of long-term memory, a possible role of de novo protein synthesis in the formation of long-term memory after olfactory conditioning of the PER is not supported by these experiments.</t>
  </si>
  <si>
    <t>1379-1386</t>
  </si>
  <si>
    <t>Journal of Neuroscience</t>
  </si>
  <si>
    <t>60030718;60030718;60030718</t>
  </si>
  <si>
    <t>6507525998;6603225107;7102000725</t>
  </si>
  <si>
    <t>Wittstock, S.;Kaatz, H. H.;Menzel, R.</t>
  </si>
  <si>
    <t>Wittstock S.</t>
  </si>
  <si>
    <t>Inhibition of brain protein synthesis by cycloheximide does not affect formation of long-term memory in honeybees after olfactory conditioning</t>
  </si>
  <si>
    <t>10.1523/jneurosci.13-04-01379.1993</t>
  </si>
  <si>
    <t>2-s2.0-0027476899</t>
  </si>
  <si>
    <t>['relatively homogeneous', 'profiles led', 'polyacrylamide gel', 'placing one', 'microwave energy', 'lucite box', 'generated within', 'domeshaped model', 'block system']</t>
  </si>
  <si>
    <t>Hyperthermia | Phantom | Polyacrylamide | Thermochromatic card</t>
  </si>
  <si>
    <t>A gel-block system was developed to illustrate heating patterns induced by ophthalmic microwave applicators. A heat-sensitive liquid crystal card was affixed as to bisect a Lucite box. The box was then filled with a clear tissue equivalent polyacrylamide gel. It was found that semicircular heating patterns were generated within the gel. These patterns were visualized by placing one of the dish-shaped ophthalmic microwave applicators on top of the polyacrylamide gel and the heat-sensitive liquid crystal card. An antenna was then placed in the gel and behind the card. Microwave energy was sent through the card and into the gel. This demonstrated the relatively homogeneous and roughly circular heating pattern produced at the applicator's surface. A combination of these profiles led to construction of a three-dimensional, domeshaped model of heating, as provided by this microwave antenna design. ¬© The Ophthalmic Communications Society, Inc.</t>
  </si>
  <si>
    <t>63-68</t>
  </si>
  <si>
    <t>0275004X</t>
  </si>
  <si>
    <t>Retina</t>
  </si>
  <si>
    <t>105336481-60019970-60006022-60007997;105336481-60019970;100319373;100319373</t>
  </si>
  <si>
    <t>7006374632;6507105401;6508356133;7005756075</t>
  </si>
  <si>
    <t>Finger, Paul T.;Selkin, Robert;Grabczyk, Julie;Fetter., Richar W.</t>
  </si>
  <si>
    <t>Manhasset;New York;New York;Manhasset;Milwaukee</t>
  </si>
  <si>
    <t>North Shore University Hospital;Weill Cornell Medicine;New York Eye and Ear Infirmary;Division of Ocular Tumor and Orbital Disease;Marquette Electronics, Inc.</t>
  </si>
  <si>
    <t>60019970;60007997;60006022;105336481;100319373</t>
  </si>
  <si>
    <t>Finger P.</t>
  </si>
  <si>
    <t>A phantom system for microwave treatment of intraocular tumors</t>
  </si>
  <si>
    <t>10.1097/00006982-199313010-00014</t>
  </si>
  <si>
    <t>2-s2.0-0027478508</t>
  </si>
  <si>
    <t>['¬© 1993', 'wild type', 'wider sense', 'type strain', 'substitute efficiently', 'small differences', 'slower time', 'room temperature', 'rights reserved', 'resolved absorption', 'relative distances', 'reaction centers', 'reaction center', 'protein interaction', 'nm region', 'lifetime observed', 'lh1 polypeptides', 'inhomogeneously broadened', 'harvesting apparatus', 'harvesting antennas', 'excitation energy', 'efficiently transferred', 'dimensional arrangement', 'delivering excitations', 'contains lh2', 'competent strain', 'b850 pigments', 'absorption band', '77 k']</t>
  </si>
  <si>
    <t>The light-harvesting apparatus of the photosynthetic bacterium Rhodobacter sphaeroides is composed of a peripheral LH2 complex which directs excitation energy to the LH1/reaction center core. The puf BA genes encoding the LH1 polypeptides have been deleted, producing a photosynthetically-competent strain which contains LH2 and reaction centers. Time-resolved absorption and fluorescence measurements demonstrate that energy is efficiently transferred from LH2 to the reaction center, despite the absence of LH1. Energy trapping takes place in 55 ¬± 5 ps at room temperature, compared to the result for the wild-type strain of 60 ¬± 5 ps. At 77 K, the results for the mutant and wild type are 75 ¬± 5 and approximately 35 ps, respectively; the slower time in the mutant is attributed to the small differences in antenna/reaction center contacts and relative distances that are bound to exist as a consequence of LH1 and LH2 being assembled from different Œ±-and Œ≤-polypeptides. Measurements with closed reaction centers provided new information on the nature of fast energy transfer within the B850 pigments of LH2. We conclude that the absorption band is inhomogeneously broadened, and the fast (‚àº 10 ps) lifetime observed in the 847‚Äì857-nm region is interpreted as very rapid (1‚Äì5 ps) hopping of the excitation energy from high-energy to low-energy pigments within the B850 absorption band. Time-resolved anisotropy studies demonstrate that energy-transfer events within B850 occur on a subpicosecond to picosecond time scale. In respect of internal energy transfer, LH2 therefore behaves similarly to other light-harvesting antennas, and in a wider sense, LH2 can substitute efficiently for LH1 in delivering excitations to the reaction center. This implies some similarity in the three-dimensional arrangement of LH1 and LH2, and notwithstanding this a relatively nonspecific protein-protein interaction between the antenna and the reaction center. ¬© 1993, American Chemical Society. All rights reserved.</t>
  </si>
  <si>
    <t>10314-10322</t>
  </si>
  <si>
    <t>60031040;60031040;60031040;60031040;60031040;60001881;60001881</t>
  </si>
  <si>
    <t>7102293476;7004704010;6603218225;7004251319;57226218292;8247663200;57210784376</t>
  </si>
  <si>
    <t>Hess, S.;Visscher, K.;Ulander, J.;Pullerits, T.;Sundstr√∂m, V.;Jones, M. R.;Hunter, C. N.</t>
  </si>
  <si>
    <t>Sweden;United Kingdom</t>
  </si>
  <si>
    <t>Umea;Sheffield</t>
  </si>
  <si>
    <t>Ume√• Universitet;The University of Sheffield</t>
  </si>
  <si>
    <t>60031040;60001881</t>
  </si>
  <si>
    <t>Hess S.</t>
  </si>
  <si>
    <t>Direct Energy Transfer from the Peripheral LH2 Antenna to the Reaction Center in a Mutant of Rhodobacter sphaeroides That Lacks the Core LH1 Antenna</t>
  </si>
  <si>
    <t>10.1021/bi00090a006</t>
  </si>
  <si>
    <t>2-s2.0-0027486701</t>
  </si>
  <si>
    <t>['various aspects', 'proposed algorithm', 'optimization problem', 'effective method', 'effective computation', 'desired pattern', 'design arrays']</t>
  </si>
  <si>
    <t>A new and effective method for array radiation pattern synthesis is presented. The method allows formulation of the synthesis of a desired pattern as an optimization problem. The solution proposed involves matrix operations based on the equivalent linear array approach which leads to an easy and effective computation. The advantage of this approach is that it does not involve any numerical optimization routines‚Äîonly ordinary matrix operations are required. Illustrations are presented to highlight the various aspects of the method. The proposed algorithm can be used to design arrays of uniformly spaced elements with nonisotropic and unequal radiation patterns. ¬© 1992 IEEE</t>
  </si>
  <si>
    <t>60003122;60003122</t>
  </si>
  <si>
    <t>57199174517;56477419900</t>
  </si>
  <si>
    <t>Wu, Lixue;Zielinski, Adam</t>
  </si>
  <si>
    <t>Victoria</t>
  </si>
  <si>
    <t>University of Victoria</t>
  </si>
  <si>
    <t>Wu L.</t>
  </si>
  <si>
    <t>Equivalent Linear Array Approach to Array Pattern Synthesis</t>
  </si>
  <si>
    <t>10.1109/48.211501</t>
  </si>
  <si>
    <t>2-s2.0-0027492531</t>
  </si>
  <si>
    <t>['¬© 1993', 'wind speed', 'wind retrieval', 'verifying data', 'validation exercise', 'validation activities', 'solution surface', 'scatterometer measurements', 'resources available', 'reformulated esa', 'nwp centre', 'measurement noise', 'inner edge', 'generally well', 'field campaign', 'estimated noise', 'contribute extensively', 'changes implemented', 'antennae configuration', '1 scatterometer']</t>
  </si>
  <si>
    <t>Calibration and validation activities for the ERS-1 scatterometer have been carried out at ECMWF, complementary to the "Haltenbanken" field campaign. At a Numerical Weather Prediction (NWP) centre a wealth of verifying data is available both in time and space. By using the data and resources available at a NWP centre, it is possible to contribute extensively to a satellite instrument calibration and validation exercise. We estimated noise, and characterised the scatterometer measurements in relation to wind speed and direction. The antennae configuration of the ERS-1 scatterometer proved to be crucial for this work. It is shown that measurement noise is low and that a solution surface is generally well-defined in 3D measurement space except at low wind speed at the inner edge of the swath. We reformulated ESA's pre-launch transfer model CMOD2, and also propose revision of existing wind retrieval schemes. The changes implemented so far at ECMWF clearly improve the accuracy of wind retrieval from the scatterometer. ¬© 1993.</t>
  </si>
  <si>
    <t>53-60</t>
  </si>
  <si>
    <t>60026710;60026851</t>
  </si>
  <si>
    <t>6603831835;7410020289</t>
  </si>
  <si>
    <t>Stoffelen, A.;Anderson, D. L.T.</t>
  </si>
  <si>
    <t>Oxford;Reading</t>
  </si>
  <si>
    <t>University of Oxford;European Centre for Medium-Range Weather Forecasts</t>
  </si>
  <si>
    <t>60026851;60026710</t>
  </si>
  <si>
    <t>Stoffelen A.</t>
  </si>
  <si>
    <t>Wind retrieval and ERS-1 scatterometer radar backscatter measurements</t>
  </si>
  <si>
    <t>027311779390527I</t>
  </si>
  <si>
    <t>10.1016/0273-1177(93)90527-I</t>
  </si>
  <si>
    <t>2-s2.0-0027492617</t>
  </si>
  <si>
    <t>['staining single', 'single glomerulus', 'run exclusively', 'relative sensitivity', 'protocerebral neuropil', 'projection neurons', 'previously described', 'presumably olfactory', 'oact ).', 'neuropil surrounding', 'neuronal arborizations', 'mushroom bodies', 'lucifer yellow', 'lateral lobe', 'largely composed', 'iv ),', 'identified morphologically', 'four classes', 'five tracts', 'fibers connecting', 'dendritic trees', 'cockroach brain', 'arborization pattern', 'antennal lobe', 'act ii']</t>
  </si>
  <si>
    <t>antennal lobe | insect | olfactory glomeruli | olfactory pathway</t>
  </si>
  <si>
    <t>The topography and neuroanatomy of fibers connecting the deutocerebrum to the protocerebrum in the brain of the American cockroach Periplaneta americana were investigated by staining single or multiple deutocerebral neurons with cobalt, Lucifer Yellow, or biocytin. Five tracts are distinguished on the basis of their routes from origins in the antennal lobe to the protocerebral neuropil: the inner antenno‚Äêcerebral tract (IACT); antenno‚Äêcerebral tracts II, III, and IV (ACT II, III, IV), and the outer antenno‚Äêcereral tract (OACT). These tracts are largely composed of the axons of four classes of deutocerebral projection neurons, which have been identified morphologically; the neuronal arborizations in the glomeruli of the antennal lobe and in the protocerebral projection regions have been examined. Projection neurons with processes in the inner antenno‚Äêcerebral tract and in the antenno‚Äêcerebral tract II each innervate a single glomerulus in the antennal lobe, and both types have terminals in the calyces of the mushroom bodies and in the lateral lobe of the protocerebrum. The axons of pheromone‚Äêsensitive projection neurons with dendritic trees in the male‚Äêspecific macroglomerulus seem to run exclusively in the inner antenno‚Äêcerebral tract. Subgroups of these pheromone sensitive neurons differ in relative sensitivity to the two female attractant components as well as in the arborization pattern of their dendrites in the macroglomerulus. The projection neurons of two other classes each innervate many glomeruli in the antennal lobe, those of one class sending their axons into the protocerebrum in the antenno‚Äêcerebral tract IV and the other, in the outer antenno‚Äêcerebral tract. The neurons of antenno‚Äêcerebral tract IV innervate not only the mushroom body calyces and the lateral lobe but also neuropil regions not previously described in the cockroach. Neurons with axons in the outer antenno‚Äêcerebral tract have no terminals in the calyces but innervate the lateral lobe and the neuropil surrounding the tract. The morphological findings presented here show that, in addition to the tracts previously documented in the cockroach brain, there are other, presumably olfactory, connections between the deutocerebrum and the protocerebrum. ¬© 1993 Wiley‚ÄêLiss, Inc. Copyright ¬© 1993 Wiley‚ÄêLiss, Inc.</t>
  </si>
  <si>
    <t>143-162</t>
  </si>
  <si>
    <t>60030807-60023324;60030807;60030807;60030807</t>
  </si>
  <si>
    <t>6602410994;6507895034;57191462298;6701782875</t>
  </si>
  <si>
    <t>Malun, Dagmar;Waldow, Ulrich;Kraus, Dieter;Boeckh, J√ºrgen</t>
  </si>
  <si>
    <t>Malun D.</t>
  </si>
  <si>
    <t>Connections between the deutocerebrum and the protocerebrum, and neuroanatomy of several classes of deutocerebral projection neurons in the brain of male Periplaneta americana</t>
  </si>
  <si>
    <t>10.1002/cne.903290202</t>
  </si>
  <si>
    <t>2-s2.0-0027497646</t>
  </si>
  <si>
    <t>T32GM007185</t>
  </si>
  <si>
    <t>Bric a brac | BTB domain | Drosophila | Homeotic transformation | Imaginal discs | Limb development</t>
  </si>
  <si>
    <t>799-812</t>
  </si>
  <si>
    <t>Development</t>
  </si>
  <si>
    <t>60005247;60005247;60005247;60005247</t>
  </si>
  <si>
    <t>6701775695;7103249524;6602084731;6603878967</t>
  </si>
  <si>
    <t>Godt, D.;Couderc, J. L.;Cramton, S. E.;Laski, F. A.</t>
  </si>
  <si>
    <t>David Geffen School of Medicine at UCLA</t>
  </si>
  <si>
    <t>Godt D.</t>
  </si>
  <si>
    <t>Pattern formation in the limbs of Drosophila: Bric a brac is expressed in both a gradient and a wave-like pattern and is required for specification and proper segmentation of the tarsus</t>
  </si>
  <si>
    <t>2-s2.0-0027504827</t>
  </si>
  <si>
    <t>['use immobility', 'significantly lower', 'significant differences', 'represented dom', 'polygalacturonic acid', 'lake st', 'l ).', 'l ),', 'jack lake', 'gentle prodding', 'food source', 'fibrils aggregated', 'fenvalerate plus', 'fenvalerate increased', 'fenvalerate alone', 'end point', 'daphnia magna', 'conducted previously', 'chlamydomonas reinhardii', 'aquatic systems', 'analyzed independently', 'algal origin', 'algal fibrils', 'age groups', 'adhesion increased', 'adhesion could', '99 œºg', '91 œºg', '4 mg', '22 œºg']</t>
  </si>
  <si>
    <t>Adhesion | Daphnia | DOM | Fenvalerate | Toxicity</t>
  </si>
  <si>
    <t>Toxicity of fenvalerate to Daphnia magna, in the presence of particulate or dissolved organic matter, was investigated. Dissolved organic matter (DOM) was isolated from Jack Lake, Ontario (JL‚ÄêDOM), and separated into four size fractions. A sample of fibrils from Lake St. George, Ontario, and two model substances, pectin and polygalacturonic acid, represented DOM of algal origin. Chlamydomonas reinhardii was included as a source of particulate organic matter for comparison. Daphnia magna (‚â§48 and ‚â§24 h old) was exposed to treatments of fenvalerate plus these sources of DOM. The end point of the static 48‚Äêh bioassays was the inability of daphnids to swim during a 10‚Äês period after gentle prodding. Results from treatments with JL‚ÄêDOM (10 √ó natural concentrations) and fibrils (4 mg/L) were analyzed independently. The EC50 of fenvalerate plus &gt;0.2 ŒºM JL‚ÄêDOM (0.22 Œºg/L) was significantly lower than that of the &gt;10‚ÄêkD‚Äêmolecular‚Äêweight fraction (1.99 Œºg/L), but neither was different from fenvalerate alone (0.91 Œºg/L). There were no significant differences between treatments including lake fibrils, pectin or polygalacturonic acid, or between age groups. No bioassays using Daphnia magna and algal fibrils as a source of DOM have been conducted previously. An adhesion phenomenon occurred between Daphnia magna and the DOM (JL‚ÄêDOM and fibrils) in the presence of fenvalerate. DOM and fibrils aggregated on the spine and antennae of the daphnids, which impaired the ability of the organisms to swim. Adhesion increased as the concentration of fenvalerate increased but was absent in controls. This phenomenon may confound the results of bioassays that use immobility as an end point. Adhesion could be an important sublethal effect of fenvalerate, affecting daphnid survival and its role as a food source in aquatic systems. Copyright ¬© 1993 SETAC</t>
  </si>
  <si>
    <t>167-176</t>
  </si>
  <si>
    <t>Environmental Toxicology and Chemistry</t>
  </si>
  <si>
    <t>60015881;60015881;60015881;60015881;60000673;60000673</t>
  </si>
  <si>
    <t>7004904188;7202776009;7101719761;24311743100;7006694025;35562395100</t>
  </si>
  <si>
    <t>Hodge, Valerie A.;Fan, Gary T.;Solomon, Keith R.;Kaushik, Narinder K.;Leppard, Gary G.;Burnison, B. Kent</t>
  </si>
  <si>
    <t>Canada;Canada</t>
  </si>
  <si>
    <t>Guelph;Gatineau</t>
  </si>
  <si>
    <t>University of Guelph;Environment Canada</t>
  </si>
  <si>
    <t>60015881;60000673</t>
  </si>
  <si>
    <t>Hodge V.</t>
  </si>
  <si>
    <t>Effects of the presence and absence of various fractions of dissolved organic matter on the toxicity of fenvalerate to Daphnia magna</t>
  </si>
  <si>
    <t>10.1002/etc.5620120117</t>
  </si>
  <si>
    <t>2-s2.0-0027507302</t>
  </si>
  <si>
    <t>['wire occurs', 'wiley company', 'similar expression', 'printed spiral', 'new formula', 'modifying one', 'measured inductance', 'maximum inductance', 'inc .,', 'good agreement', 'given length']</t>
  </si>
  <si>
    <t>coil optimization | radiofrequency coils | surface coils</t>
  </si>
  <si>
    <t>Wheeler's empirical inductance formula for a multi‚Äêturn, close‚Äêwound flat coil shows that the maximum inductance for a given length of wire occurs when the outer to inner radius ratio is equal to 15/7. A similar expression is proposed for a flat, printed spiral for surface coil antenna design by modifying one of the coefficients in Wheeler's formula. Measured inductance is in good agreement with this new formula and the optimum radius ratio for maximum inductance or Q is now of the order of 9/5. Copyright ¬© 1993 Wiley‚ÄêLiss, Inc., A Wiley Company</t>
  </si>
  <si>
    <t>396-397</t>
  </si>
  <si>
    <t>Magnetic Resonance in Medicine</t>
  </si>
  <si>
    <t>60101845;60101845</t>
  </si>
  <si>
    <t>10243333900;24530433100</t>
  </si>
  <si>
    <t>Raad, Ahmad;Kan, Siew</t>
  </si>
  <si>
    <t>Orsay</t>
  </si>
  <si>
    <t>Institut d'√âlectronique Fondamentale, Orsay</t>
  </si>
  <si>
    <t>Raad A.</t>
  </si>
  <si>
    <t>Multi‚Äêturn, printed surface coil inductance, and Q optimization</t>
  </si>
  <si>
    <t>10.1002/mrm.1910290318</t>
  </si>
  <si>
    <t>2-s2.0-0027510621</t>
  </si>
  <si>
    <t>Bu 812/1-l</t>
  </si>
  <si>
    <t>['¬© 1993', 'whole cells', 'spectral properties', 'polypeptide pattern', 'lhc ii', 'higher plants', 'harvesting protein', 'energy transfer', 'core complex', 'complex exhibited', '715 nm']</t>
  </si>
  <si>
    <t>Algae | Light-harvesting complex I | Light-harvesting complex II | Photosynthesis | Photosystem I | Pigment organization | Pleurochloris meiringensis | Xanthophyceae</t>
  </si>
  <si>
    <t>A photosystem (PS) I holocomplex was isolated from Pleurochloris meiringensis Vischer (Xanthophyceae) using sucrose density centrifugation. This complex exhibited a fluorescence emission maximum at 715 nm, which is in accordance with the long wavelength emission of whole cells. The complex was further dissociated into a core complex and a light-harvesting protein (LHC I). The core protein contains mainly Chl a and Œ≤-carotene, is 8.25 times enriched in P700 and has its main emission maximum at 715 nm. Therefore, the longest wavelength emission of P. meiringensis is due to the PS I core, which is in contrast to higher plants. The LHC I differs from LHC II with regard to its polypeptide pattern as well as its spectral properties. The arrangement of antennae is discussed in relation to the regulation of energy transfer between the photosystems. ¬© 1993.</t>
  </si>
  <si>
    <t>87-93</t>
  </si>
  <si>
    <t>60031216;60031216</t>
  </si>
  <si>
    <t>7006466104;7409933123</t>
  </si>
  <si>
    <t>B√ºchel, Claudia;Wilhelm, Christian</t>
  </si>
  <si>
    <t>Mainz</t>
  </si>
  <si>
    <t>Johannes Gutenberg-Universit√§t Mainz</t>
  </si>
  <si>
    <t>B√ºchel C.</t>
  </si>
  <si>
    <t>Isolation and characterization of a photosystem I-associated antenna (LHC I) and a photosystem I-core complex from the chlorophyll c-containing alga Pleurochloris meiringensis (Xanthophyceae)</t>
  </si>
  <si>
    <t>101113449380136W</t>
  </si>
  <si>
    <t>10.1016/1011-1344(93)80136-W</t>
  </si>
  <si>
    <t>2-s2.0-0027517449</t>
  </si>
  <si>
    <t>['¬© 1993', 'zonal winds', 'winter pole', 'winds measured', 'wave activity', 'stronger change', 'second half', 'seasonal variations', 'phase characteristics', 'meridional winds', 'meridional circulation', 'maximum velocities', 'maximum amplitudes', 'lower thermosphere', 'june 1991', 'january 1990', 'intermittent nature', 'harmonic components', 'good agreement', 'first half', 'equatorial mesosphere', 'dominant component', 'december ).', 'christmas island', 'ascension island', '8 ¬∞']</t>
  </si>
  <si>
    <t>The seasonal variations in winds measured in the equatorial mesosphere and lower thermosphere are discussed, and oscillations in zonal winds in the 3-10 day period range are examined. The observations were made between January 1990 and June 1991 with a spaced-antenna MF radar located on Christmas Island (2¬∞N, 157¬∞W). The seasonal variations are analyzed in terms of the mean, annual, and semiannual (SAO) harmonic components. The SAO is the dominant component in the zonal winds, with the amplitude and phase characteristics being in good agreement with earlier rocketsonde measurements at Kwajalien (9¬∞N) and Ascension Island (8¬∞S). The annual and semiannual oscillations combine to produce a stronger change in zonal wind strength in the first half-year (January-June) than in the second half-year (July-December). An annual cycle dominates the meridional winds with maximum velocities (5-10m s-1) attained at about 90km. The meridional circulation at the solstices is consistent with a flow from the summer to the winter pole. Power spectral analyses indicate that motions in the 3-10 day period range occur mainly in the zonal winds, behavior which is interpreted as being due to eastward propagating Kelvin waves. Despite the intermittent nature there is an overall semiannual variation in Kelvin-wave activity. Maximum amplitudes are achieved at the mesopause in January/February and August/September which are times when the zonal winds are westward. ¬© 1993.</t>
  </si>
  <si>
    <t>Vincent, R. A.</t>
  </si>
  <si>
    <t>Vincent R.</t>
  </si>
  <si>
    <t>Long-period motions in the equatorial mesosphere</t>
  </si>
  <si>
    <t>002191699390098J</t>
  </si>
  <si>
    <t>10.1016/0021-9169(93)90098-J</t>
  </si>
  <si>
    <t>2-s2.0-0027526752</t>
  </si>
  <si>
    <t>['using reversed', 'trimannosyl core', 'sugar chains', 'results indicate', 'reactive species', 'nonreactive species', 'newly identified', 'neoplastic diseases', 'major component', 'innermost n', 'human afp', 'gallbladder carcinoma', 'fucose residue', 'focus residue', 'different affinity', 'chemical structures', 'characteristic feature', 'carbohydrate chains', 'biantennary one', 'acetylglucosamine residue']</t>
  </si>
  <si>
    <t>Chemical structures of the sugar chains of various human alpha-fetoprotein (AFP) species with different affinity for Concanavalin A (Con A) and Lens culinaris agglutinin (LCA) were examined by pyridylamination of their oligosaccharides and stepwise exoglycosidase digestion. Using reversed-phase and size-fractionation high performance liquid chromatography systems we identified six pyridylamino-sugar chains. The Con A-reactive and LCA-nonreactive species of AFP from patients with hepatocellular carcinoma contained a biantennary sugar chain, and the Con A-reactive and LCA-reactive species had a biantennary one with a fucose residue at the innermost N-acetylglucosamine residue. The Con A-nonreactive and LCA-reactive species contained a biantennary sugar chain both with a bisecting-N-acetylglucosamine residue at the trimannosyl core and with a focus residue at the innermost N-acetylglucosamine residue. The Con A-nonreactive and LCA-nonreactive species contained a fucosylated triantennary sugar chain as a major component, and two minor components: a triantennary sugar chain and a biantennary sugar chain with a bisecting-N-acetylglucosamine residue at the trimannosyl core. Thus, the fucosylated and non-fucosylated triantennary sugar chains were newly identified in human AFP. Essentially identical results were obtained for AFP from the patient with gallbladder carcinoma which metastasizes to the liver. These results indicate that the increment in fucosylation and branching to form new antennae is a characteristic feature of the carbohydrate chains of AFP from patients with neoplastic diseases of the liver. ¬© 1993 Macmillan Press Ltd.</t>
  </si>
  <si>
    <t>486-492</t>
  </si>
  <si>
    <t>British Journal of Cancer</t>
  </si>
  <si>
    <t>60027970;60027970;60027970;60027970;60027970;60027970;60027970;60027970;60012080;60027970</t>
  </si>
  <si>
    <t>7201643560;57206758345;14045168400;36792582000;7006138190;55430563300;7403977151;56079803000;7005348692;8077520900</t>
  </si>
  <si>
    <t>Aoyagi, Y.;Suzuki, Y.;Igarashi, K.;Saitoh, A.;Oguro, M.;Yokota, T.;Mori, S.;Suda, T.;Isemura, M.;Asakura, H.</t>
  </si>
  <si>
    <t>Japan;Japan</t>
  </si>
  <si>
    <t>Niigata;Shizuoka</t>
  </si>
  <si>
    <t>Niigata University School of Medicine;University of Shizuoka</t>
  </si>
  <si>
    <t>60027970;60012080</t>
  </si>
  <si>
    <t>Aoyagi Y.</t>
  </si>
  <si>
    <t>Carbohydrate structures of human Œ±-fetoprotein of patients with hepatoceilular carcinoma: Presence of fucosylated and non-fucosylated triantennary glycans</t>
  </si>
  <si>
    <t>10.1038/bjc.1993.91</t>
  </si>
  <si>
    <t>2-s2.0-0027534520</t>
  </si>
  <si>
    <t>['¬© 1992', 'tissue reduced', 'tissue becomes', 'tip segment', 'thicknesses varying', 'temperature rise', 'rectangular array', 'protrusion lengths', 'microwave power', 'measuring rates', 'investigated using', 'insertion depth', 'four antennas', 'five segments', 'exposing part', 'dead space', 'central axis', 'array performance', 'antenna tips', '8 cm', '4 cm', '3 cm', '2 cm']</t>
  </si>
  <si>
    <t>Interstitial hyperthermia | Microwave antenna | Muscle phantom | Variable cross-section</t>
  </si>
  <si>
    <t>Dipole-regular microwave interstitial antennas are characterized with a "dead" space located along the tip segment of the antenna. The length of the "dead" space is on the order of 2 cm or larger, depending on the antenna's insertion depth. If the insertion depth is smaller than 4 cm, then coupling of the antennas to tissue becomes a problem. Catheters that facilitate the placement of antennas into tumor frequently protrude beyond the tissue. This provides the opportunity of exposing part of the antenna tips (with low radiation output) beyond the tissue. Decoupling of this part of the antennas from the tissue reduced the dead space and improved microwave power transfer to the tissue. This concept was investigated using a muscle equivalent phantom consisting of five segments with thicknesses varying from 3 cm to 8 cm. The transfer of microwave power to the phantom and SAR distributions along the central axis of a rectangular array of four antennas were evaluated by measuring rates of temperature rise. The protrusion lengths that improved the array performance were found for each segment of the phantom. ¬© 1992.</t>
  </si>
  <si>
    <t>105-112</t>
  </si>
  <si>
    <t>International Journal of Radiation Oncology, Biology, Physics</t>
  </si>
  <si>
    <t>60029627;60029627</t>
  </si>
  <si>
    <t>7004588237;7006303259</t>
  </si>
  <si>
    <t>Leybovich, Leonid B.;Kurup, Rajendra G.</t>
  </si>
  <si>
    <t>Maywood</t>
  </si>
  <si>
    <t>Loyola University Stritch School of Medicine</t>
  </si>
  <si>
    <t>Leybovich L.</t>
  </si>
  <si>
    <t>Evaluation of microwave interstitial antennas in the phantom with varying cross-section</t>
  </si>
  <si>
    <t>0360-3016(93)90151-K</t>
  </si>
  <si>
    <t>10.1016/0360-3016(93)90151-K</t>
  </si>
  <si>
    <t>2-s2.0-0027535588</t>
  </si>
  <si>
    <t>['simple type', 'scattered field', 'phase center', 'method whereby', 'horn antenna', 'field distribution', 'electromagnetic field', 'calculated using', 'apertures illuminated', 'aperture via', 'aperture field']</t>
  </si>
  <si>
    <t>A method whereby the aperture field distribution of a horn antenna can be measured is proposed. The method is based on the measurement of the scattered field of a small conducting sphere in the aperture. The position of the phase center of the aperture field is calculated using the measured phase distribution of the field in the aperture via a simple type of convolution. In principle, the method is suited to determine the field distribution of other types of apertures illuminated by an electromagnetic field. ¬© 1993 IEEE</t>
  </si>
  <si>
    <t>51-53</t>
  </si>
  <si>
    <t>IEEE Transactions on Instrumentation and Measurement</t>
  </si>
  <si>
    <t>60021902;60021902</t>
  </si>
  <si>
    <t>7004459157;7004219095</t>
  </si>
  <si>
    <t>Odendaal, Johann W.;Pistorius, Carl W.I.</t>
  </si>
  <si>
    <t>South Africa</t>
  </si>
  <si>
    <t>Pretoria</t>
  </si>
  <si>
    <t>University of Pretoria</t>
  </si>
  <si>
    <t>Odendaal J.</t>
  </si>
  <si>
    <t>A Method to Measure the Aperture Field and Experimentally Determine the Near-Field Phase Center of a Horn Antenna</t>
  </si>
  <si>
    <t>10.1109/19.206680</t>
  </si>
  <si>
    <t>2-s2.0-0027539439</t>
  </si>
  <si>
    <t>['wiley company', 'studied object', 'scattering matrix', 'proposed techniques', 'polarimetric measurement', 'original technique', 'main problem', 'main advantages', 'intensive applications', 'industrial domain', 'inc .,', 'calibration targets', '1 ].']</t>
  </si>
  <si>
    <t>antenna measurements | polarimeter | Radar cross section</t>
  </si>
  <si>
    <t>The main problem in polarimetric measurement is to retrieve all the properties (phase and magnitude) of the scattering matrix of the studied object. In most cases the proposed techniques [1‚Äì3] are very complicated and are not adaptable to intensive applications, as in the industrial domain. The development of an original technique is proposed here. The technique is very efficient and simple to use. It is based on a modification of an existing technique developed in Reference [1]. The main advantages are the facility of placement of the targets and the fact that there is no need to know the distances between the calibration targets and the emission reception system. ¬© 1993 John Wiley &amp; sons, Inc. Copyright ¬© 1993 Wiley Periodicals, Inc., A Wiley Company</t>
  </si>
  <si>
    <t>131-135</t>
  </si>
  <si>
    <t>Microwave and Optical Technology Letters</t>
  </si>
  <si>
    <t>Desclos, L.</t>
  </si>
  <si>
    <t>INSA France</t>
  </si>
  <si>
    <t>Desclos L.</t>
  </si>
  <si>
    <t>A new hybrid method of calibration for polarimetric radar cross‚Äêsection measurements</t>
  </si>
  <si>
    <t>10.1002/mop.4650060214</t>
  </si>
  <si>
    <t>2-s2.0-0027539710</t>
  </si>
  <si>
    <t>['¬± 1', 'sector angle', 'resulting model', 'principal advantage', 'present model', 'present approach', 'numerical accuracies', 'integral procedure']</t>
  </si>
  <si>
    <t>The contour-integral procedure is used to analyze the microstrip sectorial n-way power divider. The principal advantage of the present approach is that the resulting model is able to handle arbitrary sector angles, in contrast to the Green's function approach used by other researchers, which is valid only if the sector angle is a submultiple of œÄ. Computational and experimental tests indicate that numerical accuracies of better than ¬±1% are obtainable from the present model.</t>
  </si>
  <si>
    <t>62-64</t>
  </si>
  <si>
    <t>0950107X</t>
  </si>
  <si>
    <t>IEE Proceedings H: Microwaves, Antennas and Propagation</t>
  </si>
  <si>
    <t>Feb</t>
  </si>
  <si>
    <t>60017161;60017161;60017161;60017161;60017161</t>
  </si>
  <si>
    <t>7101872194;7102006113;35581072400;7102523120;56004329800</t>
  </si>
  <si>
    <t>Yeo, S. P.;Leong, M. S.;Kooi, P. S.;Yeo, T. S.;Zhou, X. D.</t>
  </si>
  <si>
    <t>National University of Singapore</t>
  </si>
  <si>
    <t>Yeo S.P.</t>
  </si>
  <si>
    <t>Contour-integral analysis of microstrip sectorial power divider (with arbitrary sector angle)</t>
  </si>
  <si>
    <t>10.1049/ip-h-2.1993.0010</t>
  </si>
  <si>
    <t>2-s2.0-0027539829</t>
  </si>
  <si>
    <t>['unperturbed array', 'sensor positions', 'sensor position', 'random perturbations', 'paper extends', 'modified tam', 'emitting sources', 'elevation angles', 'effect caused', 'computational burden', 'bearing estimation', 'aoa searching']</t>
  </si>
  <si>
    <t>The one-dimensional bearing estimation problem of linearly periodic arrays with sensor position errors has been tackled by the Toeplitz approximation method (TAM), iterative TAM, modified TAM, and iterative MTAM without calibrating the sensor positions. This paper extends these methods to the two-dimensional situation using a uniform planar array with sensor position errors to estimate the 2-D angle-of-arrivals (AOAs), azimuth and elevation angles of the emitting sources. Based on the block Toeplitz property and eigenstructure of the ideal covariance matrix observed by the unperturbed array, we extend the methods to alleviate the effect caused by the random perturbations in sensor position. The Music algorithm incorporating a 2-D AOA searching is applied for bearing estimation. Further, the 1-D processing approach presented earlier for solving the 2-D AOA estimation problem can also be applied to reduce the computational burden of 2-D AOA searching.</t>
  </si>
  <si>
    <t>37-42</t>
  </si>
  <si>
    <t>0956375X</t>
  </si>
  <si>
    <t>IEE Proceedings, Part F: Radar and Signal Processing</t>
  </si>
  <si>
    <t>60005429;60005429;60005429</t>
  </si>
  <si>
    <t>57148746300;56948251900;7401672122</t>
  </si>
  <si>
    <t>Chen, Yih Min;Lee, Ju Hong;Yeh, Chien Chung</t>
  </si>
  <si>
    <t>Taipei</t>
  </si>
  <si>
    <t>National Taiwan University</t>
  </si>
  <si>
    <t>Chen Y.M.</t>
  </si>
  <si>
    <t>Two-dimensional angle-or-arrival estimation for uniform planar arrays with sensor position errors</t>
  </si>
  <si>
    <t>10.1049/ip-f-2.1993.0005</t>
  </si>
  <si>
    <t>2-s2.0-0027539981</t>
  </si>
  <si>
    <t>['shows promise', 'open waveguides', 'good correlation', 'function approach', 'experimental data', 'continuous spectrum', 'characteristic green', 'antenna applications']</t>
  </si>
  <si>
    <t>The analysis of discontinuities in open waveguides, particularly strongly radiating discontinuities, requires a knowledge of the complete modal spectrum of the guide. The continuous spectrum of nonseparable open waveguides, a category which includes many useful high frequency structures, may be developed from a characteristic Green's function approach. This paper shall present as an example the continuous hybrid spectrum of the Inset Dielectric Guide (I.D.G.), a structure that shows promise for both propagation and antenna applications. As a verification, this spectrum has further been used to analyze strongly radiating rectangular waveguide to I.D.G. transitions, achieving a good correlation with experimental data. ¬© 1993 IEEE</t>
  </si>
  <si>
    <t>282-289</t>
  </si>
  <si>
    <t>60031624;60031624</t>
  </si>
  <si>
    <t>35516302600;56253019800</t>
  </si>
  <si>
    <t>Sewell, Phillip D.;Rozzi, Tullio</t>
  </si>
  <si>
    <t>Italy</t>
  </si>
  <si>
    <t>Ancona</t>
  </si>
  <si>
    <t>Universit√† Politecnica delle Marche</t>
  </si>
  <si>
    <t>Sewell P.D.</t>
  </si>
  <si>
    <t>The continuous spectrum of the inset dielectric guide and its application to waveguide transitions</t>
  </si>
  <si>
    <t>10.1109/22.216469</t>
  </si>
  <si>
    <t>2-s2.0-0027540528</t>
  </si>
  <si>
    <t>['theoretical study', 'substrate case', 'rectangular patch', 'numerical results', 'expansion theory', 'aspect ratio', 'also discussed']</t>
  </si>
  <si>
    <t>The circular polarization condition for a rectangular microstrip patch antenna on a thin cylindrical substrate is investigated. The theoretical study is based on the modal-expansion theory, which is valid for the thin-substrate case. Numerical results for the aspect ratio of the cylindrical-rectangular patch, the optimal feed point for minimum voltage standing wave ratio, and the 3 dB bandwidth for circularly polarized radiation are analyzed. Effects of the curvature on the circular polarization condition are also discussed. ¬© 1993 IEEE</t>
  </si>
  <si>
    <t>246-249</t>
  </si>
  <si>
    <t>60011357;60011357</t>
  </si>
  <si>
    <t>35460663000;7007049357</t>
  </si>
  <si>
    <t>Wong, Kin Lu;Ke, Shyh Yeong</t>
  </si>
  <si>
    <t>Kaohsiung</t>
  </si>
  <si>
    <t>National Sun Yat-Sen University</t>
  </si>
  <si>
    <t>Wong K.</t>
  </si>
  <si>
    <t>Cylindrical-Rectangular Microstrip Patch Antenna for Circular Polarization</t>
  </si>
  <si>
    <t>10.1109/8.214621</t>
  </si>
  <si>
    <t>2-s2.0-0027540537</t>
  </si>
  <si>
    <t>['trough scatterers', 'surface impedance', 'structure satisfy', 'parametric study', 'optimization studies', 'model chosen', 'ground plane', 'good simulation', 'geometry demonstrate', 'geometries investigated', 'filled 2', 'cavity mount', 'based upon', 'also shown']</t>
  </si>
  <si>
    <t>An application of the impedance boundary condition to 2-D trough scatterers is described in this paper which obtains the approximate field solutions at a much reduced computational cost compared with more exact numerical approaches. The geometries investigated in this study have appreciable subsurface interactions that must be accounted for in the surface impedance. The model chosen to calculate this surface impedance is based upon a simple lossy transmission line analogy which gives surprisingly good results, suggesting this technique can be used in tandem with more exact solution methodologies in optimization studies, for example. After a brief canonical study of the coated circular cylinder, the filled 2-D trough in a ground plane (which can be used as a model for an antenna-cavity mount) is analyzed and compared with a more exact numerical approach. The results of a parametric study of this geometry demonstrate that excellent farfield agreement is obtained when the material and structure satisfy only the requirements for the traditional impedance boundary condition. This model is also shown to provide a very good simulation for 2-D troughs with slanted side walls which produce inhomogeneous equivalent surface impedance representations. ¬© 1993 IEEE</t>
  </si>
  <si>
    <t>146-153</t>
  </si>
  <si>
    <t>60015941;60000745;60000745</t>
  </si>
  <si>
    <t>7003300632;7005196479;55197051100</t>
  </si>
  <si>
    <t>Whites, Keith W.;Michielssen, Eric;Mittra, Raj</t>
  </si>
  <si>
    <t>Lexington;Urbana</t>
  </si>
  <si>
    <t>University of Kentucky;University of Illinois Urbana-Champaign</t>
  </si>
  <si>
    <t>60015941;60000745</t>
  </si>
  <si>
    <t>Whites K.</t>
  </si>
  <si>
    <t>Approximating the Scattering by a Material-Filled 2-D Trough in an Infinite Plane Using the Impedance Boundary Condition</t>
  </si>
  <si>
    <t>10.1109/8.214604</t>
  </si>
  <si>
    <t>2-s2.0-0027540538</t>
  </si>
  <si>
    <t>Australian Telecommunications and Electronics Research Board</t>
  </si>
  <si>
    <t>ATERB</t>
  </si>
  <si>
    <t>['wide range', 'steer angles', 'paper illustrates', 'found using', 'finite size', 'feed line', 'expected characteristics', 'efficient solution', 'dielectric structures', 'analysis described']</t>
  </si>
  <si>
    <t>An electric field integral equation method for the analysis of three-dimensional composite conducting and dielectric structures is applied to a metal strip antenna on an electrically thick dielectric substrate of finite size in a uniform infinite array environment An efficient solution is found using the method of moments. Metal strip folded dipole antennas are analyzed both with and without a coplanar strip feed line, and the effects of the substrate and feed line are investigated. A technique for minimizing the effect of feed line scattering is presented, and arrays of these elements are shown to be capable of good scanning performance over a wide range of beam-steer angles. A phased array simulator experiment is described and the measured results show good agreement with those obtained by analysis. The class of antenna elements studied may be fabricated using monolithic microwave integrated circuit (MMIC) technology, and the analysis described in this paper illustrates the expected characteristics for millimeter-wavelength phased arrays of this type. ¬© 1993 IEEE</t>
  </si>
  <si>
    <t>191-199</t>
  </si>
  <si>
    <t>Analysis of Infinite Arrays of Substrate-Supported Metal Strip Antennas</t>
  </si>
  <si>
    <t>10.1109/8.214610</t>
  </si>
  <si>
    <t>2-s2.0-0027540561</t>
  </si>
  <si>
    <t>['wiley company', 'knowing perfectly', 'inc .,', 'anechoic chamber']</t>
  </si>
  <si>
    <t>anechoic chamber | measurement | polarimetric | Radar cross section | recognition | time domain</t>
  </si>
  <si>
    <t>In an anechoic chamber, radar cross‚Äêsection (RCS) or antenna measurements intensify the need of knowing perfectly the electromagnetic (em) behavior of the locale of treatment. So it is very important to characterize the noise in the anechoic chamber. This can be done by locating and recognizing the elements which cause the perturbation. In this article a new technique using a combination of polarimetric and time domain analyses is presented. ¬© 1993 John Wiley &amp; sons, Inc. Copyright ¬© 1993 Wiley Periodicals, Inc., A Wiley Company</t>
  </si>
  <si>
    <t>135-138</t>
  </si>
  <si>
    <t>60008055;60008055</t>
  </si>
  <si>
    <t>57213585153;6701365631</t>
  </si>
  <si>
    <t>Desclos, L.;Pouliguen, P.</t>
  </si>
  <si>
    <t>Polarimetric analysis of an anechoic chamber in a time domain</t>
  </si>
  <si>
    <t>10.1002/mop.4650060215</t>
  </si>
  <si>
    <t>2-s2.0-0027540642</t>
  </si>
  <si>
    <t>Army Research Office</t>
  </si>
  <si>
    <t>DAAL03-88-K-0005</t>
  </si>
  <si>
    <t>ARO</t>
  </si>
  <si>
    <t>['two slotlines', 'two modes', 'finite width', 'coupled lines', 'conductor backing', 'backed slotlines']</t>
  </si>
  <si>
    <t>Leakage phenomena possible in conductor-backed slotlines were investigated through an analysis of coupled lines. Coupling between two slotlines with a finite width of conductor backing was examined. Obtained propagation constants for two modes of the coupled slotline confirm that coupling is caused by leakage through the conductor backing. ¬© 1993 IEEE</t>
  </si>
  <si>
    <t>40-41</t>
  </si>
  <si>
    <t>60027550-60025555;60027550</t>
  </si>
  <si>
    <t>7203066152;36041035600</t>
  </si>
  <si>
    <t>Hirota, Tetsuo;Itoh, Tatsuo</t>
  </si>
  <si>
    <t>United States;Japan</t>
  </si>
  <si>
    <t>Los Angeles;Tokyo</t>
  </si>
  <si>
    <t>University of California, Los Angeles;Nippon Telegraph and Telephone Corporation</t>
  </si>
  <si>
    <t>60027550;60025555</t>
  </si>
  <si>
    <t>Hirota T.</t>
  </si>
  <si>
    <t>Coupling Between Slotlines Through a Conductor Backing</t>
  </si>
  <si>
    <t>10.1109/75.196035</t>
  </si>
  <si>
    <t>2-s2.0-0027540660</t>
  </si>
  <si>
    <t>['using diodes', 'temperature effects', 'take place', 'spectral products', 'significantly increased', 'radiating elements', 'practical design', 'possible influence', 'phase shifter', 'mixer configurations', 'measurements show', 'embedded diode', 'dual purpose', 'coupling effects', 'beam scan', 'antenna construction', '92 ghz', '20 ¬∞']</t>
  </si>
  <si>
    <t>The feasibility of using diodes in linear microstrip antenna arrays to facilitate electronic beam scanning is investigated. The first concept concerns a microstrip line loaded with varactor diodes serving the dual purpose of phase shifter and feeder for a linear travelling wave array. Theoretical and practical results provide antenna design data on the number and type of diodes, optimization of the radiating elements and temperature effects. Likely noise figure degradation, transient beam scanning response, and the antenna construction are other design aspects discussed. An array at 7.5 GHz containing 24 varactor diodes demonstrates that some 20¬∞ of beam scan is achievable before the travelling wave action is disrupted, and confirms the usefulness of the concept for applications demanding modest beam scan range and a simple low cost construction. The second concept introduced is a novel microstrip patch element with embedded diode and polarizer enabling mixer action to take place. The theoretical and practical design of this antenna mixer element, and its deployment in an eight element linear beam scanning array at 2.92 GHz, is presented. Other mixer configurations, using additional diodes offering superior suppression of spectral products, are noted and the possible influence of the polarizer on inter-element mutual coupling investigated. Computations and measurements show that coupling effects are not significantly increased and confirm the usefulness of the antenna mixer element concept in beam forming array applications where no premixer low noise amplification is demanded.</t>
  </si>
  <si>
    <t>43-51</t>
  </si>
  <si>
    <t>60009658;60009658;60009658</t>
  </si>
  <si>
    <t>7403018268;7403735789;7003442370</t>
  </si>
  <si>
    <t>James, J. R.;Evans, G. D.;Fray, A.</t>
  </si>
  <si>
    <t>Swindon</t>
  </si>
  <si>
    <t>Defence College of Management and Technology</t>
  </si>
  <si>
    <t>James J.</t>
  </si>
  <si>
    <t>Beam scanning microstrip arrays using diodes</t>
  </si>
  <si>
    <t>10.1049/ip-h-2.1993.0007</t>
  </si>
  <si>
    <t>2-s2.0-0027541402</t>
  </si>
  <si>
    <t>['transmission loss', 'three grids', 'previous one', 'measured data', 'major axis', 'conjugate gradient', 'analysis method', '5 db', '0 db']</t>
  </si>
  <si>
    <t>The analysis and design of a 45¬∞ polarization rotator is presented. A two-octave frequency band is achieved with only three grids of strips, each rotated with respect to the previous one. Over this band the transmission loss is less than 0.5 dB, the circular polarization ratio is less than 2.0 dB, and the major axis of the polarization ellipse forms 45¬∞ 3 with respect to the linear polarization direction of the incident plane wave. The analysis method is an original scheme based upon the conjugate gradient-fast Fourier transform (CG-FFT) method to analyze periodic structures and the generalized scattering matrix (GSM) method to study their connection. A comparison between numerical and measured data is presented. ¬© 1993 IEEE</t>
  </si>
  <si>
    <t>208-213</t>
  </si>
  <si>
    <t>60015179;60015179</t>
  </si>
  <si>
    <t>7203008580;57220192155</t>
  </si>
  <si>
    <t>Torres, R. P.;C√°tedra, M. F.</t>
  </si>
  <si>
    <t>Spain</t>
  </si>
  <si>
    <t>Santander</t>
  </si>
  <si>
    <t>Universidad de Cantabria</t>
  </si>
  <si>
    <t>Torres R.P.</t>
  </si>
  <si>
    <t>Analysis and Design of a Two-Octave Polarization Rotator for Microwave Frequency</t>
  </si>
  <si>
    <t>10.1109/8.214612</t>
  </si>
  <si>
    <t>2-s2.0-0027541499</t>
  </si>
  <si>
    <t>['published literature', 'planar boundaries', 'one uses', 'numerical results', 'microstrip lines', 'layered medium', 'homogeneous space', 'homogeneous media', 'efficient method', 'domain transformation', 'dipole source', 'chebyshev polynomials', 'calculate fields']</t>
  </si>
  <si>
    <t>Sommerfeld integrals ensue when one uses a spectral-domain transformation to calculate fields of a dipole source in a homogeneous space or in a layered medium with planar boundaries. A new and efficient method of evaluating these integrals is presented. This method still converges in the case of unbounded, homogeneous media or when source and observer are both on the boundary itself, as in microstrip lines. The integration is based on decomposition of the integrand into Chebyshev polynomials. Numerical results are given and compared with published literature. ¬© 1993 IEEE</t>
  </si>
  <si>
    <t>159-164</t>
  </si>
  <si>
    <t>Annaert, Guido</t>
  </si>
  <si>
    <t>Belgium</t>
  </si>
  <si>
    <t>Brussels</t>
  </si>
  <si>
    <t>Free Universities of Brussels</t>
  </si>
  <si>
    <t>Annaert G.</t>
  </si>
  <si>
    <t>Evaluation of Sommerfed Integrals Using Chebyshev Decomposition</t>
  </si>
  <si>
    <t>10.1109/8.214606</t>
  </si>
  <si>
    <t>2-s2.0-0027541501</t>
  </si>
  <si>
    <t>['square lattices', 'multiresonant structure', 'convolution theorem']</t>
  </si>
  <si>
    <t>An integral equation formulation for analyzing frequency selective surfaces (FSS) in cascade with dissimilar lattice geometries is described. The tangential field vectors are expanded by defining their Floquet modes according to the convolution theorem. The plane wave transmission coefficient of a multiresonant structure which has triangular and square lattices, with noninteger multiple ratios of their sides, has been computed.</t>
  </si>
  <si>
    <t>59-61</t>
  </si>
  <si>
    <t>60000891;60000891;60000891</t>
  </si>
  <si>
    <t>35562114200;6507201488;6701852001</t>
  </si>
  <si>
    <t>Vardaxoglou, J. C.;Hossainzadeh, A.;Stylianou, A.</t>
  </si>
  <si>
    <t>Loughborough</t>
  </si>
  <si>
    <t>Loughborough University</t>
  </si>
  <si>
    <t>Vardaxoglou J.C.</t>
  </si>
  <si>
    <t>Scattering from two-layer FSS with dissimilar lattice geometries</t>
  </si>
  <si>
    <t>10.1049/ip-h-2.1993.0009</t>
  </si>
  <si>
    <t>2-s2.0-0027541683</t>
  </si>
  <si>
    <t>['two methods', 'term introduces', 'significant error', 'real part', 'methods differ', 'medium ),', 'integral equation', 'insulated monopole', 'insulated conductor', 'input impedance', 'complex approach', 'characteristic impedance', 'applied degree', 'antenna treated', 'additional term', '8 wavelength']</t>
  </si>
  <si>
    <t>Two analytical methods for approximating the input impedance of insulated monopole or dipole antennas embedded within an electrically dense medium have been reported in the literature. The methods differ by the applied degree of approximation in the solution of the integral equation for the current in the insulated conductor. These methods directly affect the calculation of the wavenumber and the characteristic impedance of an antenna treated as a lossy coaxial line. In the more complex approach the resulting formulas contain an additional term which improves the correlation with measured and numerically modeled results for electrically longer antennas. When applied to electrically small antennas (i.e. &lt; 1/8 wavelength in the medium), this term introduces a significant error into the calculation of the real part of the complex input impedance. Special care must be taken if these formulas are used to design multisectional antennas in order to avoid impedance mismatch. Two methods for correcting this error are presented. ¬© 1993 IEEE</t>
  </si>
  <si>
    <t>357-360</t>
  </si>
  <si>
    <t>60015183;60015183</t>
  </si>
  <si>
    <t>6602849831;7006549540</t>
  </si>
  <si>
    <t>Debicki, Piotr S.;Astrahan, Melvin A.</t>
  </si>
  <si>
    <t>Keck School of Medicine of USC</t>
  </si>
  <si>
    <t>Debicki P.S.</t>
  </si>
  <si>
    <t>Calculating input impedance of electrically small insulated antennas for microwave hyperthermia</t>
  </si>
  <si>
    <t>10.1109/22.216483</t>
  </si>
  <si>
    <t>2-s2.0-0027541753</t>
  </si>
  <si>
    <t>NAG3-536</t>
  </si>
  <si>
    <t>['theoretical analysis', 'snapshots used', 'paper characterizes', 'output powers', 'number k', 'band signals', 'array weights', 'algorithm versus']</t>
  </si>
  <si>
    <t>This paper characterizes the performance of the diagonally loaded sample matrix inverse (SMI) algorithm versus the number K of snapshots used in the covariance matrix estimate by providing O(1/K) statistics (bias and variance) of the array weights, output powers, and output power ratios such as SINR and INR. The approach accommodates wide-band signals. Monte Carlo simulations verify the theoretical analysis. ¬© 1993 IEEE</t>
  </si>
  <si>
    <t>721-726</t>
  </si>
  <si>
    <t>60003500;60003500</t>
  </si>
  <si>
    <t>6603229284;35567209400</t>
  </si>
  <si>
    <t>Dilsavor, Ronald L.;Moses, Randolph L.</t>
  </si>
  <si>
    <t>Columbus</t>
  </si>
  <si>
    <t>The Ohio State University</t>
  </si>
  <si>
    <t>Dilsavor R.</t>
  </si>
  <si>
    <t>Analysis of Modified SMI Method for Adaptive Array Weight Control</t>
  </si>
  <si>
    <t>10.1109/78.193212</t>
  </si>
  <si>
    <t>2-s2.0-0027541864</t>
  </si>
  <si>
    <t>['urban road', 'straight road', 'standard deviation', 'space loss', 'service area', 'propagation loss', 'frequency dependence', 'excess loss', 'delay spread', 'cross road', 'base station', 'also carried', '2 œºs', '10 db']</t>
  </si>
  <si>
    <t>Propagation loss and delay spread were examined with a low base station antenna on an urban road, in order to design digital mobile communication systems. For propagation loss, an experiment was carried out. The results were as follows. i) When there are no obstacles on the straight road on which the base station is located, the distance over which a radio wave propagates with only free-space loss increases with frequency, ii) When there are obstacles (trucks and buses) on such a road, and when the base station antenna heights are 5 and 15 m, the loss in excess of the free-space loss is 15 and 10 dB, respectively, at 1 km distance, iii) Frequency dependence of this excess loss is not significant, iv) On a cross road, the loss increases rapidly by 15 dB traveling about 5 m into the cross road from the intersection. For the delay spread, an experiment was also carried out, and the results were as follows, i) The delay spread increases slightly with distance. However, the value is less than 0.3 Œºs within 1 km. ii) The standard deviation of the delay spread increases slightly with distance, and the value is less than 0.2 Œºs. Using the above results, a service area can be predicted. The service area extends along the road on which the base station is located, and is limited in distance along cross roads. ¬© 1993 IEEE</t>
  </si>
  <si>
    <t>103-109</t>
  </si>
  <si>
    <t>IEEE Transactions on Vehicular Technology</t>
  </si>
  <si>
    <t>60025555;60025555</t>
  </si>
  <si>
    <t>56771829000;35887551100</t>
  </si>
  <si>
    <t>Kozono, Shigeru;Taguchi, Akira</t>
  </si>
  <si>
    <t>Kozono S.</t>
  </si>
  <si>
    <t>Mobile Propagation Loss and Delay Spread Characteristics with a Low Base Station Antenna on an Urban Road</t>
  </si>
  <si>
    <t>10.1109/25.192393</t>
  </si>
  <si>
    <t>2-s2.0-0027541934</t>
  </si>
  <si>
    <t>['microstrip line', 'metallic plane', 'easily integrated', 'antenna displays', '10 %).']</t>
  </si>
  <si>
    <t>A half-split cylindrical dielectric resonator placed on a metallic plane and excited in its ‚Äúmagnetic dipole‚Äù mode is a potentially useful antenna element. The use of a microstrip line-slot feed scheme for exciting this antenna is reported. Experimental results show that the antenna displays the anticipated radiation pattern and it has a high operating frequency bandwidth (about 10%). Further, the overall antenna configuration can be easily integrated with MIC's. ¬© 1993 IEEE</t>
  </si>
  <si>
    <t>38-39</t>
  </si>
  <si>
    <t>60028897-60018714-60026338;60028897-60018714</t>
  </si>
  <si>
    <t>57208023373;57027395900</t>
  </si>
  <si>
    <t>Mongia, R. K.;Bhartia, P.</t>
  </si>
  <si>
    <t>Canada;Canada;Canada</t>
  </si>
  <si>
    <t>Ottawa;Kingston;Ottawa</t>
  </si>
  <si>
    <t>University of Ottawa;Royal Military College of Canada;Communications Research Centre</t>
  </si>
  <si>
    <t>60028897;60026338;60018714</t>
  </si>
  <si>
    <t>Mongia R.K.</t>
  </si>
  <si>
    <t>A Half-Split Cylindrical Dielectric Resonator Antenna Using Slot-Coupling</t>
  </si>
  <si>
    <t>10.1109/75.196034</t>
  </si>
  <si>
    <t>2-s2.0-0027542041</t>
  </si>
  <si>
    <t>['wiley company', 'theoretical behavior', 'scattering matrix', 'reflection coefficient', 'inc .,', 'feed line', 'continuous taper', 'bootlace lens', 'aperture admittance']</t>
  </si>
  <si>
    <t>Microstrip line | parallel‚Äêplate waveguide | printed horn</t>
  </si>
  <si>
    <t>In this article the reflection coefficient of a tapered microstrip line radiating in an infinite parallel‚Äêplate conducting waveguide is calculated. The reflection coefficient at the feed line is evaluated by using the aperture admittance of the horn and the scattering matrix of the continuous taper. The theoretical behavior of the aperture admittance is shown and the reflection coefficient of a microstrip horn radiating in the parallel‚Äêplate region of a bootlace lens is measured in order to verify the model. ¬© 1993 John Wiley &amp; sons, Inc. Copyright ¬© 1993 Wiley Periodicals, Inc., A Wiley Company</t>
  </si>
  <si>
    <t>127-131</t>
  </si>
  <si>
    <t>60002644;60002644;60002644;60002644</t>
  </si>
  <si>
    <t>7402505705;7004534603;7102070588;6701818517</t>
  </si>
  <si>
    <t>Cruz, J. L.;Gimeno, B.;Navarro, E. A.;Such, V.</t>
  </si>
  <si>
    <t>Valencia</t>
  </si>
  <si>
    <t>Universitat de Val√®ncia</t>
  </si>
  <si>
    <t>Cruz J.</t>
  </si>
  <si>
    <t>The reflection coefficient of a flared microstrip line radiating in an infinite parallel‚Äêplate waveguide</t>
  </si>
  <si>
    <t>10.1002/mop.4650060213</t>
  </si>
  <si>
    <t>2-s2.0-0027542097</t>
  </si>
  <si>
    <t>['theoretical studies', 'tapered planar', 'study reported', 'polarization characteristics', 'parametric study', 'imaging systems', 'different tapers', 'better cross', 'antipodal counterparts', 'alone basis']</t>
  </si>
  <si>
    <t>A parametric study of the co- and cross-polarization characteristics of tapered planar and antipodal slotline antennas having different tapers has been undertaken with the aim of using them as elements of wideband phased arrays on a stand-alone basis or in conjunction with the reflectors/lenses of imaging systems. The planar tapered slotline antennas have better cross-polarization characteristics than their antipodal counterparts which have better input impedance characteristics. The study reported here was conducted in the 3-12 GHz band and yielded a wealth of information which will complement the theoretical studies which are in progress.</t>
  </si>
  <si>
    <t>17-22</t>
  </si>
  <si>
    <t>60026242;60026242;60026242</t>
  </si>
  <si>
    <t>6603911266;6506240223;6603921863</t>
  </si>
  <si>
    <t>Fourikis, N.;Lioutas, N.;Shuley, N. V.</t>
  </si>
  <si>
    <t>Salisbury</t>
  </si>
  <si>
    <t>Defence Science and Technology Laboratory</t>
  </si>
  <si>
    <t>Fourikis N.</t>
  </si>
  <si>
    <t>Parametric study of the co- and crosspolarization characteristics of tapered planar and antipodal slotline antennas</t>
  </si>
  <si>
    <t>10.1049/ip-h-2.1993.0003</t>
  </si>
  <si>
    <t>2-s2.0-0027542126</t>
  </si>
  <si>
    <t>RI-B-91-17</t>
  </si>
  <si>
    <t>['strip length', 'slot length', 'planar array', 'measured experimentally', 'input impedance', 'impedance data', 'feeding point', 'experimental studies', 'computed theoretically', 'cavity dimension']</t>
  </si>
  <si>
    <t>Theoretical and experimental studies of a cavity-backed slot antenna excited internally by a suspended narrow strip are undertaken. Coupled integral equations are developed to compute the electric field distribution in the slot and the surface current distribution on the strip. The input impedance of the cavity at the feeding point on the strip has been computed theoretically and measured experimentally. The impedance data, being a function of cavity dimension, slot length, strip length, and frequency, can be polyfitted and used to implement a systematic design procedure to construct a planar array of these slots. ¬© 1993 IEEE</t>
  </si>
  <si>
    <t>236-241</t>
  </si>
  <si>
    <t>60003892;60003892</t>
  </si>
  <si>
    <t>7801630479;57208464375</t>
  </si>
  <si>
    <t>Hashemi-Yeganeh, Shahrokh;Birtcher, Craig</t>
  </si>
  <si>
    <t>Hashemi-Yeganeh S.</t>
  </si>
  <si>
    <t>Theoretical and Experimental Studies of Cavity-Backed Slot Antenna Excited by a Narrow Strip</t>
  </si>
  <si>
    <t>10.1109/8.214618</t>
  </si>
  <si>
    <t>2-s2.0-0027542323</t>
  </si>
  <si>
    <t>['rf excitation', 'permeability variation', 'patch antenna', 'multiresonant behavior', 'ferrite substrate', 'experimental findings']</t>
  </si>
  <si>
    <t>The permeability variation of a ferrite substrate with an axial dc magnetic bias field along with the RF excitation of a microstrip antenna leads to multiresonant behavior. A study of tuning the patch antenna on a ferrite substrate to exploit this feature is reported here along with the associated theoretical analysis and experimental findings. ¬© 1993 IEEE</t>
  </si>
  <si>
    <t>230-233</t>
  </si>
  <si>
    <t>60012658;60070262;</t>
  </si>
  <si>
    <t>57207154485;7006422314;8356522700</t>
  </si>
  <si>
    <t>Mishra, R. X.;Pattnaik, S. S.;Das, N.</t>
  </si>
  <si>
    <t>India;India</t>
  </si>
  <si>
    <t>Itanagar;Berhampur</t>
  </si>
  <si>
    <t>North Eastern Regional Institute of Science and Technology;Berhampur University</t>
  </si>
  <si>
    <t>60070262;60012658</t>
  </si>
  <si>
    <t>Mishra R.</t>
  </si>
  <si>
    <t>Tuning of Microstrip Antenna on Ferrite Substrate</t>
  </si>
  <si>
    <t>10.1109/8.214616</t>
  </si>
  <si>
    <t>2-s2.0-0027542324</t>
  </si>
  <si>
    <t>['various losses', 'sufficiently large', 'resistive tapering', 'photonic array', 'nonresistive taper', 'noise figure', 'losses following', 'feed network', 'combining network', 'collective effect', 'beamforming network', 'array gain', 'amplifier gain', 'also examined']</t>
  </si>
  <si>
    <t>A figure of merit, G/T, for a multichannel active array antenna was derived, and the effects of the beamforming network on the overall noise figure of the system was studied. Also examined in the paper are the dependence of the noise figure on various losses, and the difference between a resistive and nonresistive taper in the combining network. When the amplifier gain is sufficiently large, the losses following the LNA can usually be ignored. For a photonic array with lossy time shift elements, however, the downstream losses become significant. Also, if resistive tapering is employed, not only the array gain but also the noise figure will be degraded by the collective effect of the feed network. ¬© 1993 IEEE</t>
  </si>
  <si>
    <t>241-244</t>
  </si>
  <si>
    <t>Lee, I. J.</t>
  </si>
  <si>
    <t>Lee I.</t>
  </si>
  <si>
    <t>G/T and Noise Figure of Active Array Antennas</t>
  </si>
  <si>
    <t>10.1109/8.214619</t>
  </si>
  <si>
    <t>2-s2.0-0027542328</t>
  </si>
  <si>
    <t>['two variations', 'two designs', 'techniques used', 'series feed', 'prototype designs', 'first presented', 'feed network', 'experimental results', 'also discussed']</t>
  </si>
  <si>
    <t>Two variations of a novel feeding technique for a wideband circularly polarized aperture-coupled microstrip antenna are described. Prototype designs for wideband linearly polarized elements are first presented, and then used for circularly polarized designs. Techniques used for design of the feed network are detailed, for both series feed and parallel feed versions. Experimental results are shown for each antenna, and results for the two designs are compared. The impedance and axial ratio bandwidths for these antennas are among the best yet achieved for microstrip antenna elements. Several design variations are also discussed. ¬© 1993 IEEE</t>
  </si>
  <si>
    <t>214-220</t>
  </si>
  <si>
    <t>60014313;60014313</t>
  </si>
  <si>
    <t>6603820268;7006061921</t>
  </si>
  <si>
    <t>Targonski, Stephen D.;Pozar, David M.</t>
  </si>
  <si>
    <t>Amherst MA</t>
  </si>
  <si>
    <t>University of Massachusetts Amherst</t>
  </si>
  <si>
    <t>Targonski S.</t>
  </si>
  <si>
    <t>Design of Wideband Circularly Polarized Aperture-Coupled Microstrip Antennas</t>
  </si>
  <si>
    <t>10.1109/8.214613</t>
  </si>
  <si>
    <t>2-s2.0-0027542894</t>
  </si>
  <si>
    <t>ECS-87 15073</t>
  </si>
  <si>
    <t>['potentially simple', 'new type', 'new horn', 'multimode operation', 'multimode horn', 'low cross', 'given frequency', 'dielectric thickness', 'dielectric loading', 'desirable features', 'communication applications', 'axis gain', 'attractive alternative', 'aperture efficiency', 'additional advantage']</t>
  </si>
  <si>
    <t>A dielectric-loaded multiflare conical horn exhibiting the desirable features of low side lobes and cross-polarization with the additional advantage of increased on-axis gain is reported. This new horn is developed by combining the techniques of multimode operation for low cross-polarization and side lobe levels, and dielectric loading for aperture efficiency (gain) enhancement. The condition for the support of balanced hybrid modes for low cross polar radiation in the dielectric-loaded multimode horn is derived. Also the equation for the dielectric thickness for maximum aperture efficiency at a given frequency is obtained. This new type of multimode horn is potentially simple to design, analyze, and manufacture, yet it exhibits the desirable features of corrugated conical horn and hence can be an attractive alternative to corrugated conical horns for communication applications. ¬© 1993 IEEE</t>
  </si>
  <si>
    <t>154-158</t>
  </si>
  <si>
    <t>Nair, R. A.</t>
  </si>
  <si>
    <t>Mankato</t>
  </si>
  <si>
    <t>Minnesota State University Mankato</t>
  </si>
  <si>
    <t>Nair R.</t>
  </si>
  <si>
    <t>Propagation and Radiation Behavior of Dielectric-Loaded Plural Hybrid Mode Multiflare Conical Horn Antennas</t>
  </si>
  <si>
    <t>10.1109/8.214605</t>
  </si>
  <si>
    <t>2-s2.0-0027542895</t>
  </si>
  <si>
    <t>DASG-60-84-C-0091</t>
  </si>
  <si>
    <t>['variable curvature', 'takes place', 'small number', 'ring array', 'receiving element', 'ray travel', 'ray expressions', 'paper addresses', 'large arrays', 'invariant form', 'form admits', 'element type', 'contribution consists', 'concave surfaces', 'concave array', 'canonical model', 'array surface']</t>
  </si>
  <si>
    <t>This paper addresses the basis for the periodic structure ray method (PSRM) for evaluating coupling coefficients in large arrays on concave surfaces. A canonical model of a concave array is analyzed. It consists of an equispaced, stacked-ring array of open-ended rectangular waveguides in a perfectly conducting concave circular cylindrical ground surface. It is shown that in such an array the coupling coefficients may be evaluated as a superposition of a small number of periodic structure ray contributions. A typical such contribution consists of a number of factors, each indicative of a specific physical event that takes place during the ray travel from the transmitting to the receiving element. The ray expressions are presented in an invariant form, independent of element type, lattice, and shape of the array surface. This form admits a straightforward GTD generalization of the periodic structure ray formalism to arrays on concave surfaces with variable curvature. ¬© 1993 IEEE</t>
  </si>
  <si>
    <t>121-136</t>
  </si>
  <si>
    <t>60076904;60108318;</t>
  </si>
  <si>
    <t>6604010206;7005831705;7202928533</t>
  </si>
  <si>
    <t>Tomasic, Boris;Hessel, Alexander;Ahn, Hoon</t>
  </si>
  <si>
    <t>New York;Wright-Patterson AFB</t>
  </si>
  <si>
    <t>NYU Tandon School of Engineering;Air Force Materiel Command</t>
  </si>
  <si>
    <t>60108318;60076904</t>
  </si>
  <si>
    <t>Tomasic B.</t>
  </si>
  <si>
    <t>Asymptotic Analysis of Mutual Coupling in Concave Circular Cylindrical Arrays‚ÄîPart I: Far-Zone</t>
  </si>
  <si>
    <t>10.1109/8.214602</t>
  </si>
  <si>
    <t>2-s2.0-0027542896</t>
  </si>
  <si>
    <t>DASG-60-84-C-009 1</t>
  </si>
  <si>
    <t>['uniform representation', 'two representations', 'transition region', 'transition function', 'ray region', 'paraxial region', 'paper evaluates', 'numerically evaluated', 'immediately generalized', 'excited element', 'coupling coefficients', 'concave arrays', 'canonical model', 'canonical integral', 'area close', 'also includes']</t>
  </si>
  <si>
    <t>This paper evaluates the near-zone coupling coefficients in large concave arrays. A canonical model of a circular cylindrical concave array of open-ended rectangular waveguides is analyzed. It is shown that in the paraxial region (which also includes the area close to the excited element) the coupling coefficients are identical, to lowest asymptotic order, to those in an equivalent infinite planar array. In the transition region, which lies between the paraxial and the far-zone, or the ray region, two representations were developed: one, a transition function, expressed in terms of a canonical integral which must be numerically evaluated, the other a uniform representation, which consists of a superposition of a planar array contribution and a few periodic structure rays. The uniform representation is valid in the near-zone (which includes both the paraxial and the transition region) as well as in the far-zone. This form is simple and may be immediately generalized to concave arrays with slowly varying curvature and periodicity. ¬© 1993 IEEE</t>
  </si>
  <si>
    <t>137-145</t>
  </si>
  <si>
    <t>Asymptotic Analysis of Mutual Coupling in Concave Circular Cylindrical Arrays-Part II: Near-Zone</t>
  </si>
  <si>
    <t>10.1109/8.214603</t>
  </si>
  <si>
    <t>2-s2.0-0027542916</t>
  </si>
  <si>
    <t>['vacuum values', 'total field', 'small increments', 'simplest possible', 'remarkably rapid', 'problem using', 'ppp method', 'method appears', 'magnetic bodies', 'large problems', 'iterative steps', 'iterative method', 'inhomogeneous media', 'induced sources', 'incident field', 'elemental source', 'electromagnetic fields', 'conducting antennas', 'computing time', 'based solely', 'available methods', 'arbitrary dielectric']</t>
  </si>
  <si>
    <t>A perturbation/iterative method (the PPP method) is proposed for the analysis of electromagnetic fields in inhomogeneous media. It consists of increasing the values of the parameters of the medium at all points in small increments, starting from their vacuum values, and computing the induced sources by means of the total field (the incident field, plus that of the induced sources as obtained in the preceding step). Thus, in all the perturbation/iterative steps the total excitation field is known, and therefore the solution of any problem using the method is based solely on the expression for the field of an elemental source in a vacuum. The method appears to be very versatile, conceptually the simplest possible and remarkably rapid. It also has extremely low memory requirements even for very large problems, provided that computing time is not critical. In addition, it can be combined very efficiently with other available methods, e.g. with the method of moments for the analysis of conducting antennas in a vacuum to analyze such antennas in the presence of arbitrary dielectric or magnetic bodies.</t>
  </si>
  <si>
    <t>36-42</t>
  </si>
  <si>
    <t>60068815;60068815</t>
  </si>
  <si>
    <t>7006225695;35612330300</t>
  </si>
  <si>
    <t>Popovic, B. D.;Notaros, B. M.</t>
  </si>
  <si>
    <t>Serbia</t>
  </si>
  <si>
    <t>Belgrade</t>
  </si>
  <si>
    <t>University of Belgrade</t>
  </si>
  <si>
    <t>Popovic B.</t>
  </si>
  <si>
    <t>PPP method for analysis of electromagnetic fields in inhomogeneous media</t>
  </si>
  <si>
    <t>10.1049/ip-h-2.1993.0006</t>
  </si>
  <si>
    <t>2-s2.0-0027543042</t>
  </si>
  <si>
    <t>ECS-9211353</t>
  </si>
  <si>
    <t>['theoretical computations', 'conducting sphere', 'bandwidth extending', '70 ghz']</t>
  </si>
  <si>
    <t>Ultra-wideband transient microwave scattering measurements are performed using optoelectronically switched planar antennas. The laser-based system produces freely propagating bursts of picosecond duration electromagnetic radiation, with a bandwidth extending from 5 to over 70 GHz. Measurements are presented for scattering from one and two conducting strips and from a conducting sphere. All measurements are compared to theoretical computations. ¬© 1993 IEEE</t>
  </si>
  <si>
    <t>250-254</t>
  </si>
  <si>
    <t>60108318;60108318</t>
  </si>
  <si>
    <t>7004561693;6602354287</t>
  </si>
  <si>
    <t>Carin, Lawrence;Agi, Kamil</t>
  </si>
  <si>
    <t>NYU Tandon School of Engineering</t>
  </si>
  <si>
    <t>Carin L.</t>
  </si>
  <si>
    <t>Ultra-wideband transient microwave scattering measurements using optoelectronically switched antennas</t>
  </si>
  <si>
    <t>10.1109/22.216464</t>
  </si>
  <si>
    <t>2-s2.0-0027543170</t>
  </si>
  <si>
    <t>['¬© 1993', 'technique may', 'taking advantage', 'qr decomposition', 'briefly reviewed']</t>
  </si>
  <si>
    <t>adaptive beamforming | adaptive lattice filters | Givens rotations | QR decomposition</t>
  </si>
  <si>
    <t>The application of QR decomposition to the problem of narrow-band adaptive beamforming is briefly reviewed. It is then shown how the technique may be extended to broad-band adaptive beamforming. A computationally efficient algorithm is obtained by taking advantage of the time-shift redundancy inherent in the data matrix generated by a multi-channel tapped delay line. ¬© 1993.</t>
  </si>
  <si>
    <t>231-247</t>
  </si>
  <si>
    <t>Integration, the VLSI Journal</t>
  </si>
  <si>
    <t>60020099;60020099</t>
  </si>
  <si>
    <t>7006283363;56056801500</t>
  </si>
  <si>
    <t>McWhirter, J. G.;Proudler, I. K.</t>
  </si>
  <si>
    <t>Buckingham</t>
  </si>
  <si>
    <t>DRA</t>
  </si>
  <si>
    <t>McWhirter J.</t>
  </si>
  <si>
    <t>Orthogonal lattice algorithms for adaptive filtering and beamforming</t>
  </si>
  <si>
    <t>0167-9260(93)90010-A</t>
  </si>
  <si>
    <t>10.1016/0167-9260(93)90010-A</t>
  </si>
  <si>
    <t>2-s2.0-0027543526</t>
  </si>
  <si>
    <t>['truncated cones', 'surface currents', 'spherical scatterer', 'sphere shape', 'scatterer surfaces', 'satisfy automatically', 'results obtained', 'proposed method', 'perfectly conducting', 'parametric equations', 'paper presents', 'obtaining entire', 'numerical results', 'large surfaces', 'good agreement', 'generalized quadrangles', 'general theory', 'general structures', 'general form', 'free edges', 'bilinear surfaces', 'available experimental']</t>
  </si>
  <si>
    <t>The paper presents the general theory of an entire-domain Galerkin method for the analysis of metallic (i.e. perfectly conducting) antennas and scatterers. The antenna and scatterer surfaces are approximated by generalized quadrangles (i.e. curved curvilinear quadrangles defined by means of parametric equations, whose edges coincide with local coordinate lines). Surface currents are expanded in such local coordinate systems and the general form of the corresponding electric field integral equation is derived. A procedure is described for obtaining entire-domain basis functions which satisfy automatically the continuity equation along the surface element interconnections and free edges, and the expressions are derived for the impedance matrix elements in this case. Starting from the general theory, two new particular methods are presented. The first is intended for the analysis of general structures, and is based on application of truncated cones and bilinear surfaces for the approximation of geometry. The second is aimed for the analysis of spherical scatterer, and is based on the application of generalized rectangular elements which follow the sphere shape. Both methods use polynomials for approximation of currents. Very good agreement of the results obtained by the proposed method with available experimental and numerical results is achieved by using small number of unknowns per wavelength squared (about ten for large surfaces of simple form).</t>
  </si>
  <si>
    <t>7004349349;7006225695</t>
  </si>
  <si>
    <t>Kolundzija, B. M.;Popovic, B. D.</t>
  </si>
  <si>
    <t>Kolundzija B.</t>
  </si>
  <si>
    <t>Entire-domain Galerkin method for analysis of metallic antennas and scatterers</t>
  </si>
  <si>
    <t>10.1049/ip-h-2.1993.0001</t>
  </si>
  <si>
    <t>2-s2.0-0027543707</t>
  </si>
  <si>
    <t>['wiley company', 'thin layers', 'strip line', 'pseudochiral composites', 'prospective uses', 'inc .,']</t>
  </si>
  <si>
    <t>boundary conditions | ferrite strip line | Pseudochiral | scanning antennas</t>
  </si>
  <si>
    <t>Here we study electromagnetic properties of thin layers of novel pseudochiral synthetic materials, described by bianisotropic constitutive relations. Approximate boundary conditions are given to model plane layers and to simplify electromagnetic analysis. Properties of waves in a strip line on a two‚Äêlayer ferrite‚Äêpseudochiral substrate are studied and examples of prospective uses of pseudochiral composites are suggested. ¬© 1993 John Wiley &amp; sons, Inc. Copyright ¬© 1993 Wiley Periodicals, Inc., A Wiley Company</t>
  </si>
  <si>
    <t>112-115</t>
  </si>
  <si>
    <t>Tretyakov, Sergei A.</t>
  </si>
  <si>
    <t>Saint Petersburg</t>
  </si>
  <si>
    <t>Peter the Great St. Petersburg Polytechnic University</t>
  </si>
  <si>
    <t>Tretyakov S.</t>
  </si>
  <si>
    <t>Thin pseudochiral layers: Approximate boundary conditions and potential applications</t>
  </si>
  <si>
    <t>10.1002/mop.4650060209</t>
  </si>
  <si>
    <t>2-s2.0-0027544007</t>
  </si>
  <si>
    <t>['problem via', 'principal planes', 'parallel plates', 'order beams', 'linear array', 'integral equation', 'fourier transform', 'finite height', 'field problem', 'computed solution', '2d solutions', '2d problem']</t>
  </si>
  <si>
    <t>In arrays of waveguide fed slots, the periodicity of the slots causes grating lobes off the principal planes, referred to as second-order beams. To suppress these lobes, parallel plates (baffles) on both sides of the array can be used. In this paper, a linear array of longitudinal slots radiating between such baffles of finite height is analyzed. The three-dimensional (3D) field problem is reduced to a two-dimensional (2D) problem via a Fourier transform. An integral equation for the 2D problem is developed and solved. The 3D radiation pattern, including the effect of a finite ground plane outside the baffles, is calculated from the 2D solutions. Results for various baffle dimensions, showing the attenuation of second-order beams, are presented and computed solution has been verified by measurements.</t>
  </si>
  <si>
    <t>52-58</t>
  </si>
  <si>
    <t>60000990;60000990</t>
  </si>
  <si>
    <t>57213640532;7101988263</t>
  </si>
  <si>
    <t>Forooraghi, K.;Kildal, P. S.</t>
  </si>
  <si>
    <t>Gothenburg</t>
  </si>
  <si>
    <t>Chalmers University of Technology</t>
  </si>
  <si>
    <t>Forooraghi K.</t>
  </si>
  <si>
    <t>Transverse radiation pattern of a slotted waveguide array radiating between finite height baffles in terms of a spectrum of two-dimensional solutions</t>
  </si>
  <si>
    <t>10.1049/ip-h-2.1993.0008</t>
  </si>
  <si>
    <t>2-s2.0-0027544140</t>
  </si>
  <si>
    <t>U.S. Air Force</t>
  </si>
  <si>
    <t>PR-76209107051</t>
  </si>
  <si>
    <t>USAF</t>
  </si>
  <si>
    <t>['scan performance', 'properties depend', 'perpendicular bias', 'outlined resulting', 'modes supported', 'frequency agility', 'ferrite substrates']</t>
  </si>
  <si>
    <t>In this paper we report on the radiation from infinite dipole arrays printed on ferrite substrates. Ferrite materials offer unique design capabilities at microwave frequencies owing to the fact that the some of their properties depend on the dc magnetic field applied to them. The performance of an array of printed elements depends strongly on, among other things, the modes supported by the substrate. We describe the nature of grounded ferrite substrate modes and their relation to the scan performance of dipole arrays printed on such ferrite substrates. Both in-plane and perpendicular bias are considered, and a scheme of dynamic ferrite biasing is outlined resulting in unique scan performance and a 16% frequency agility of ferrite substrate dipole arrays. ¬© 1993 IEEE</t>
  </si>
  <si>
    <t>165-176</t>
  </si>
  <si>
    <t>60014313;60014313;60014313</t>
  </si>
  <si>
    <t>6603547695;7006506603;35830515400</t>
  </si>
  <si>
    <t>Buris, Nicholas E.;Funk, Timothy B.;Silverstein, Robert S.</t>
  </si>
  <si>
    <t>Buris N.</t>
  </si>
  <si>
    <t>Dipole Arrays Printed on Ferrite Substrates</t>
  </si>
  <si>
    <t>10.1109/8.214607</t>
  </si>
  <si>
    <t>2-s2.0-0027544765</t>
  </si>
  <si>
    <t>['wiley company', 'radiation characteristics', 'parabolic reflector', 'inc .,', '1 bandwidth']</t>
  </si>
  <si>
    <t>hybrid orthogonal | reflector antenna | TEM feed | Ultra wideband</t>
  </si>
  <si>
    <t>A novel feeding arrangement allows the parabolic reflector to radiate efficiently without the need of any loads or terminations. Radiation characteristics were examined over a 10:1 bandwidth. ¬© 1993 John Wiley &amp; sons, Inc. Copyright ¬© 1993 Wiley Periodicals, Inc., A Wiley Company</t>
  </si>
  <si>
    <t>95-98</t>
  </si>
  <si>
    <t>Ho, T. Q.</t>
  </si>
  <si>
    <t>Space and Naval Warfare Systems Center San Diego</t>
  </si>
  <si>
    <t>Ho T.Q.</t>
  </si>
  <si>
    <t>A hybrid orthogonal TEM‚ÄêFED reflector antenna</t>
  </si>
  <si>
    <t>10.1002/mop.4650060203</t>
  </si>
  <si>
    <t>2-s2.0-0027544920</t>
  </si>
  <si>
    <t>['wave bands', 'tie antenna', 'substrate material', 'semiconductor substrates', 'planar antennas', 'photonic crystal', 'experimental results', 'cubic photonic', 'crystal substrate', 'band gap', 'approximately 13', 'air rather', '2 ghz', '16 ghz']</t>
  </si>
  <si>
    <t>The photonic crystal is investigated as a substrate material for planar antennas in the microwave and millimeter-wave bands. Experimental results are presented for a bow-tie antenna on a (111)-oriented facecentered- cubic photonic-crystal substrate with a band gap between approximately 13 and 16 GHz. When driven at 13.2 GHz, the antenna radiates predominantly into the air rather than into the substrate. This suggests that highly efficient planar antennas can be made on photonic-crystal regions fabricated in semiconductor substrates such as GaAs. ¬© 1993 Optical Society of America.</t>
  </si>
  <si>
    <t>404-407</t>
  </si>
  <si>
    <t>Journal of the Optical Society of America B: Optical Physics</t>
  </si>
  <si>
    <t>60022195;60022195;60023456</t>
  </si>
  <si>
    <t>57223745182;7402174260;7006814090</t>
  </si>
  <si>
    <t>Brown, E. R.;Parker, C. D.;Yablonovitch, E.</t>
  </si>
  <si>
    <t>Piscataway;Cambridge</t>
  </si>
  <si>
    <t>Telcordia Technologies, Inc.;Massachusetts Institute of Technology</t>
  </si>
  <si>
    <t>60023456;60022195</t>
  </si>
  <si>
    <t>Brown E.R.</t>
  </si>
  <si>
    <t>Radiation properties of a planar antenna on a photonic-crystal substrate</t>
  </si>
  <si>
    <t>10.1364/JOSAB.10.000404</t>
  </si>
  <si>
    <t>2-s2.0-0027545616</t>
  </si>
  <si>
    <t>['year period', 'space power', 'simple model', 'research project', 'radar operators', 'radar device', 'operated properly', 'future devices', 'density patterns', 'basic conclusion', 'antenna aperture', 'analysis leads', '50 w', '2 ].', '1 ],']</t>
  </si>
  <si>
    <t>The goal of this research project is to determine the microwave exposure levels encountered by police traffic radar operators for different radar models and different antenna mounting configurations. Measurements are made at the antenna aperture of 5000 radar devices over a 10-year period. Free-space power-density patterns and actual power densities encountered by radar operators for different antenna configurations are measured and analyzed. This analysis leads to the development of a simple model that can be used to estimate exposure levels encountered by radar operators for virtually every existing radar device, and provides a framework for predicting exposure levels for future devices as well. The basic conclusion of this research is as follows: when the radar device is being operated properly, the microwave exposure levels encountered by radar operators is less than 50 w/cm2 i.e., less than 1% of the maximum exposure level of the current safety standards [1], [2]. ¬© 1993 IEEE</t>
  </si>
  <si>
    <t>36-45</t>
  </si>
  <si>
    <t>1558187X</t>
  </si>
  <si>
    <t>IEEE Transactions on Electromagnetic Compatibility</t>
  </si>
  <si>
    <t>Fisher, P. David</t>
  </si>
  <si>
    <t>East Lansing</t>
  </si>
  <si>
    <t>Michigan State University</t>
  </si>
  <si>
    <t>Fisher P.</t>
  </si>
  <si>
    <t>Microwave Exposure Levels Encountered by Police Traffic Radar Operators</t>
  </si>
  <si>
    <t>10.1109/15.249394</t>
  </si>
  <si>
    <t>2-s2.0-0027545629</t>
  </si>
  <si>
    <t>['ships subject', 'random variables', 'polarized antennas', 'paper presents', 'paper defines', 'method accounts', 'linearly polarized', 'density functions', 'antenna patterns', 'antenna gains', 'angular motion']</t>
  </si>
  <si>
    <t>This paper presents a statistically based antenna coupling model for linearly polarized, cross-polarized antennas. The paper defines the antenna gains as random variables. It assumes that the probability density functions of the gains can be estimated from the antenna patterns. From the density functions, a method is developed to calculate the combined density function. This method accounts for angular motion that the antennas would experience if they were mounted on ships subject to roll. The probability of interference is defined, and a method is developed to calculate it based on the combined density function. The results of this analysis for two selected antennas are presented, and the limits of applicability are discussed. ¬© 1993 IEEE</t>
  </si>
  <si>
    <t>28-35</t>
  </si>
  <si>
    <t>Foreman, Terry L.</t>
  </si>
  <si>
    <t>Wellesley</t>
  </si>
  <si>
    <t>EG &amp; G Incorporated</t>
  </si>
  <si>
    <t>Foreman T.L.</t>
  </si>
  <si>
    <t>An Antenna Coupling Model for Cross-Polarized Antennas for Radar Electromagnetic Compatibility Analysis</t>
  </si>
  <si>
    <t>10.1109/15.249393</t>
  </si>
  <si>
    <t>2-s2.0-0027545662</t>
  </si>
  <si>
    <t>['simulations inside', 'room environment', 'particular regard', 'improved measurements', 'experimental results', 'excellent agreement', 'emc ).', 'electromagnetic compatibility']</t>
  </si>
  <si>
    <t>A comparison between simulations using transmission line modeling (TLM) and experimental results is presented, with particular regard to problems in electromagnetic compatibility (EMC). Procedures for improved measurements and simulations inside a screened-room environment are discussed. Excellent agreement with the experimental results is found for simulations made using a variable mesh TLM technique. ¬© 1993 IEEE</t>
  </si>
  <si>
    <t>46-54</t>
  </si>
  <si>
    <t>60015138;60015138;60015138;60015138</t>
  </si>
  <si>
    <t>35547503600;7005918688;7103235804;35510119400</t>
  </si>
  <si>
    <t>Duffy, Alistair P.;Naylor, Phillip;Benson, Trevor M.;Christopoulos, Christos</t>
  </si>
  <si>
    <t>University of Nottingham</t>
  </si>
  <si>
    <t>Duffy A.</t>
  </si>
  <si>
    <t>Numerical Simulation of Electromagnetic Coupling and Comparison with Experimental Results</t>
  </si>
  <si>
    <t>10.1109/15.249395</t>
  </si>
  <si>
    <t>2-s2.0-0027545663</t>
  </si>
  <si>
    <t>['wave impedance', 'unmatched loading', 'take account', 'simultaneous electric', 'paper describes', 'opposite sides', 'modified theory', 'measured results', 'loop antenna']</t>
  </si>
  <si>
    <t>A sensor for simultaneous electric and magnetic field measurement has been described by Kanda, which relies upon measuring the voltage across precisely matched loads at opposite sides of a loop antenna. This paper describes a modification to the theory to take account of unmatched loading of the loop. Measured results of wave impedance over a 10‚Äì400 MHz range demonstrate the accuracy of the modified theory as well as highlighting a novel calibration technique. ¬© 1993 IEEE</t>
  </si>
  <si>
    <t>96-98</t>
  </si>
  <si>
    <t>60103295;60016418</t>
  </si>
  <si>
    <t>7005340040;7005566736</t>
  </si>
  <si>
    <t>Upton, Miles E.G.;Marvin, Andrew C.</t>
  </si>
  <si>
    <t>Cambridge;York</t>
  </si>
  <si>
    <t>Cambridge Consultants Limited;University of York</t>
  </si>
  <si>
    <t>Upton M.</t>
  </si>
  <si>
    <t>Improvements to an Electromagnetic Near-Field Sensor for Simultaneous Electric and Magnetic Field Measurement</t>
  </si>
  <si>
    <t>10.1109/15.249402</t>
  </si>
  <si>
    <t>2-s2.0-0027545780</t>
  </si>
  <si>
    <t>['time course', 'monoclonal antibodies', 'locust antennae', 'like immunoreactivity', 'embryonic development', 'distinct subpopulations', 'antigen expression']</t>
  </si>
  <si>
    <t>1. Following a tissue-specific screening paradigm, monoclonal antibodies have been generated that interact with distinct subpopulations of cells in locust antennae. 2. Antigens were identified as high molecular weight components. 3. Immunoreactivity was not detectable during embryonic development, but rapidly appeared within a few hours of hatching. 4. The time course of antigen expression in antennal cells could be followed in situ as well as in vitro. 5. Expression of monoclonal antibody B14/6D2-like immunoreactivity was prevented by blocking protein synthesis with cycloheximide.</t>
  </si>
  <si>
    <t>45-57</t>
  </si>
  <si>
    <t>The Journal of experimental biology</t>
  </si>
  <si>
    <t>60015815;60015815;60015815;60015815</t>
  </si>
  <si>
    <t>7004874595;7003692909;6504239472;7103041183</t>
  </si>
  <si>
    <t>Strotmann, J.;Boekhoff, I.;G√∂ggerle, S.;Breer, H.</t>
  </si>
  <si>
    <t>Universit√§t Stuttgart</t>
  </si>
  <si>
    <t>Strotmann J.</t>
  </si>
  <si>
    <t>Generation of monoclonal antibodies detecting specific epitopes in locust antennae.</t>
  </si>
  <si>
    <t>2-s2.0-0027546436</t>
  </si>
  <si>
    <t>['significant variation', 'separation distance', 'representative cases', 'practical cases', 'paper presents', 'correction factor']</t>
  </si>
  <si>
    <t>In calibrating monopole antennas, the length of the antenna can be comparable to the separation distance. In that case, there is a significant variation in both the magnitude and the phase of the incident field along the length of the antenna under test. This paper presents an expression for a correction factor to account for this effect. We evaluate the correction factor for some representative cases and present some guidelines for when this factor should be taken into account. The effect can exceed 1 dB in some practical cases. ¬© 1993 IEEE</t>
  </si>
  <si>
    <t>94-96</t>
  </si>
  <si>
    <t>Randa, J.</t>
  </si>
  <si>
    <t>Gaithersburg</t>
  </si>
  <si>
    <t>National Institute of Standards and Technology</t>
  </si>
  <si>
    <t>Randa J.</t>
  </si>
  <si>
    <t>Correction Factor for Nonplanar Incident Field in Monopole Calibrations</t>
  </si>
  <si>
    <t>10.1109/15.249401</t>
  </si>
  <si>
    <t>2-s2.0-0027547718</t>
  </si>
  <si>
    <t>['¬© 1993', 'rights reserved', 'obtain approximations', 'field distributions', 'field distribution', 'electrical engineers']</t>
  </si>
  <si>
    <t>Antennas | Microstrip | Patch antennas</t>
  </si>
  <si>
    <t>The resonant cavity model is used to analyse a microstrip patch antenna for which a closed form solution to the E-field distribution does not exist. A finite difference technique is applied to obtain approximations to the fields. Measured and calculated resonance frequencies, and E-field distributions are compared. ¬© 1993, The Institution of Electrical Engineers. All rights reserved.</t>
  </si>
  <si>
    <t>343-345</t>
  </si>
  <si>
    <t>60010499;60010499</t>
  </si>
  <si>
    <t>7202325899;7004006859</t>
  </si>
  <si>
    <t>Meijer, C. A.;Reader, H. C.</t>
  </si>
  <si>
    <t>Durban</t>
  </si>
  <si>
    <t>University of KwaZulu-Natal</t>
  </si>
  <si>
    <t>Meijer C.</t>
  </si>
  <si>
    <t>Analysis of microstrip patch antennas using a finite difference technique</t>
  </si>
  <si>
    <t>10.1049/el:19930232</t>
  </si>
  <si>
    <t>2-s2.0-0027547827</t>
  </si>
  <si>
    <t>['wiley company', 'tem wave', 'studied experimentally', 'propagation behavior', 'poynting power', 'placing pins', 'patch antenna', 'paper studies', 'open resonator', 'least number', 'investigated analytically', 'inc .,', 'ground planes', 'ground plane', 'fed via', 'external dimensions', 'electric field', 'dimensions identical']</t>
  </si>
  <si>
    <t>Microstrip antenna | parallel plate mode | slot coupled antenna | spatial network method | suppression method</t>
  </si>
  <si>
    <t>In the electromagnetic slot‚Äêcoupled microstrip antenna in which a triplate transmission line is used and a patch antenna is fed via a slot on the ground plane, a parallel plate mode (TEM wave) propagating between the ground planes is excited so that a power leakage causes unwanted coupling and radiation. This paper studies the Poynting power and the electric field of this parallel plate mode. The amount of the parallel plate mode generated and the propagation behavior are investigated analytically by means of the Spatial Network Method. The method for installing shorting pins known for their suppression of the parallel plate mode is studied in its relationship to the generation of the parallel plate mode. A method for placing pins with a least number of pins is proposed. The relationship between the resonance of the parallel plate mode and the external dimensions of the dielectric substrate comprising the triplate transmission line is studied experimentally. It is found that the resonance of the parallel plate mode coincides with that of an open resonator with its dimensions identical to a finite dielectric substrate comprising the triplate transmission line. Copyright ¬© 1993 Wiley Periodicals, Inc., A Wiley Company</t>
  </si>
  <si>
    <t>40-49</t>
  </si>
  <si>
    <t>60018735;60018735;60018735</t>
  </si>
  <si>
    <t>7403250763;6701919222;57191016656</t>
  </si>
  <si>
    <t>Iwasaki, Hisao;Shoki, Hiroki;Kawabatas, Kazuaki</t>
  </si>
  <si>
    <t>Toshiba Corporation</t>
  </si>
  <si>
    <t>Iwasaki H.</t>
  </si>
  <si>
    <t>Analysis of parallel plate mode in slot‚Äêcoupled microstrip antenna</t>
  </si>
  <si>
    <t>10.1002/ecja.4410760204</t>
  </si>
  <si>
    <t>2-s2.0-0027547901</t>
  </si>
  <si>
    <t>['¬© 1993', 'technique avoids', 'rights reserved', 'method gives', 'letter deals', 'good agreement', 'feeding connector', 'electrical engineers', 'disc monopole', 'attachment mode']</t>
  </si>
  <si>
    <t>Finite element analysis | Monopole antennas</t>
  </si>
  <si>
    <t>The Letter deals with the analysis of a disc monopole with the method of moments (MOM) procedure using triangular cells. An accurate annular ring of magnetic currents models the feeding connector. This technique avoids the introduction of an attachment mode at the antenna-to-SMA connector junction. This method gives the theoretical input impedance of a disc monopole within a wide frequency band. Measurements and theory are in good agreement. ¬© 1993, The Institution of Electrical Engineers. All rights reserved.</t>
  </si>
  <si>
    <t>406-407</t>
  </si>
  <si>
    <t>60030553;60030553;60030553</t>
  </si>
  <si>
    <t>6701721200;6602727831;24467497200</t>
  </si>
  <si>
    <t>Hammoud, M.;Poey, P.;Colombel, F.</t>
  </si>
  <si>
    <t>Hammoud M.</t>
  </si>
  <si>
    <t>Matching the input impedance of a broadband disc monopole</t>
  </si>
  <si>
    <t>10.1049/el:19930272</t>
  </si>
  <si>
    <t>2-s2.0-0027549803</t>
  </si>
  <si>
    <t>['¬© 1993', 'wide beamwidth', 'spherical helix', 'rights reserved', 'results indicate', 'radiation patterns', 'radiation characteristics', 'experimental measurements', 'electrical engineers']</t>
  </si>
  <si>
    <t>Antenna radiation patterns | Antennas | Polarisation</t>
  </si>
  <si>
    <t>A spherical helical antenna is proposed and its radiation characteristics are analysed using numerical methods and experimental measurements. Results for a 10 turn helix are presented. These results indicate that the spherical helix can provide circular polarisation over a wide beamwidth. The radiation patterns have a broad main beam, essentially no sidelobes, and low backlobe level. ¬© 1993, The Institution of Electrical Engineers. All rights reserved.</t>
  </si>
  <si>
    <t>325-326</t>
  </si>
  <si>
    <t>60027090;60027090</t>
  </si>
  <si>
    <t>7201823004;7004293822</t>
  </si>
  <si>
    <t>Cardoso, J. C.;Safaai-Jazi, A.</t>
  </si>
  <si>
    <t>Blacksburg</t>
  </si>
  <si>
    <t>Virginia Polytechnic Institute and State University</t>
  </si>
  <si>
    <t>Cardoso J.</t>
  </si>
  <si>
    <t>Spherical helical antenna with circular polarisation over a broad beam</t>
  </si>
  <si>
    <t>10.1049/el:19930220</t>
  </si>
  <si>
    <t>2-s2.0-0027549827</t>
  </si>
  <si>
    <t>['¬© 1993', 'transmission coefficient', 'rights reserved', 'rf transmission', 'radiation condition', 'radiating horn', 'large distances', 'horn geometry', 'frequency domain', 'calculation imposes']</t>
  </si>
  <si>
    <t>The transmission coefficient of a radiating horn is calculated. The calculation imposes a radiation condition at large distances. It employs the boundary integral method developed by Bernstein and Rokhlin. It is performed in the frequency domain and assumes axial symmetry. We discuss the dependence of rf transmission for the horn geometry that is used in the relativistic klystron amplifier experiments at the Naval Research Laboratory. ¬© 1993, Plenum Publishing Corporation. All rights reserved.</t>
  </si>
  <si>
    <t>335-346</t>
  </si>
  <si>
    <t>International Journal of Infrared and Millimeter Waves</t>
  </si>
  <si>
    <t>60027271;60027271;60027271;60027271;60027271</t>
  </si>
  <si>
    <t>7004284805;7201403145;56282948200;23368136200;7003943430</t>
  </si>
  <si>
    <t>Colombant, D. G.;Lau, Y. Y.;Friedman, M.;Krall, J.;Serlin, V.</t>
  </si>
  <si>
    <t>Washington, D.C.</t>
  </si>
  <si>
    <t>Naval Research Laboratory</t>
  </si>
  <si>
    <t>Colombant D.</t>
  </si>
  <si>
    <t>RF convertor simulation-imposition of the radiation condition</t>
  </si>
  <si>
    <t>10.1007/BF02282076</t>
  </si>
  <si>
    <t>2-s2.0-0027549925</t>
  </si>
  <si>
    <t>['two categories', 'two antennas', 'strongly dependent', 'spatial variation', 'signals received', 'signals collected', 'signal category', 'overdense signals', 'nk signals', 'nk ))', 'measurements support', 'february 1990', 'copyright 1993', 'bartholom √©', 'antenna spacing', 'antenna separation', '1968 ],']</t>
  </si>
  <si>
    <t>We have studied 37‚ÄêMHz signals received over an 800‚Äêkm temperate latitude path using 400‚ÄêW continuous wave transmissions. Signals collected during a 9‚Äêday period in February 1990 on two antennas at separations of 5Œª, 10Œª, and 20Œª were analyzed. Three signal categories were identified (overdense, underdense, and not known (NK)) and cross‚Äêcorrelation coefficients between the signals received by the two antennas were calculated for each signal category. No spatial variation, and in particular no decrease, in average cross‚Äêcorrelation coefficient was observed for underdense or NK signals as the antenna spacing was increased from 5Œª to 20Œª. At each antenna separation the cross‚Äêcorrelation coefficients of these two categories were strongly dependent on time. Overdense signals, however, showed no cross‚Äêcorrelation time dependency at 5Œª and 10Œª, but there was a strong time dependency at 20Œª. Recommendations are made in regard to the optimum antenna spacing for a meteor burst communication system using spaced antenna diversity. Our measurements support the views of Bartholom√© and Vogt [1968], who suggested that a 4Œª spaced antenna diversity configuration contributed to the exceptional signal throughput of the COMET meteor burst communication system. Copyright 1993 by the American Geophysical Union.</t>
  </si>
  <si>
    <t>203-212</t>
  </si>
  <si>
    <t>March-April 1993</t>
  </si>
  <si>
    <t>;;</t>
  </si>
  <si>
    <t>57204345637;7202963778;7103210716</t>
  </si>
  <si>
    <t>Cannon, Paul S.;Shukla, Anil K.;Lester, Mark</t>
  </si>
  <si>
    <t>Cannon P.</t>
  </si>
  <si>
    <t>Spaced antenna diversity in temperate latitude meteor burst systems operating near 40 MHz: Variation of signal cross‚Äêcorrelation coefficients with antenna separation</t>
  </si>
  <si>
    <t>10.1029/92RS02454</t>
  </si>
  <si>
    <t>2-s2.0-0027552338</t>
  </si>
  <si>
    <t>['wind vorticity', 'vertical component', 'osa method', 'copyright 1993']</t>
  </si>
  <si>
    <t>Biases in oblique spaced antenna (OSA) horizontal wind estimates due to flow field inhomogeneities are shown to preclude reliable estimation of the vertical component of wind vorticity with the OSA method. Copyright 1993 by the American Geophysical Union.</t>
  </si>
  <si>
    <t>181-186</t>
  </si>
  <si>
    <t>7004340222;7006839428;6602639146</t>
  </si>
  <si>
    <t>Kudeki, Erhan;Rastogi, Prabhat K.;S√ºr√ºc√º, Fahri</t>
  </si>
  <si>
    <t>Kudeki E.</t>
  </si>
  <si>
    <t>A note on oblique spaced antenna method</t>
  </si>
  <si>
    <t>10.1029/92RS01930</t>
  </si>
  <si>
    <t>2-s2.0-0027552514</t>
  </si>
  <si>
    <t>['wire immersed', 'weakly ionized', 'step boundary', 'small probes', 'presheath waves', 'plasma frequency', 'occur close', 'observed experimentally', 'new family', 'isotropic plasma', 'impedance measurements', 'hydrodynamic equations', 'frequencies predicted', 'first time', 'experimental study', 'directly related', 'cutoff frequency', 'copyright 1993', 'boundary conditions', 'approximately half']</t>
  </si>
  <si>
    <t>A theoretical and experimental study of characteristic waves propagating along a wire immersed in a weakly ionized, isotropic plasma is described. The theoretical model uses the hydrodynamic equations with a sheath profile composed of uniform plasma density steps. Boundary conditions at each step boundary and at the wire surface complete the model. The sheath wave characteristic mode is studied, and also a new family of characteristic waves named ‚Äúpresheath waves‚Äù is discovered and investigated. A novel experimental setup is described, one that facilitates the observation of these waves by means of impedance measurements. The measured sheath wave complex propagation constant agrees very well with theory for frequencies below approximately half the plasma frequency. It is shown that the ‚Äúseries resonance‚Äù found on small probes is directly related to the cutoff frequency of sheath wave propagation. A family of presheath waves is observed experimentally for the first time through a set of resonances that occur close to the frequencies predicted, above the sheath wave cutoff frequency. Copyright 1993 by the American Geophysical Union.</t>
  </si>
  <si>
    <t>151-167</t>
  </si>
  <si>
    <t>35194406800;7003913442</t>
  </si>
  <si>
    <t>Morin, Gilbert A.;Balmain, Keith G.</t>
  </si>
  <si>
    <t>Morin G.A.</t>
  </si>
  <si>
    <t>Plasma sheath and presheath waves: Theory and experiment</t>
  </si>
  <si>
    <t>10.1029/92RS02877</t>
  </si>
  <si>
    <t>2-s2.0-0027552648</t>
  </si>
  <si>
    <t>['wiley company', 'scattering superposition', 'radiation pattern', 'radiated field', 'presented using', 'inc .,', 'dyadic green', 'chiral superstrate']</t>
  </si>
  <si>
    <t>chirostrip dipole antenna | Dyadic Green's function | radiation pattern</t>
  </si>
  <si>
    <t>A formulation of the dyadic Green's function for a two‚Äêlayered chirostrip is presented using the method of scattering superposition, and an expression of the radiated field of a horizontal dipole antenna printed on a grounded chiral slab is derived. The effects of a chiral superstrate on the radiation pattern are analyzed. ¬© 1993 John Wiley &amp; sons, Inc. Copyright ¬© 1993 Wiley Periodicals, Inc., A Wiley Company</t>
  </si>
  <si>
    <t>221-223</t>
  </si>
  <si>
    <t>60018308;60018308</t>
  </si>
  <si>
    <t>Yin, Wenyan;Wang, Wenbin</t>
  </si>
  <si>
    <t>Xi'an</t>
  </si>
  <si>
    <t>Xi'an Jiaotong University</t>
  </si>
  <si>
    <t>Analyzing the radiated characteristics of a two‚Äêlayered chirostrip dipole antenna using the dyadic green's function</t>
  </si>
  <si>
    <t>10.1002/mop.4650060402</t>
  </si>
  <si>
    <t>2-s2.0-0027553137</t>
  </si>
  <si>
    <t>['¬© 1991', 'total weight', 'rights reserved', 'power requirements', 'paper estimates', 'large antenna', 'kyoto region', 'key factor', 'gpf would', 'geostationary platform', 'frequency use', 'frequencies allocated', 'first decade', 'dual polarization', 'deployable antenna', 'definition television', 'beam intervals', 'approximately 4', 'aperture diameter', 'american institute', '5 tons', '468 deg', '21st century']</t>
  </si>
  <si>
    <t>If the geostationary platform (GPF) is available in the first decade of the 21st century, the demand on a voice communication base is expected to be about 800,000 Land Mobile Satellite Service (LMSS) terminals. To improve the frequency use of an LMSS over Japan, it is important to reuse the frequencies allocated to the Tokyo metropolitan area in the Osaka-Kobe-Kyoto region. An onboard multibeam antenna with beam intervals of 0.468 deg (L band 30-m class) for each of the 11 beams covering the main Japanese islands, cluster power feeding, and dual polarization can enable the reuse of frequencies at one-beam intervals. A deployable antenna is under development that is lightweight and has a high storage efficiency for launching. This will form the basis for an antenna with an aperture diameter of 30 m. Such a large antenna will be a key factor in reducing ground terminal size. This paper estimates the weight and power requirements of the mission payloads onboard the GPF, which include an LMSS, a millimeter wave personal satellite communication system, and a high-definition television/regional television satellite broadcasting service system. The total weight of this GPF would be approximately 4-5 tons. ¬© 1991 by the American Institute of Aeronautics and Astronautics, Inc. All rights reserved.</t>
  </si>
  <si>
    <t>229-235</t>
  </si>
  <si>
    <t>Journal of Spacecraft and Rockets</t>
  </si>
  <si>
    <t>117241439;117241439;117241439;117241439</t>
  </si>
  <si>
    <t>6603686556;7004088291;7202851040;7005087977</t>
  </si>
  <si>
    <t>Kohmura, M.;Otsu, Y.;Miyasaka, K.;Uda, H.</t>
  </si>
  <si>
    <t>Space Communications Research Corp</t>
  </si>
  <si>
    <t>Kohmura M.</t>
  </si>
  <si>
    <t>Land mobile satellite communication system using the geostationary platform</t>
  </si>
  <si>
    <t>10.2514/3.11532</t>
  </si>
  <si>
    <t>2-s2.0-0027553144</t>
  </si>
  <si>
    <t>['wiley company', 'several types', 'numerical results', 'made according', 'inc .,', 'efficient analysis', 'computing time']</t>
  </si>
  <si>
    <t>CG‚ÄêFFT method | discrete image technique | finite large microstrip dipole arrays | full‚Äêwave analysis</t>
  </si>
  <si>
    <t>The full‚Äêwave analysis of finite large printed dipole arrays is performed by the conjugate gradient‚ÄêFFT method with full‚Äêwave discrete image technique. The CG‚ÄêFFT method has the merits of saving computer memory and computing time. So it is very suitable for the efficient analysis of large printed dipole arrays by combining with the discrete image technique which can convert the spectrum‚Äêdomain problem into the spatial domain without losing any full‚Äêwave information. Several types of finite large printed dipole arrays are analyzed and discussions are made according to the numerical results. ¬© 1993 John Wiley &amp; sons, Inc. Copyright ¬© 1993 Wiley Periodicals, Inc., A Wiley Company</t>
  </si>
  <si>
    <t>235-238</t>
  </si>
  <si>
    <t>60031828;60031828;60031828;60031828</t>
  </si>
  <si>
    <t>55046554200;7404507474;7501662188;7006562937</t>
  </si>
  <si>
    <t>Zhuang, Yuan;Wu, Keli;Wu, Chen;Litva, John</t>
  </si>
  <si>
    <t>Hamilton</t>
  </si>
  <si>
    <t>McMaster University</t>
  </si>
  <si>
    <t>Zhuang Y.</t>
  </si>
  <si>
    <t>Full‚Äêwave analysis of finite large printed dipole arrays using the conjugate gradient‚Äî FFT method</t>
  </si>
  <si>
    <t>10.1002/mop.4650060407</t>
  </si>
  <si>
    <t>2-s2.0-0027553228</t>
  </si>
  <si>
    <t>['wiley company', 'various results', 'single patch', 'inc .,', 'experimental investigation', 'antenna configurations']</t>
  </si>
  <si>
    <t>electromagnetic coupling | Microstrip antennas | Mobilesat | satellite communications</t>
  </si>
  <si>
    <t>An experimental investigation at L‚Äêband frequencies was performed on single patch and electromagnetically coupled microstrip antennas. The aim was to find an antenna array element suitable for mobile satellite communications. Various results and field pattern measurements were taken for different patch sizes and antenna configurations. ¬© 1993 John Wiley &amp; sons, Inc. Copyright ¬© 1993 Wiley Periodicals, Inc., A Wiley Company</t>
  </si>
  <si>
    <t>240-245</t>
  </si>
  <si>
    <t>60031004;60031004;60031004</t>
  </si>
  <si>
    <t>6602581011;35570164700;6506744426</t>
  </si>
  <si>
    <t>Jellett, S. T.;Bialkowski, M. E.;Dimitrios, A. P.</t>
  </si>
  <si>
    <t>The University of Queensland</t>
  </si>
  <si>
    <t>Jellett S.</t>
  </si>
  <si>
    <t>An experimental investigation into microstrip antenna elements suitable for mobilesat applications</t>
  </si>
  <si>
    <t>10.1002/mop.4650060409</t>
  </si>
  <si>
    <t>2-s2.0-0027553322</t>
  </si>
  <si>
    <t>['wave transmitted', 'radome layer', 'properly choosing', 'printed antenna', 'large attenuation', 'gross behavior', 'ferrite superstrate', 'ferrite region', 'ferrite layer', 'experimental data', 'effective permeability', 'bias field', 'attenuation factor']</t>
  </si>
  <si>
    <t>A ferrite superstrate or radome layer can be used to control the radiation, reception, and scattering from a printed antenna or array by applying a dc magnetic bias field in the plane of the ferrite, orthogonal to the RF magnetic field. By properly choosing the bias field, the effective permeability of an extraordinary plane wave propagation in the ferrite region can be made to be zero or negative over a certain frequency range, resulting in an evanescent wave behavior in the ferrite layer, and a large attenuation of the wave transmitted through the layer. Similarly, the radar cross section of the antenna will be reduced by twice this attenuation factor. A simple model capable of predicting the gross behavior of the ferrite radome layer is presented, and experimental data is shown to validate the concept. ¬© 1993 IEEE</t>
  </si>
  <si>
    <t>67-69</t>
  </si>
  <si>
    <t>Pozar, David M.</t>
  </si>
  <si>
    <t>Pozar D.</t>
  </si>
  <si>
    <t>A Magnetically Switchable Ferrite Radome for Printed Antennas</t>
  </si>
  <si>
    <t>10.1109/75.205667</t>
  </si>
  <si>
    <t>2-s2.0-0027553567</t>
  </si>
  <si>
    <t>F30602-92-C-0005</t>
  </si>
  <si>
    <t>['previously demonstrated', 'phase modulator', 'material dispersion', 'frequency operation', '94 ghz']</t>
  </si>
  <si>
    <t>Antenna-coupled LiNbO3 electrooptic modulators can overcome the material dispersion which would otherwise prevent sensitive high-frequency operation. We previously demonstrated the concept with a phase modulator at X-band. We have extended this demonstration to a narrowband 60 GHz phase modulator, and broad-band amplitude modulator designs at 60 and 94 GHz, respectively. ¬© 1993 IEEE</t>
  </si>
  <si>
    <t>307-310</t>
  </si>
  <si>
    <t>IEEE Photonics Technology Letters</t>
  </si>
  <si>
    <t>60031581-60021939;60031581</t>
  </si>
  <si>
    <t>6506941285;7006344629</t>
  </si>
  <si>
    <t>Sheehy, Finbar T.;Bridges, William B.</t>
  </si>
  <si>
    <t>Pasadena;Malibu</t>
  </si>
  <si>
    <t>California Institute of Technology;HRL Laboratories</t>
  </si>
  <si>
    <t>60031581;60021939</t>
  </si>
  <si>
    <t>Sheehy F.</t>
  </si>
  <si>
    <t>60 GHz and 94 GHz Antenna-Coupled LiNbO&lt;inf&gt;3&lt;/inf&gt;Electrooptic Modulators</t>
  </si>
  <si>
    <t>10.1109/68.205620</t>
  </si>
  <si>
    <t>2-s2.0-0027553888</t>
  </si>
  <si>
    <t>['solve accommodation', 'mobile applications', 'mechanical problems', 'feasibility evaluations', 'european mission', 'entire repeater', 'electrical design', 'actual feasibility']</t>
  </si>
  <si>
    <t>Delay network | Dual amplifier | Frequency scanning | Mobile communications | Satellite system</t>
  </si>
  <si>
    <t>A frequency scanning system for mobile applications has been assessed for a European mission at L‚Äêband. Feasibility evaluations, electrical design and analysis have been performed for both the antenna and the entire repeater. Efforts have also been made to solve accommodation, thermal and mechanical problems, so as to demonstrate the actual feasibility of the frequency scanning concept in user‚Äêoriented applications. The very promising results obtained are presented in this paper. Copyright ¬© 1993 John Wiley &amp; Sons, Ltd.</t>
  </si>
  <si>
    <t>87-103</t>
  </si>
  <si>
    <t>March/April 1993</t>
  </si>
  <si>
    <t>100364606;100364606;60018783;117240772;60073283;60073283;60031159</t>
  </si>
  <si>
    <t>7202451194;6602893527;7102391180;6508259806;16025394000;6506191840;55458440300</t>
  </si>
  <si>
    <t>Russo, P.;D'Ippolito, A.;Ruggieri, M.;Volpicella, N.;Scialino, G.;Vatta, S.;Jones, T.</t>
  </si>
  <si>
    <t>Italy;Netherlands;Italy;Italy;Italy</t>
  </si>
  <si>
    <t>Rome;Noordwijk aan Zee;L'Aquila;Cassina de Pecchi;Rome</t>
  </si>
  <si>
    <t>Alenia Aeronautica;ESTEC - European Space Research and Technology Centre;Universit√† degli Studi dell'Aquila;Strada Padana Superiore km 158;Space Engineering</t>
  </si>
  <si>
    <t>60073283;60031159;60018783;117240772;100364606</t>
  </si>
  <si>
    <t>Russo P.</t>
  </si>
  <si>
    <t>A frequency scanning satellite system for land mobile communications</t>
  </si>
  <si>
    <t>10.1002/sat.4600110206</t>
  </si>
  <si>
    <t>2-s2.0-0027553934</t>
  </si>
  <si>
    <t>['sites arise', 'radiated emissions', 'measurement antenna', 'general analysis', 'analysis shows']</t>
  </si>
  <si>
    <t>A general analysis of the coupling of equipment under test to the measurement antenna on an open-field test site used for radiated emission measurements is presented. The analysis shows that differences in measurements between sites arise, partly as a consequence of differences in the depolarization of the radiated emissions. A technique is presented that enables these differences to be accounted for.</t>
  </si>
  <si>
    <t>161-165</t>
  </si>
  <si>
    <t>0960764X</t>
  </si>
  <si>
    <t>IEE Proceedings, Part A: Science, Measurement and Technology</t>
  </si>
  <si>
    <t>Mar</t>
  </si>
  <si>
    <t>60016418;60016418</t>
  </si>
  <si>
    <t>7005566736;7005367927</t>
  </si>
  <si>
    <t>Marvin, A. C.;Ahmadi, J.</t>
  </si>
  <si>
    <t>York</t>
  </si>
  <si>
    <t>University of York</t>
  </si>
  <si>
    <t>Marvin A.C.</t>
  </si>
  <si>
    <t>Comparison of open-field test sites used for radiated emission measurements</t>
  </si>
  <si>
    <t>10.1049/ip-a-3.1993.0026</t>
  </si>
  <si>
    <t>2-s2.0-0027554553</t>
  </si>
  <si>
    <t>['scatterer medium', 'satellite signals', 'results suggest', 'omni antenna', 'either omni', 'dspn signaling', 'directional antennas', 'delay spread', 'closely related']</t>
  </si>
  <si>
    <t>A geometric propagation model is developed for simulating the reception of direct pseudo noise (DSPN) satellite signals by a directional or omni antenna in the dense scatterer mobile environment. The model is used to predict fading statistics for DSPN signaling with either omni or directional antennas. As expected, the mitigation of fading is closely related to the ratio of DSPN chip duration to delay spread of the scatterer medium for both the omni and directional antennas. The results suggest a general, frequency domain interpretation for the value of DSPN in mitigating multipath fading. ¬© 1993 IEEE</t>
  </si>
  <si>
    <t>450-453</t>
  </si>
  <si>
    <t>7005207070;57213807221</t>
  </si>
  <si>
    <t>Amoroso, Frank;Jones, William W.</t>
  </si>
  <si>
    <t>Amoroso F.</t>
  </si>
  <si>
    <t>Geometric Model for DSPN Satellite Reception in the Dense Scatterer Mobile Environment</t>
  </si>
  <si>
    <t>10.1109/26.221077</t>
  </si>
  <si>
    <t>2-s2.0-0027555819</t>
  </si>
  <si>
    <t>Agenzia Spaziale Italiana</t>
  </si>
  <si>
    <t>ASI</t>
  </si>
  <si>
    <t>['two platforms', 'system based', 'strongly affected', 'rights reserved', 'results show', 'radar interferometry', 'proposed application', 'platforms supply', 'paper investigates', 'making use', 'km tether', 'inc .,', 'height accuracy', 'combined dynamics', 'attitude dynamics']</t>
  </si>
  <si>
    <t>This paper investigates the attitude dynamics and control of a vertical interferometric synthetic aperture radar tethered altimeter: a system based on two space platforms of comparable mass connected by 1-km tether. Two vertically spaced physical antennas on these platforms supply the terrain height measurement data by making use of radar interferometry. Since the height accuracy is strongly affected by the combined dynamics of the two platforms, this paper will focus on the analysis and control of high-frequency attitude oscillations. The results show that the proposed control system can limit the attitude angle differences and rates to 10‚àí3 and 10‚àí4 deg/s, respectively, as required by the proposed application. ¬© 1993 American Institute of Aeronautics and Astronautics, Inc., All rights reserved.</t>
  </si>
  <si>
    <t>264-269</t>
  </si>
  <si>
    <t>60017293-101292634;60017293-101292634;60017293-100317130</t>
  </si>
  <si>
    <t>7003833593;6701917301;7103278010</t>
  </si>
  <si>
    <t>Moccia, A.;Vetrella, S.;Grassi, M.</t>
  </si>
  <si>
    <t>Italy;United States;United States</t>
  </si>
  <si>
    <t>Naples;Athens;Atlanta</t>
  </si>
  <si>
    <t>Universit√† degli Studi di Napoli Federico II;Faculty of Engineering;Aerospace Engineering</t>
  </si>
  <si>
    <t>60017293;101292634;100317130</t>
  </si>
  <si>
    <t>Moccia A.</t>
  </si>
  <si>
    <t>Attitude dynamics and control of a vertical interferometric radar tethered altimeter</t>
  </si>
  <si>
    <t>10.2514/3.20998</t>
  </si>
  <si>
    <t>2-s2.0-0027555857</t>
  </si>
  <si>
    <t>['tilt angle', 'target modeled', 'specific results', 'rotation angle', 'radar coordinates', 'paper estimates', 'obtained using', 'given showing', 'doppler radar', 'cylinder using']</t>
  </si>
  <si>
    <t>A Doppler radar is used to obtain the velocity, altitude and distance of an aircraft with respect to the radar coordinates. In this paper we show that the reflected electromagnetic fields picked up by the receiver antenna also contain information on the rotation angle and tilt angle of the aircraft, which could be obtained using a maximum likelihood estimation algorithm. The electromagnetic signal processing unit reported in this paper estimates the angles of rotation and tilt and the radius of the target modeled as a cylinder using the scattered magnetic field. Specific results are given showing the application of the estimator. ¬© 1993 IEEE</t>
  </si>
  <si>
    <t>1767-1770</t>
  </si>
  <si>
    <t>7004675366;14067324200</t>
  </si>
  <si>
    <t>Kirubarajan, T.;Hoole, P. R.P.</t>
  </si>
  <si>
    <t>Kirubarajan T.</t>
  </si>
  <si>
    <t>An Electromagnetic Inverse Problem Solver for Radar: Aircraft Rotation and Tilt Measurements</t>
  </si>
  <si>
    <t>10.1109/20.250747</t>
  </si>
  <si>
    <t>2-s2.0-0027556690</t>
  </si>
  <si>
    <t>['wiley company', 'results indicate', 'radiation characteristics', 'physical length', 'inc .,', 'guide wavelength', 'experimentally investigated', 'dielectric overlay']</t>
  </si>
  <si>
    <t>antenna feed | coplanar waveguide | Slot antenna</t>
  </si>
  <si>
    <t>A linearly tapered slot antenna (LTSA) with a dielectric overlay was experimentally investigated. The presence of dielectric overlay alters the guide wavelength of the LTSA, and thus the radiation characteristics of the antenna. Results indicate that dielectric overlay could be used to reduce the physical length and to improve the radiation characteristics of the LTSA. ¬© 1993 John Wiley &amp; sons, Inc. Copyright ¬© 1993 Wiley Periodicals, Inc., A Wiley Company</t>
  </si>
  <si>
    <t>225-228</t>
  </si>
  <si>
    <t>60026717;60026717;60026717;60026610</t>
  </si>
  <si>
    <t>7202166511;24522606100;7006385851;6701429640</t>
  </si>
  <si>
    <t>Simons, Rainee N.;Lee, Richard Q.;Perl, Thomas D.;Silvestro, John</t>
  </si>
  <si>
    <t>Cleveland;Clemson</t>
  </si>
  <si>
    <t>NASA Glenn Research Center;Clemson University</t>
  </si>
  <si>
    <t>60026717;60026610</t>
  </si>
  <si>
    <t>Simons R.</t>
  </si>
  <si>
    <t>Effect of a dielectric overlay on a linearly tapered slot antenna excited by a coplanar waveguide</t>
  </si>
  <si>
    <t>10.1002/mop.4650060404</t>
  </si>
  <si>
    <t>2-s2.0-0027556726</t>
  </si>
  <si>
    <t>['‚ äúfigure', 'south maneuvers', 'rights reserved', 'periodic thruster', 'partially skewed', 'paper describes', 'nominal orbit', 'nodal crossings', 'momentum vector', 'mission life', 'longer acceptable', 'left uncompensated', 'later phases', 'kept targeted', 'inc .,', 'grow naturally', 'ground antennas', 'flight computer', 'equatorial normal', 'daily sublatitude', 'currently providing', 'communication services', 'associated radio', 'appropriate roll']</t>
  </si>
  <si>
    <t>The satellite GSTAR III is currently providing a multitude of communication services from its 3.9 deg inclined geosynchronous orbit. Nodal crossings are stationkept at 93¬∞W longitude. North-south maneuvers are not implemented and the inclination is permitted to grow naturally. Daily sublatitude and longitude variations trace a ‚Äúfigure-eight‚Äù trajectory as seen from terrestrial observation points, requiring the ground antennas to track the satellite. Left uncompensated, the satellite radiative power footprint and associated radio-frequency polarization plane undergo 24-h cyclic variations. To minimize the daily radiative power variations, the spacecraft antenna boresight is kept targeted at the specified geographic location by programming the flight computer with appropriate roll and pitch bias increments. At later phases of mission life, when the signal polarization plane rotation is no longer acceptable, the momentum vector will be partially skewed in the direction of equatorial normal. At some stage, periodic thruster-assisted spacecraft yaw maneuvers will be required to reduce the polarization plane rotation. This paper describes the attitude maintenance procedures being used to support communication services from a non-nominal orbit. ¬© 1993 American Institute of Aeronautics and Astronautics, Inc., All rights reserved.</t>
  </si>
  <si>
    <t>270-274</t>
  </si>
  <si>
    <t>60028552;60028552</t>
  </si>
  <si>
    <t>7005455140;7202022122</t>
  </si>
  <si>
    <t>Parvez, S. A.;Misra, P. K.</t>
  </si>
  <si>
    <t>McLean/Washington, D.C.</t>
  </si>
  <si>
    <t>Spacenet Inc.</t>
  </si>
  <si>
    <t>Parvez S.</t>
  </si>
  <si>
    <t>GSTAR III attitude for inclined geostationary orbit</t>
  </si>
  <si>
    <t>10.2514/3.20999</t>
  </si>
  <si>
    <t>2-s2.0-0027557444</t>
  </si>
  <si>
    <t>['systematic investigation', 'sidelobe performance', 'metallized rings', 'low efficiency', 'high sidelobes', 'flat nature', 'dbs reception']</t>
  </si>
  <si>
    <t>Flat plate | Fresnel zone plate | Reflector antennas | Subzone phase correction</t>
  </si>
  <si>
    <t>Owing to its flat nature and light weight etc., the Fresnel zone plate antenna is becoming very attractive for such applications as DBS reception and receive‚Äêonly VSAT. The disadvantages of low efficiency and high sidelobes of the simple and the phase reversing zone plates can be improved by using phase correcting techniques. In this paper, a systematic investigation on the efficiency and sidelobe performance of subzone phase correcting zone plate antennas is presented. The design of a form of multilayer phase correcting zone plate reflector is described. A quarter‚Äêwave zone plate reflector constructed with three dielectric layers and metallized rings is reported, with measured peak efficiency of 55 per cent. Copyright ¬© 1993 John Wiley &amp; Sons, Ltd.</t>
  </si>
  <si>
    <t>75-80</t>
  </si>
  <si>
    <t>60008524;60008524</t>
  </si>
  <si>
    <t>55911871600;7201743596</t>
  </si>
  <si>
    <t>Guo, Y. J.;Barton, S. K.</t>
  </si>
  <si>
    <t>Bradford</t>
  </si>
  <si>
    <t>University of Bradford</t>
  </si>
  <si>
    <t>Guo Y.</t>
  </si>
  <si>
    <t>Multilayer phase correcting fresnel zone plate reflector antennas</t>
  </si>
  <si>
    <t>10.1002/sat.4600110204</t>
  </si>
  <si>
    <t>2-s2.0-0027557595</t>
  </si>
  <si>
    <t>DAAL03-89-K-0073</t>
  </si>
  <si>
    <t>['resulting throughput', 'paper describes', 'overlapping packets', 'given set', 'different packet', 'contending packets', 'beam captures', 'automatically pointing', 'antenna elements']</t>
  </si>
  <si>
    <t>We consider the use of a multiple beam adaptive array (MBAA) in a packet radio system. In a multiple beam adaptive array, a given set of antenna elements is used to form several antenna patterns simultaneously. When used in a packet radio system, an MBAA can successfully received two or more overlapping packets at the same time. Each beam captures a different packet by automatically pointing its pattern toward one packet while nulling other contending packets. This paper describes how an MBAA can be integrated into a single-hop slotted ALOHA packet radio system and analyzes the resulting throughput for both finite and infinite user populations. ¬© 1993 IEEE</t>
  </si>
  <si>
    <t>460-470</t>
  </si>
  <si>
    <t>60024592-60003500;60003500</t>
  </si>
  <si>
    <t>16141609500;35611381200</t>
  </si>
  <si>
    <t>Ward, James;Compton, R. Ted</t>
  </si>
  <si>
    <t>Lexington;Columbus</t>
  </si>
  <si>
    <t>Lincoln Laboratory;The Ohio State University</t>
  </si>
  <si>
    <t>60024592;60003500</t>
  </si>
  <si>
    <t>Ward J.</t>
  </si>
  <si>
    <t>High Throughput Slotted ALOHA Packet Radio Networks with Adaptive Arrays</t>
  </si>
  <si>
    <t>10.1109/26.221075</t>
  </si>
  <si>
    <t>2-s2.0-0027557662</t>
  </si>
  <si>
    <t>['vmp concept', 'spinning charge', 'manner analogous', 'linearly accelerated', 'intuitively obvious', 'electromagnetic problems', 'derive software', 'certain types', 'certain conditions', 'antenna analysis', 'analysis technique']</t>
  </si>
  <si>
    <t>The vector magnetic potential (VMP) is an extremely useful tool in the analysis of certain types of electromagnetic problems, particularly in antenna analysis. It will be shown in this paper that when the VMP concept is combined with high precision computation, such as is available in Mathematica or Derive software, an analysis technique can be developed that also greatly simplifies the study of electric and magnetic fields created by individual accelerated particles. Sometimes this technique yields mathematical results that may not be intuitively obvious. For example it can be shown that a linearly accelerated charge generates a field which opposes its own acceleration in a manner analogous to Newtonian inertial forces. Conditions for the two to be equal are developed. Further, it can be shown that under certain conditions, a spinning charge could generate a static electric field equal numerically to its own supposed Coulomb field simply because it is spinning. Finally, it can be shown that the spinning charge, when linearly accelerated, gives results consistent with restricted relativity concepts. ¬© 1993 IEEE</t>
  </si>
  <si>
    <t>1918-1922</t>
  </si>
  <si>
    <t>Hughes, Wm L.</t>
  </si>
  <si>
    <t>Rapid City</t>
  </si>
  <si>
    <t>South Dakota School of Mines &amp; Technology</t>
  </si>
  <si>
    <t>Hughes W.</t>
  </si>
  <si>
    <t>Use of the Vector Magnetic Potential Concept and Very High Precision Computation Software to Study the Electromagnetic Fields of Accelerated Charged Particles</t>
  </si>
  <si>
    <t>10.1109/20.250783</t>
  </si>
  <si>
    <t>2-s2.0-0027557725</t>
  </si>
  <si>
    <t>['wiley company', 'structure electrical', 'radiation phenomenon', 'radiation mechanism', 'radiated field', 'inc .,', 'function method', 'field radiated', 'dyadic green', 'design guidelines']</t>
  </si>
  <si>
    <t>microstrip dipoles | microwave integrated circuits | Time domain</t>
  </si>
  <si>
    <t>A space‚Äêtime analysis of the field radiated from microstrip dipoles embedded in a low‚Äêloss grounded dielectric slab is proposed. The analysis is based on the dyadic Green's function method. The radiation mechanism as well as the structure electrical and geometrical parameters influencing the radiation phenomenon are analyzed. Design guidelines to reduce the amplitude of the radiated field, or its distortion, are suggested. ¬© 1993 John Wiley &amp; sons, Inc. Copyright ¬© 1993 Wiley Periodicals, Inc., A Wiley Company</t>
  </si>
  <si>
    <t>238-240</t>
  </si>
  <si>
    <t>Cicchetti, Renato</t>
  </si>
  <si>
    <t>Rome</t>
  </si>
  <si>
    <t>Sapienza Universit√† di Roma</t>
  </si>
  <si>
    <t>Cicchetti R.</t>
  </si>
  <si>
    <t>On the time‚Äêdomain response of microstrip dipoles embedded in a low‚Äêloss grounded dielectric slab</t>
  </si>
  <si>
    <t>10.1002/mop.4650060408</t>
  </si>
  <si>
    <t>2-s2.0-0027559316</t>
  </si>
  <si>
    <t>['wave frequencies', 'successfully demonstrated', 'sometimes used', 'simple models', 'shifterless beam', 'radiative coupling', 'pulse generation', 'parameters describing', 'oscillator system', 'nonlinear theory', 'models apply', 'external reflectors', 'experimental characterization', 'coupled oscillators', 'also recently']</t>
  </si>
  <si>
    <t>Arrays of coupled oscillators can be used for powercombining at microwave and millimeter-wave frequencies, and have been successfully demonstrated with a variety of devices. Such arrays have also recently been mode-locked for pulse generation, and can be configured for phase-shifterless beam-scanning. The nonlinear theory of coupled-oscillator phase dynamics depends crucially on the parameters describing the coupling between oscillators. Methods for experimental characterization of these parameters are described here, and simple models are developed which reproduce the measurements quite well. The models apply to radiative coupling and the effects of external reflectors which are sometimes used for stabilization. The theory is verified with a two-oscillator system. ¬© 1993 IEEE</t>
  </si>
  <si>
    <t>438-444</t>
  </si>
  <si>
    <t>60029241;60007776</t>
  </si>
  <si>
    <t>7103208478;7202478023</t>
  </si>
  <si>
    <t>York, Robert A.;Compton, Richard C.</t>
  </si>
  <si>
    <t>Santa Barbara;Ithaca</t>
  </si>
  <si>
    <t>University of California, Santa Barbara;Cornell University</t>
  </si>
  <si>
    <t>York R.</t>
  </si>
  <si>
    <t>Measurement and modelling of radiative coupling in oscillator arrays</t>
  </si>
  <si>
    <t>10.1109/22.223742</t>
  </si>
  <si>
    <t>2-s2.0-0027561274</t>
  </si>
  <si>
    <t>['¬© 1993', 'rights reserved', 'noise model', 'noise analysis', 'interesting problem', 'experimental measurements', 'electrical engineers', 'active devices', 'active antenna']</t>
  </si>
  <si>
    <t>Active antennas | Noise</t>
  </si>
  <si>
    <t>A noise model for a developed active antenna is presented. The active antenna is a series of distribution of active devices and microstrip transmission lines. This poses an interesting problem in terms of noise analysis, because the active devices and antenna can no longer be separated. The developed noise model is verified with experimental measurements. ¬© 1993, The Institution of Electrical Engineers. All rights reserved.</t>
  </si>
  <si>
    <t>544-545</t>
  </si>
  <si>
    <t>105638034;105638034;60009697;105638034</t>
  </si>
  <si>
    <t>7005305020;57027512900;8092251400;7004481899</t>
  </si>
  <si>
    <t>Roscoe, D. J.;Ittipiboon, A.;Shafai, L.;Cuhaci, M.</t>
  </si>
  <si>
    <t>Canada;United States</t>
  </si>
  <si>
    <t>Winnipeg;Ottawa</t>
  </si>
  <si>
    <t>University of Manitoba;Communications Research Centre</t>
  </si>
  <si>
    <t>60009697;105638034</t>
  </si>
  <si>
    <t>Roscoe D.</t>
  </si>
  <si>
    <t>Noise analysis of an integrated travelling wave antenna</t>
  </si>
  <si>
    <t>10.1049/el:19930363</t>
  </si>
  <si>
    <t>2-s2.0-0027562269</t>
  </si>
  <si>
    <t>['¬© 1993', 'rights reserved', 'resonance frequency', 'good agreement', 'electrical engineers', '7 ghz']</t>
  </si>
  <si>
    <t>Active antennas | Antennas | Slot antennas</t>
  </si>
  <si>
    <t>A new active slotline ring antenna using an FET is presented. A simple transmisson line method was used to predict the resonance frequency of the FET active slotline ring antenna with good agreement. The active antenna radiated 21.6mW with 18% efficiency at 7.7 GHz. ¬© 1993, The Institution of Electrical Engineers. All rights reserved.</t>
  </si>
  <si>
    <t>521-522</t>
  </si>
  <si>
    <t>60020547;60020547;60020547</t>
  </si>
  <si>
    <t>7404653738;7402512895;7404879378</t>
  </si>
  <si>
    <t>Ho, C. H.;Fan, L.;Chang, K.</t>
  </si>
  <si>
    <t>College Station</t>
  </si>
  <si>
    <t>Texas A&amp;M University</t>
  </si>
  <si>
    <t>Ho C.</t>
  </si>
  <si>
    <t>New FET active slotline ring antenna</t>
  </si>
  <si>
    <t>10.1049/el:19930348</t>
  </si>
  <si>
    <t>2-s2.0-0027565537</t>
  </si>
  <si>
    <t>['¬© 1993', 'tm01 mode', 'rights reserved', 'radiation patterns', 'numerical results', 'equivalence principle', 'electrical engineers', 'cylindrical surface', 'cavity model']</t>
  </si>
  <si>
    <t>Antenna radiation patterns | Antennas | Microstrip antennas</t>
  </si>
  <si>
    <t>An analysis of a thin wraparound microstrip antenna is presented. Based on the cavity model and the equivalence principle, formulas for the far zone electric field are obtained by considering the equivalent magnetic current radiation in the presence of a cylindrical surface. The radiation patterns for the TM01 mode are in agreement with other results. However, its formula is much more compact than the others. Finally, numerical results are given to illustrate the effect of curvature on the radiation patterns. ¬© 1993, The Institution of Electrical Engineers. All rights reserved.</t>
  </si>
  <si>
    <t>512-514</t>
  </si>
  <si>
    <t>60005465;60005465</t>
  </si>
  <si>
    <t>57199911456;7103091093</t>
  </si>
  <si>
    <t>Yang, C.;Ruan, Y. Z.</t>
  </si>
  <si>
    <t>Chengdu</t>
  </si>
  <si>
    <t>University of Electronic Science and Technology of China</t>
  </si>
  <si>
    <t>Yang C.</t>
  </si>
  <si>
    <t>Radiation characteristics of wraparound microstrip antenna on cylindrical body</t>
  </si>
  <si>
    <t>10.1049/el:19930342</t>
  </si>
  <si>
    <t>2-s2.0-0027569238</t>
  </si>
  <si>
    <t>['wiley company', 'simulated results', 'real antenna', 'modeled using', 'mesfet device', 'measured performance', 'inc .,', 'far field']</t>
  </si>
  <si>
    <t>Active antenna | harmonic balance analysis | microstrip patch antenna</t>
  </si>
  <si>
    <t>The far field of an active antenna module comprising a MESFET device with microstrip element terminations is modeled using a large‚Äêsignal harmonic balance technique and discrete two‚Äêdimensional equivalents of the planar circuit elements. Simulated results are presented for comparison with the measured performance of the real antenna. ¬© 1993 John Wiley &amp; sons, Inc. Copyright ¬© 1993 Wiley Periodicals, Inc., A Wiley Company</t>
  </si>
  <si>
    <t>275-277</t>
  </si>
  <si>
    <t>60029738;60029738</t>
  </si>
  <si>
    <t>7006029758;7102894931</t>
  </si>
  <si>
    <t>McDowall, D. S.;Fusco, V. F.</t>
  </si>
  <si>
    <t>Belfast</t>
  </si>
  <si>
    <t>Queen's University Belfast</t>
  </si>
  <si>
    <t>McDowall D.</t>
  </si>
  <si>
    <t>Electromagnetic far‚Äêfield pattern modeling for an active microstrip antenna module</t>
  </si>
  <si>
    <t>10.1002/mop.4650060502</t>
  </si>
  <si>
    <t>2-s2.0-0027573863</t>
  </si>
  <si>
    <t>['¬© 1993', 'target detection', 'single scan', 'rights reserved', 'proper use', 'detection process', 'beam overlap']</t>
  </si>
  <si>
    <t>The impact of beam overlap on probability of detection during a single scan of a phased-array volumetric scan radar is examined. Both rectangular and triangular beam packing arrangements are considered. Beam positions nearby the beam most centered on the target are allowed to contribute to the detection process. The treatment of the impact of beam overlap on target detection for a phased array presented is consistent with the results that would be achieved by proper use of the search radar range equation. ¬© 1993, IEEE. All rights reserved.</t>
  </si>
  <si>
    <t>404-411</t>
  </si>
  <si>
    <t>Fielding, John E.</t>
  </si>
  <si>
    <t>Austin</t>
  </si>
  <si>
    <t>Radian Corporation</t>
  </si>
  <si>
    <t>Fielding J.</t>
  </si>
  <si>
    <t>Beam Overlap Impact on Phased-Array Target Detection</t>
  </si>
  <si>
    <t>10.1109/7.210078</t>
  </si>
  <si>
    <t>2-s2.0-0027574096</t>
  </si>
  <si>
    <t>['wave resistance', 'section shape', 'overall dimensions', 'isl ),', 'fundamental mode', 'francis group']</t>
  </si>
  <si>
    <t>The properties of the image slot line (ISL), the fundamental mode of which is a quasistatic slot quasiwave have been considered, i.e. spectrum, operating frequency band, overall dimensions, attenuation and wave resistance as well as modifications of the ISL, differing in the cross-section shape and being used as a base for various functional units. ¬© 1993 Taylor &amp; Francis Group, LLC.</t>
  </si>
  <si>
    <t>187-202</t>
  </si>
  <si>
    <t>6603546004;7005559067</t>
  </si>
  <si>
    <t>Komar, G. I.;Shestopalov, V. P.</t>
  </si>
  <si>
    <t>Komar G.</t>
  </si>
  <si>
    <t>Image slot line and its modifications</t>
  </si>
  <si>
    <t>10.1080/02726349308908342</t>
  </si>
  <si>
    <t>2-s2.0-0027574578</t>
  </si>
  <si>
    <t>['wide bandwidth', 'wave receivers', 'remain less', 'noise temperature', 'mixer exhibits', 'low cost', 'high gain', 'diode uses', 'design makes', '92 ghz', '86 ghz', '5 db', '106 ghz']</t>
  </si>
  <si>
    <t>An integrated planar receiver has been developed and tested over the 82‚Äì112 GHz bandwidth. The quasi-integrated antenna used in the receiver has a high gain, a high Gaussian coupling efficiency and a wide bandwidth. The novel mixer design consists of a planar GaAs Schottky diode placed at the feed of a dipole-probe suspended inside an integrated horn antenna. The diode uses an etched surface channel and a planar air bridge for reduced parasitic capacitance. At 92 GHz, the room temperature antenna-mixer exhibits a double sideband conversion loss and noise temperature of 5.5 ¬±0.5 dB and 770 K ¬±50 K, respectively. The measured DSB conversion loss and noise temperature over a 20 GHz bandwidth (86 GHz-106 GHz) remain less than 6.2 dB ¬±0.5 dB and 1000 K ¬± 50 K, respectively. The low cost of fabrication and simplicity of the design makes it ideal for millimeter- and submillimeter-wave receivers. ¬© 1993 IEEE</t>
  </si>
  <si>
    <t>558-564</t>
  </si>
  <si>
    <t>60025778-60021918;60025778-60021918</t>
  </si>
  <si>
    <t>6602531547;57211614875</t>
  </si>
  <si>
    <t>Ali-Ahmad, Walid Y.;Rebeiz, Gabriel M.</t>
  </si>
  <si>
    <t>Ann Arbor;Charlottesville</t>
  </si>
  <si>
    <t>University of Michigan, Ann Arbor;University of Virginia</t>
  </si>
  <si>
    <t>60025778;60021918</t>
  </si>
  <si>
    <t>Ali-Ahmad W.Y.</t>
  </si>
  <si>
    <t>An 86‚Äì106 GHz Quasi-Integrated Low Noise Schottky Receiver</t>
  </si>
  <si>
    <t>10.1109/22.231646</t>
  </si>
  <si>
    <t>2-s2.0-0027574718</t>
  </si>
  <si>
    <t>['spatial domain', 'resonant length', 'resonant conductance', 'plates using', 'paper presents', 'outer three', 'one via', 'numerical results', 'integral equation', 'half space', 'good agreement', 'fourier transformation', 'finite height', 'efficient method', 'e field', 'computed results', 'admittance characteristics']</t>
  </si>
  <si>
    <t>This paper presents an efficient method of computing resonant length and admittance characteristics of an isolated broadwall shunt slot, radiating between baffles of finite height The outer three-dimensional (3-D) field problem associated with this geometry is reduced to a two-dimensional (2-D) one via a Fourier transformation with respect to the longitudinal z direction. For each value of the longitudinal wave number kz an integral equation is solved for the E field in the mouth of the plates using the method of moments. This procedure is repeated for several discrete values of kz, to obtain a spectrum of 2-D solutions which are then inverse-transformed to construct the 3-D solution in the spatial domain for the exterior baffle region and the half space. The slot aperture field is determined by the conventional moment method solution to the integral equation that enforces the continuity of the H field across the slot Scattering properties of the slot are then deduced. Numerical results for the resonant length and resonant conductance are presented. Computed results are found to be in good agreement with experimentally measured data. ¬© 1993 IEEE</t>
  </si>
  <si>
    <t>422-428</t>
  </si>
  <si>
    <t>60000990;60000990;60020975</t>
  </si>
  <si>
    <t>57213640532;7101988263;56219429900</t>
  </si>
  <si>
    <t>Forooraghi, Keyvan;Kildal, Per Simon;Rengarajan, Sembiam R.</t>
  </si>
  <si>
    <t>Northridge;Gothenburg</t>
  </si>
  <si>
    <t>California State University, Northridge;Chalmers University of Technology</t>
  </si>
  <si>
    <t>60020975;60000990</t>
  </si>
  <si>
    <t>Admittance of an Isolated Waveguide-Fed Slot Radiating Between Baffles Using a Spectrum of Two-Dimensional Solutions</t>
  </si>
  <si>
    <t>10.1109/8.220974</t>
  </si>
  <si>
    <t>2-s2.0-0027575008</t>
  </si>
  <si>
    <t>['successful recovery', 'spacecraft pyrotechnics', 'spacecraft appendage', 'solar concerns', 'solar arrays', 'principle source', 'practical limitations', 'possible causes', 'permitting data', 'particular significance', 'orbit thermal', 'lessons learned', 'frequency link', 'etc .)', 'electrical energy', 'e2 satellite', 'depth look', 'communications antennas', 'article examines']</t>
  </si>
  <si>
    <t>Modern communications satellites rely heavily upon deployable appendage (i.e. solar arrays, communications antennas, etc.) to perform vital functions that enable the spacecraft to effectively conduct mission objectives. Communications and telemetry antennas provide the radio-frequency link between the spacecraft and the earth ground station, permitting data to be transmitted and received from the satellite. Solar arrays serve as the principle source of electrical energy to the satellite, and recharge internal batteries during operation. However, since satellites cannot carry back-up systems, if a solar array fails to deploy, the mission is lost. This article examines the subject of on-orbit anomalies related to the deployment of spacecraft appendage, and possible causes of such failures. Topics discussed shall include mechanical launch loading, on-orbit thermal and solar concerns, reliability of spacecraft pyrotechnics, and practical limitations of ground-based deployment testing. Of particular significance, the article will feature an in-depth look at the lessons learned from the successful recovery of the Telesat Canada Anik-E2 satellite in 1991. ¬© 1993 IEEE</t>
  </si>
  <si>
    <t>Freeman, Michael T.</t>
  </si>
  <si>
    <t>Norcross</t>
  </si>
  <si>
    <t>Electromagnetic Sciences Inc</t>
  </si>
  <si>
    <t>Freeman M.</t>
  </si>
  <si>
    <t>Spacecraft On-Orbit Deployment Anomalies: What Can Be Done?</t>
  </si>
  <si>
    <t>10.1109/62.210636</t>
  </si>
  <si>
    <t>2-s2.0-0027575164</t>
  </si>
  <si>
    <t>['waveguide walls', 'taken care', 'study eliminate', 'stub waveguide', 'strip combination', 'resultant coefficients', 'resonant condition', 'rectangular waveguide', 'longitudinal slot', 'finite thickness', 'broad wall']</t>
  </si>
  <si>
    <t>A longitudinal slot at the centre of the broad wall of a rectangular waveguide in the presence of one or two vertical strips has been analysed. The combination is excited by the dominant TE01 mode, and the slot radiates externally. The effect of finite thickness of the waveguide walls has been taken care of by treating the slot as a stub waveguide. The coupled integral equations are solved using Galerkin's technique. The resultant coefficients are used to compute the dominant mode scattering parameters and hence the equivalent T-network. The possibility of obtaining a resonant condition for the radiating centred slot-strip combination has been established. Design data derived in this study eliminate the need to gather initial input data experimentally.</t>
  </si>
  <si>
    <t>135-140</t>
  </si>
  <si>
    <t>Apr</t>
  </si>
  <si>
    <t>60004750;60004750;60004750</t>
  </si>
  <si>
    <t>56136383500;57202662632;35753097600</t>
  </si>
  <si>
    <t>Datta, A.;Chakraborty, A.;Das, B. N.</t>
  </si>
  <si>
    <t>Kharagpur</t>
  </si>
  <si>
    <t>Indian Institute of Technology Kharagpur</t>
  </si>
  <si>
    <t>Datta A.</t>
  </si>
  <si>
    <t>Analysis of a strip loaded resonant longitudinal slot in the broad wall of a rectangular waveguide</t>
  </si>
  <si>
    <t>10.1049/ip-h-2.1993.0021</t>
  </si>
  <si>
    <t>2-s2.0-0027575639</t>
  </si>
  <si>
    <t>['station antenna', 'minor axes', 'field distribution', 'elliptical beam', 'designing antennas', 'beam antenna', '76 %,', '20 ghz']</t>
  </si>
  <si>
    <t>A newly developed method of design for a shaped reflector antenna is described. A conventional quadratic reflector configuration is assumed; the reflectors are then modified to yield the desired aperture shape and field distribution by introducing shaping functions. This method is useful for designing antennas with an arbitrary shaped beam, such as an elliptical-beam antenna, and has been verified through a 4.7 m √ó 2.3 m (equivalent to 3.3 m diameter) dual-band (30-20 GHz) earth-station antenna for the Japanese domestic satellite system CS. The measured aperture efficiency is more than 76%, and the ratio of the major and minor axes of the elliptical beam is 2:1.</t>
  </si>
  <si>
    <t>121-128</t>
  </si>
  <si>
    <t>60101699;60101699;60101699;60101699</t>
  </si>
  <si>
    <t>54887177600;7403067757;7004304668;35564404500</t>
  </si>
  <si>
    <t>Aoki, K.;Makino, S.;Katagi, T.;Kagoshima, K.</t>
  </si>
  <si>
    <t>Mitsubishi Electric Corporation</t>
  </si>
  <si>
    <t>Aoki K.</t>
  </si>
  <si>
    <t>Design method for an offset dual-shaped reflector antenna with high efficiency and an elliptical beam</t>
  </si>
  <si>
    <t>10.1049/ip-h-2.1993.0019</t>
  </si>
  <si>
    <t>2-s2.0-0027575640</t>
  </si>
  <si>
    <t>['wiley company', 'top layer', 'inc .,', 'good agreement', 'antenna elements', '22 %.']</t>
  </si>
  <si>
    <t>The design of a log periodic strip grating antenna is described. The 12‚Äêelement antenna is compact and has a measured power bandwidth of 22%. The antenna elements are mounted on the top of the top layer of a two‚Äêlayer structure with its feed line located between the two dielectric layers providing electromagnetic coupling. The structure was analyzed using PMESHD, a moment method code for two‚Äêlayer passive structures. The analysis and measurements are in good agreement. ¬© 1993 John Wiley &amp; Sons. Inc. Copyright ¬© 1993 Wiley Periodicals, Inc., A Wiley Company</t>
  </si>
  <si>
    <t>143-150</t>
  </si>
  <si>
    <t>60015404;60003892;60000221</t>
  </si>
  <si>
    <t>6701575491;57225716959;35588296300</t>
  </si>
  <si>
    <t>Delyser, Ronald R.;Chang, David C.;Kuester, Edward F.</t>
  </si>
  <si>
    <t>Denver;Tempe;Boulder</t>
  </si>
  <si>
    <t>University of Denver;Arizona State University;University of Colorado Boulder</t>
  </si>
  <si>
    <t>Delyser R.R.</t>
  </si>
  <si>
    <t>Design of a log periodic strip grating microstrip antenna</t>
  </si>
  <si>
    <t>10.1002/mmce.4570030208</t>
  </si>
  <si>
    <t>2-s2.0-0027575681</t>
  </si>
  <si>
    <t>['two larger', 'receiver consists', 'quartz dielectric', 'novel planar', 'matched load', 'filled parabola', 'current state', 'conversion loss', 'aluminum oxide', 'accurate measurements', '8 db', '230 ghz', '2 k']</t>
  </si>
  <si>
    <t>A novel planar. quasi-optical SIS receiver operating at 230 GHz is described. The receiver consists of a 2 x 5 array of half wave dipole antennas with niobium-aluminum oxide-niobium SIS junctions on a quartz dielectric-filled parabola. The 1.4 GHz intermediate frequency is coupled from the mixer via coplanar strip transmission lines and 4:1 balun transformers. The receiver is operated at 4.2 K in a liquid helium immersion cryostat. We report here accurate measurements of the performance of single untuned array receiver elements. A mixer noise temperature of 89 K DSB, receiver noise temperature of 156 K DSB and conversion loss of 8 dB into a matched load have been obtained. This mixer noise temperature is approximately a factor of two larger than that of current state of the art waveguide mixers using untuned single junctions at the same frequency. ¬© 1993 IEEE</t>
  </si>
  <si>
    <t>609-615</t>
  </si>
  <si>
    <t>60009037;60009037;60009037;60009037;60009037</t>
  </si>
  <si>
    <t>7004250981;7102319880;23974476000;6507628580;35549804700</t>
  </si>
  <si>
    <t>Stimson, Philip A.;Dengler, Robert J.;LeDuc, Henry G.;Cypher, Scott R.;Siegel, Peter H.</t>
  </si>
  <si>
    <t>Stimson P.A.</t>
  </si>
  <si>
    <t>A Planar Quasi-Optical SIS Receiver</t>
  </si>
  <si>
    <t>10.1109/22.231654</t>
  </si>
  <si>
    <t>2-s2.0-0027575712</t>
  </si>
  <si>
    <t>['varying either', 'technique requires', 'since low', 'quiet zone', 'operational bandwidth', 'novel methodology', 'frequency performance', 'excitation coefficients', 'edge treatment', 'array size', 'array feeds', 'aperture reflector']</t>
  </si>
  <si>
    <t>A novel methodology is presented for the design of array feeds for compact range reflectors. The principal design strategy is to illuminate the rim of a standard, circular-aperture reflector with an array pattern null. This results in a reduction in the level of edge-diffracted fields present in the quiet zone. Since low-frequency performance is improved without dedicating reflector surface area to edge treatment, the potential quiet zone size is maximized. Implementation of the technique requires only a few real-valued array excitation coefficients. It is demonstrated that various quiet zone field performance trade-offs can be made by varying either the excitation coefficients or the array size. The quality of the quiet zone field is compared with that of a uniformly illuminated serrated reflector. The operational bandwidth and the effects of both random and systematic array excitation coefficient errors are evaluated. ¬© 1993 IEEE</t>
  </si>
  <si>
    <t>448-457</t>
  </si>
  <si>
    <t>60027550;60027550</t>
  </si>
  <si>
    <t>36862665100;7102110120</t>
  </si>
  <si>
    <t>McKay, James P.;Rahmat-Samii, Yahya</t>
  </si>
  <si>
    <t>McKay J.</t>
  </si>
  <si>
    <t>An Array Feed Approach to Compact Range Reflector Design</t>
  </si>
  <si>
    <t>10.1109/8.220976</t>
  </si>
  <si>
    <t>2-s2.0-0027575726</t>
  </si>
  <si>
    <t>['wiley company', 'unique features', 'slow variation', 'radial distance', 'inc .,', 'far zone', 'electric probe', 'electric fields']</t>
  </si>
  <si>
    <t>electric dipole | Far‚Äêzone radiating fields | field measurements | longitudinal field components | magnetic dipole</t>
  </si>
  <si>
    <t>By means of a small square loop antenna and an electric probe it was possible to detect significant longitudinal components of magnetic and electric fields, respectively, in the far zone in the air. Unique features of this observation are the abundance and the slow variation with radial distance of the detected longitudinal electromagnetic field components which seem to decay at a rate much slower than 1/r2. ¬© 1993 John Wiley &amp; sons, Inc. Copyright ¬© 1993 Wiley Periodicals, Inc., A Wiley Company</t>
  </si>
  <si>
    <t>283-287</t>
  </si>
  <si>
    <t>60002194;60015720</t>
  </si>
  <si>
    <t>57203044879;7404051797</t>
  </si>
  <si>
    <t>Giakos, George C.;Ishii, T. Koryu</t>
  </si>
  <si>
    <t>Milwaukee;Memphis</t>
  </si>
  <si>
    <t>Marquette University;University of Tennessee Health Science Center</t>
  </si>
  <si>
    <t>60015720;60002194</t>
  </si>
  <si>
    <t>Giakos G.</t>
  </si>
  <si>
    <t>Detection of longitudinal electromagnetic fields in AIR</t>
  </si>
  <si>
    <t>10.1002/mop.4650060505</t>
  </si>
  <si>
    <t>2-s2.0-0027576081</t>
  </si>
  <si>
    <t>NSC8 1-0404-E002-005</t>
  </si>
  <si>
    <t>['waveguide corners', 'verified mathematically', 'slot separation', 'numerical calculations', 'numerical analysis', 'mutual impedance', 'magnitude decays', 'longitudinal slots', 'large separation', 'individual slots', 'incremental conductances', 'good agreement', 'edge slots', 'distinguished characteristics', 'analysis uses', 'also shown']</t>
  </si>
  <si>
    <t>An analysis for calculating the mutual impedance between two edge slots in a linear slotted waveguide array is presented. The analysis uses a 90¬∞ wedge Green function to account for the influence of the waveguide corners on the evaluation of the external mutual coupling. A novel asymptotic formula for the 90¬∞ wedge Green function is derived to expedite the numerical analysis for slots with large separation. Numerical results show that the phase of mutual impedance retards linearly with slot separation and the magnitude decays as the separation is increased. However, the mutual impedance of edge slots is larger and decays more slowly than that of longitudinal slots or other slots in a large ground plane. The distinguished characteristics can be attributed to the energy guiding effect of the waveguide corners, which is discovered and verified mathematically and numerically. Also shown in the numerical calculations are the incremental conductances of the individual slots in a linear edge slot array, which are compared, and found to be in good agreement, with the available experimental data. ¬© 1993 IEEE</t>
  </si>
  <si>
    <t>488-492</t>
  </si>
  <si>
    <t>7102342059;7202048581;7402943497</t>
  </si>
  <si>
    <t>Jan, Cheng Geng;Hsu, Powen;Wu, Ruey Beei</t>
  </si>
  <si>
    <t>Jan C.</t>
  </si>
  <si>
    <t>Corner Effects on the Mutual Impedance Between Edge Slots</t>
  </si>
  <si>
    <t>10.1109/8.220981</t>
  </si>
  <si>
    <t>2-s2.0-0027576250</t>
  </si>
  <si>
    <t>['treated identically', 'transmission matrices', 'scattered fields', 'reflector antennas', 'paper demonstrates', 'numerical simulations', 'many dual', 'fss subreflector', 'fss reflectors', 'diffraction modeling', 'diffraction analysis', 'crosspolarization levels', 'based primarily', 'accurately predicting']</t>
  </si>
  <si>
    <t>Frequency selective surface (FSS) reflector antennas are used in many dual-reflector antenna systems in order to provide multifrequency capabilities. In the past, the diffraction analysis of reflectors was based primarily on the assumption of a solid subreflector configuration and only the gain loss caused by the presence of the FSS subreflector was accounted for. In this paper, a unified computational technique is presented which allows the incorporation of the curved FSS geometry in the computation of the antenna radiation pattern. The scattered fields from an illuminated FSS reflector are formalized using Huygens‚Äô principle in such a way that the ‚Äúreflecting‚Äù and the ‚Äútransparent‚Äù FSS subreflector cases are treated identically and the thickness of the FSS subreflector remains arbitrary. The analysis utilizes local surface coordinates to describe the reflection/transmission matrices of the FSS subreflector where it is assumed that these matrices are available. In most cases one may use the local tangent plane for approximating the plane of the FSS in the local coordinate surface of the reflector. The paper demonstrates how the local curved coordinate system can be introduced in the diffraction modeling of FSS reflectors and its importance in accurately predicting the sidelobe and crosspolarization levels. Results of numerical simulations are presented for several FSS subreflector configurations. ¬© 1993 IEEE</t>
  </si>
  <si>
    <t>476-487</t>
  </si>
  <si>
    <t>60027550;60009037</t>
  </si>
  <si>
    <t>7102110120;6602655744</t>
  </si>
  <si>
    <t>Rahmat-Samii, Y.;Tulintseff, A. N.</t>
  </si>
  <si>
    <t>Los Angeles;Pasadena</t>
  </si>
  <si>
    <t>University of California, Los Angeles;Jet Propulsion Laboratory</t>
  </si>
  <si>
    <t>Rahmat-Samii Y.</t>
  </si>
  <si>
    <t>Diffraction Analysis of Frequency Selective Reflector Antennas</t>
  </si>
  <si>
    <t>10.1109/8.220980</t>
  </si>
  <si>
    <t>2-s2.0-0027576866</t>
  </si>
  <si>
    <t>['wiley company', 'theoretical results', 'mutual coupling', 'inc .,', 'good agreement', 'experimental ones', 'communication describes', 'coaxial probes']</t>
  </si>
  <si>
    <t>Microstrip antenna | mutual impedance</t>
  </si>
  <si>
    <t>This communication describes a solution to the problem of computing mutual impedance of a one‚Äêdimensional array of circular micro‚Äêstrip patches fed by coaxial probes. Some experiments have been conducted for mutual coupling between two circular microstrip antennas in the S band. Theoretical results are in good agreement with the experimental ones. ¬© 1993 John Wiley &amp; sons, Inc. Copyright ¬© 1993 Wiley Periodicals, Inc., A Wiley Company</t>
  </si>
  <si>
    <t>322-325</t>
  </si>
  <si>
    <t>Bhattacharjee, Partha S.</t>
  </si>
  <si>
    <t>Jadavpur University</t>
  </si>
  <si>
    <t>Bhattacharjee P.</t>
  </si>
  <si>
    <t>Mutual impedance between circular microstrip antenna</t>
  </si>
  <si>
    <t>10.1002/mop.4650060516</t>
  </si>
  <si>
    <t>2-s2.0-0027577178</t>
  </si>
  <si>
    <t>['transmitter site', 'theoretical models', 'south island', 'new zealand', 'long pvc', 'input power', 'enable fits', 'antenna consisted', 'also presented', '3 km', '225 km', '200 km', '1 kw']</t>
  </si>
  <si>
    <t>The establishment of an LF/VLF/ELF transmitting facility at the Homer tunnel near Milford South in the South Island of New Zealand is described. The antenna consisted of a 3.3 km-long PVC-covered aluminum conductor passing through the tunnel and over the mountain above, forming a large vertical loop antenna. Measurements of the electric field radiated from the transmitter, recorded at both Lauder and Palmerston, 133 and 225 km from the transmitter site, respectively, are presented. The antenna radiation pattern derived from observations made onboard an Orion aircraft circling the antenna at a distance of 200 km is also presented. Theoretical models are derived which enable fits to the radiated field data to be made over a wide frequency range (0.5-40 kHz). With 1 kW of input power the antenna produced peak radiated fields at frequencies near 10 kHz equivalent to those of a vertical monopole source radiating 150 mW.</t>
  </si>
  <si>
    <t>129-134</t>
  </si>
  <si>
    <t>60024594;60024594;60024594</t>
  </si>
  <si>
    <t>57221296920;7004561560;57225989851</t>
  </si>
  <si>
    <t>Barr, R.;Ireland, W.;Smith, M. J.</t>
  </si>
  <si>
    <t>New Zealand</t>
  </si>
  <si>
    <t>Auckland</t>
  </si>
  <si>
    <t>National Institute of Water and Atmospheric Research, New Zealand</t>
  </si>
  <si>
    <t>Barr R.</t>
  </si>
  <si>
    <t>ELF, VLF and LF radiation from a very large loop antenna with a mountain core</t>
  </si>
  <si>
    <t>10.1049/ip-h-2.1993.0020</t>
  </si>
  <si>
    <t>2-s2.0-0027577335</t>
  </si>
  <si>
    <t>['x band', 'two ways', 'second order', 'second approach', 'rt theory', 'rt solution', 'results based', 'radiative transfer', 'overall length', 'order terms', 'near field', 'monte carlo', 'metallic cylinders', 'measured data', 'large particles', 'iterative method', 'halfspace dielectric', 'form expressions', 'first approach', 'field inside', 'extinction matrix', 'electromagnetic scattering', 'cylinder layer', 'correlation distance', 'acquired polarimetrically', '60 ¬∞.', '20 ¬∞']</t>
  </si>
  <si>
    <t>The problem of electromagnetic scattering by a collection of randomly distributed vertical cylinders over a halfspace dielectric is considered in this paper. The solution to this problem is sought in two ways. In the first approach, a Monte Carlo simulation is used which takes into account scattering terms up to second order. Closed-form expressions for the second-order scattering terms are derived for cylinders that are in the near field of each other. The second approach is based on the radiative transfer (RT) equations which are solved by an iterative method up to and including the second-order terms. Radar backscatter measurements were conducted at X band for a collection of metallic cylinders over a conducting ground plane and these results were compared with the Monte Carlo and radiative transfer solutions. The data were acquired polarimetrically from 144 independent spots of the cylinder layer at incidence angles ranging from 20¬∞ to 60¬∞. The Monte Carlo simulation agrees well with the measured data and is used to check the validity of the results based on the RT theory for a medium with large particles. It is shown that both the phase function computed for the cylinders and the extinction matrix of the layer are overestimated in the RT solution because the correlation distance for the field inside the medium is smaller than the overall length of the cylinders. ¬© 1993 IEEE</t>
  </si>
  <si>
    <t>465-475</t>
  </si>
  <si>
    <t>60025778;60025778;60025778</t>
  </si>
  <si>
    <t>35585913500;7003345569;7103159953</t>
  </si>
  <si>
    <t>Sarabandi, K.;Polatin, P. F.;Ulaby, F. T.</t>
  </si>
  <si>
    <t>University of Michigan, Ann Arbor</t>
  </si>
  <si>
    <t>Sarabandi K.</t>
  </si>
  <si>
    <t>Monte Carlo Simulation of Scattering from a Layer of Vertical Cylinders</t>
  </si>
  <si>
    <t>10.1109/8.220978</t>
  </si>
  <si>
    <t>2-s2.0-0027577488</t>
  </si>
  <si>
    <t>['two types', 'solved efficiently', 'results confirm', 'provided robustness', 'optimization problems', 'nonsmooth constraints', 'new method', 'narrowband minimum', 'method described', 'frequency offset', 'first show', 'constraint set']</t>
  </si>
  <si>
    <t>In this paper, we present a new method for solving a class of optimization problems with nonsmooth constraints. In particular, we apply the method to the design of Narrowband minimum-power antenna array processors which are robust in the presence of errors such as array element placement, look direction misalignment and frequency offset. We first show that the constrained minimum power problem has a unique global minimum provided that the constraint set is nonempty. We then show how the design problem derived directly from considerations of the sensitivity of the antenna array processor to errors can be transformed into a quadratic programming problem with linear inequality constraints which can be solved efficiently by the standard active set strategy. We also present numerical results for two types of nonsmooth constraints developed to provided robustness. These results confirm the effectiveness of the method described in this paper. ¬© 1993 IEEE</t>
  </si>
  <si>
    <t>403-411</t>
  </si>
  <si>
    <t>60031226;60010571;60031806</t>
  </si>
  <si>
    <t>7005144794;7404510639;56153253000</t>
  </si>
  <si>
    <t>Cantoni, Antonio;Lin, Xun Guo;Teo, K. L.</t>
  </si>
  <si>
    <t>Australia;Australia;Australia</t>
  </si>
  <si>
    <t>Perth;Perth;Callaghan</t>
  </si>
  <si>
    <t>The University of Western Australia;Curtin University;The University of Newcastle, Australia</t>
  </si>
  <si>
    <t>60031806;60031226;60010571</t>
  </si>
  <si>
    <t>Cantoni A.</t>
  </si>
  <si>
    <t>A New Approach to the Optimization of Robust Antenna Array Processors</t>
  </si>
  <si>
    <t>10.1109/8.220972</t>
  </si>
  <si>
    <t>2-s2.0-0027577534</t>
  </si>
  <si>
    <t>39-48</t>
  </si>
  <si>
    <t>Bird, Trevor S.</t>
  </si>
  <si>
    <t>Sydney</t>
  </si>
  <si>
    <t>CSIRO Industrial Physics</t>
  </si>
  <si>
    <t>Bird T.</t>
  </si>
  <si>
    <t>Going Strong After 50 Years: Antenna R&amp;D at the CSIRO Division of Radiophysics</t>
  </si>
  <si>
    <t>10.1109/74.207650</t>
  </si>
  <si>
    <t>2-s2.0-0027577636</t>
  </si>
  <si>
    <t>['wiley company', 'tv reception', 'satellite communications', 'quite large', 'operating frequency', 'operating bandwidth', 'mobile communications', 'microstrip antenna', 'loop perimeter', 'investigated experimentally', 'inc .,', 'coaxial cable', 'antenna consists', '22 %).', '2 dipole']</t>
  </si>
  <si>
    <t>broad bandwidth | mobile communications | Slot loop antenna</t>
  </si>
  <si>
    <t>A compact slot loop antenna is proposed and investigated experimentally. The antenna consists of a slot loop printed on a substrate, and is fed by a coaxial cable. The loop perimeter is about Œª/2 and the area of the antenna is about 1/8 of that of a microstrip antenna with the same operating frequency. The operating bandwidth (defined by return loss less than or equal to ‚Äê10 dB) of the antenna is quite large (22%). The gain is comparable with that of a Œª/2 dipole. The antenna should find wide applications in TV reception, mobile communications, and satellite communications. ¬© 1993 John Wiley &amp; sons, Inc. Copyright ¬© 1993 Wiley Periodicals, Inc., A Wiley Company</t>
  </si>
  <si>
    <t>60017161;60017161;60017161</t>
  </si>
  <si>
    <t>7202863472;36795795500;56003101900</t>
  </si>
  <si>
    <t>Cai, M.;Kool, P. S.;Leong, M. S.</t>
  </si>
  <si>
    <t>Cai M.</t>
  </si>
  <si>
    <t>A compact slot loop antenna</t>
  </si>
  <si>
    <t>10.1002/mop.4650060507</t>
  </si>
  <si>
    <t>2-s2.0-0027577656</t>
  </si>
  <si>
    <t>U.S. Department of Defense</t>
  </si>
  <si>
    <t>DOD</t>
  </si>
  <si>
    <t>50-57</t>
  </si>
  <si>
    <t>IEEE Spectrum</t>
  </si>
  <si>
    <t>Waff, Craig B.</t>
  </si>
  <si>
    <t>Waff C.</t>
  </si>
  <si>
    <t>The road to the Deep Space Network</t>
  </si>
  <si>
    <t>10.1109/6.206623</t>
  </si>
  <si>
    <t>2-s2.0-0027577663</t>
  </si>
  <si>
    <t>['undesirable characteristic', 'redundancy averaging', 'reduced variance', 'direction estimates', 'bias induced']</t>
  </si>
  <si>
    <t>Redundancy averaging is a spatial averaging technique that can lead to improved spatial correlation matrix estimates in terms of reduced intersignal coherence and reduced variance, but it has the undesirable characteristic of potentially biasing direction estimates. In this correspondence, we show that for linear equally spaced arrays, any bias induced in the direction estimates by redundancy averaging vanishes as the number of sensors becomes large. ¬© 1993 IEEE</t>
  </si>
  <si>
    <t>1707-1710</t>
  </si>
  <si>
    <t>Linebarger, Darel A.</t>
  </si>
  <si>
    <t>Richardson</t>
  </si>
  <si>
    <t>The University of Texas at Dallas</t>
  </si>
  <si>
    <t>Linebarger D.</t>
  </si>
  <si>
    <t>Redundancy Averaging with Large Arrays</t>
  </si>
  <si>
    <t>10.1109/78.212750</t>
  </si>
  <si>
    <t>2-s2.0-0027577792</t>
  </si>
  <si>
    <t>DAAL 03-88- K-0005</t>
  </si>
  <si>
    <t>['slot radiator', 'passive part', 'optical method', 'optical array', 'operating frequency', 'microstrip line', 'input impedance', 'fabricated using', 'experimental results', 'direct connection', 'design concept', 'circuit element', '20 ghz']</t>
  </si>
  <si>
    <t>The design concept and the experimental results of a power combiner made of two FET oscillators for a quasi-optical array are reported. In order to demonstrate an approach by a quasi-optical method with a strongly coupled oscillator configuration, a 2 x 2 planar array is fabricated using a direct connection through a microstrip line. The input impedance of the slot radiator is taken into account as a circuit element to investigate the passive part of the array. In order to accomplish a sum radiation pattern, the length of the microstrip feed lines are regulated. At an operating frequency of 20 GHz, sum radiation patterns were observed in both the H-plane and the E-plane. ¬© 1993 IEEE</t>
  </si>
  <si>
    <t>717-719</t>
  </si>
  <si>
    <t>7202423980;36041035600</t>
  </si>
  <si>
    <t>Kawasaki, Shigeo;Itoh, Tatsuo</t>
  </si>
  <si>
    <t>Kawasaki S.</t>
  </si>
  <si>
    <t>2√ó2 Quasi-Optical Power Combiner Array at 20 GHz</t>
  </si>
  <si>
    <t>10.1109/22.231670</t>
  </si>
  <si>
    <t>2-s2.0-0027577842</t>
  </si>
  <si>
    <t>['wiley company', 'synthesized pulse', 'quadrature detection', 'inexpensive system', 'inc .,', 'coherent transmission']</t>
  </si>
  <si>
    <t>calibration | Distance measurement | quadrature receiver | synthesized pulse</t>
  </si>
  <si>
    <t>An inexpensive system that accurately measures ranges of the order of meters, with the resolution of centimeters, is described. The synthesized pulse and phase counting methods, based on coherent transmission and quadrature detection, are discussed. Suitable calibration schemes to obtain distance measurement accuracies better than 99% are described. ¬© 1993 John Wiley &amp; sons, Inc. Copyright ¬© 1993 Wiley Periodicals, Inc., A Wiley Company</t>
  </si>
  <si>
    <t>287-292</t>
  </si>
  <si>
    <t>60031004;60031004</t>
  </si>
  <si>
    <t>6603742082;35570164700</t>
  </si>
  <si>
    <t>Noon, David A.;Bialkowski, Marek E.</t>
  </si>
  <si>
    <t>Noon D.</t>
  </si>
  <si>
    <t>An inexpensive microwave distance measuring system</t>
  </si>
  <si>
    <t>10.1002/mop.4650060506</t>
  </si>
  <si>
    <t>2-s2.0-0027577939</t>
  </si>
  <si>
    <t>N6601-91-CO6018</t>
  </si>
  <si>
    <t>['wave numbers', 'td synthesis', 'td data', 'special interest', 'sp time', 'sp conditions', 'short pulse', 'rigorous analytical', 'reference solution', 'reasonably accurate', 'processing options', 'present frequency', 'physical terms', 'narrowband applications', 'given also', 'frequency inversion', 'frequency asymptotics', 'direct sp', 'analytical portion']</t>
  </si>
  <si>
    <t>Finite periodic structures are of interest in a variety of Narrowband applications. With the trend toward wider bandwidth, culiminating in the ultra-wideband or short pulse (SP) regime, it is of interest to explore how well defined narrowband wave fields, such as the dispersive periodic structure modes, behave under SP conditions. These considerations have motivated the present frequency and SP time-domain (TD) study of two-dimensional plane wave scattering from a finite periodic array of thin, flat, coplanar perfectly conducting strips. Rigorous analytical-numerical reference solutions are established by spatial spectral wave number decomposition and the method of moments (MOM), followed by frequency inversion. The analytical portion is approximated so as to yield via high-frequency asymptotics, for a sufficiently large number of strips, a hybrid ray-(Floquet mode)-MOM algorithm which not only explains the phenomena in physical terms but is also numerically efficient and reasonably accurate when compared with the reference solution. Of special interest are the TD Floquet modes with their spacetime dependent frequencies and wave numbers. By superposition, they can synthesize the highly resolved pulse train return under SP conditions. Attention is given also to direct SP-TD synthesis, and to processing options of SP-TD data. ¬© 1993 IEEE</t>
  </si>
  <si>
    <t>412-421</t>
  </si>
  <si>
    <t>7004561693;56883021600</t>
  </si>
  <si>
    <t>Carin, Lawrence;Felsen, Leopold B.</t>
  </si>
  <si>
    <t>Time Harmonic and Transient Scattering by Finite Periodic Flat Strip Arrays: Hybrid (Ray)-(Floquet Mode)-(MOM) Algorithm</t>
  </si>
  <si>
    <t>10.1109/8.220973</t>
  </si>
  <si>
    <t>2-s2.0-0027578146</t>
  </si>
  <si>
    <t>['truncated substrate', 'selective surfaces', 'exact solution', 'dielectric slabs', 'conducting surface', 'accuracy obtained']</t>
  </si>
  <si>
    <t>The numerical uniform theory of diffraction is extended to include surface waves. A method for extracting surface wave diffraction coefficients from moment method data is given and Prony's method is applied to the problem of determining surface wave propagation constants. The method is validated through comparison with the exact solution of the problem of surface wave diffraction by a truncated dielectric slab recessed in a conducting surface. Examples are given for scattering from dielectric slabs and frequency-selective surfaces and for radiation from a conformal microstrip antenna with a truncated substrate. The accuracy obtained is demonstrated by comparison with moment method calculations. ¬© 1993 IEEE</t>
  </si>
  <si>
    <t>458-464</t>
  </si>
  <si>
    <t>Hurst, M. P.</t>
  </si>
  <si>
    <t>Chicago</t>
  </si>
  <si>
    <t>Boeing Corporation</t>
  </si>
  <si>
    <t>Hurst M.</t>
  </si>
  <si>
    <t>Numerical Diffraction Coefficients for Surface Waves</t>
  </si>
  <si>
    <t>10.1109/8.220977</t>
  </si>
  <si>
    <t>2-s2.0-0027578293</t>
  </si>
  <si>
    <t>['wiley company', 'letter discusses', 'inc .,']</t>
  </si>
  <si>
    <t>Finite‚Äêdifference time‚Äêdomain method | lossy dielectrics | scattering</t>
  </si>
  <si>
    <t>This Letter discusses the computation of scattering by thin lossy nondispersive dielectrics using the finite‚Äêdifference time‚Äêdomain (FD‚ÄêTD) method. The time‚Äêdomain relationship between the electric fields normal to a lossy material boundary is used in a ‚Äúsmart cell‚Äù approach which allows the thickness of the dielectric to be less than the spatial grid size. These results are compared to the ‚Äúbrute force‚Äù FD‚ÄêTD approach. ¬© 1993 John Wiley &amp; sons, Inc. Copyright ¬© 1993 Wiley Periodicals, Inc., A Wiley Company</t>
  </si>
  <si>
    <t>326-332</t>
  </si>
  <si>
    <t>6603320181;7004219095</t>
  </si>
  <si>
    <t>Boonzaaier, J. J.;Pistorius, C. W.I.</t>
  </si>
  <si>
    <t>Boonzaaier J.</t>
  </si>
  <si>
    <t>Scattering by thin lossy dielectric plates‚Äêa finite‚Äêdifference time‚Äêdomain approach</t>
  </si>
  <si>
    <t>10.1002/mop.4650060517</t>
  </si>
  <si>
    <t>2-s2.0-0027578298</t>
  </si>
  <si>
    <t>['oscillator circuit', 'optical arrays', 'measured patterns', 'low cross', 'configuration yields', 'compact layout', 'cavity backing', 'active cavity']</t>
  </si>
  <si>
    <t>An active cavity-backed slot antenna for quasi-optical arrays is described. A packaged GaAs MESFET with a coplanar matching network was used for the oscillator circuit. This configuration yields the expected slot antenna radiation pattern with a compact layout, low cross-polarization, and increased directivity due to the cavity backing. The measured patterns with cavity backing show a significant improvement compared with the same oscillator without cavity-backing. ¬© 1993 IEEE</t>
  </si>
  <si>
    <t>95-97</t>
  </si>
  <si>
    <t>60029241;60029241</t>
  </si>
  <si>
    <t>8961336500;7103208478</t>
  </si>
  <si>
    <t>Moyer, H. P.;York, R. A.</t>
  </si>
  <si>
    <t>Santa Barbara</t>
  </si>
  <si>
    <t>University of California, Santa Barbara</t>
  </si>
  <si>
    <t>Moyer H.</t>
  </si>
  <si>
    <t>Active Cavity-Backed Slot Antenna Using MESFET‚Äôs</t>
  </si>
  <si>
    <t>10.1109/75.208561</t>
  </si>
  <si>
    <t>2-s2.0-0027578391</t>
  </si>
  <si>
    <t>['source component', 'proposed approach', 'interelement spacing', 'frequency band', 'different frequencies', 'different angles', 'aliased versions']</t>
  </si>
  <si>
    <t>This correspondence is concerned with the problem of broadband spatial spectral estimation with a uniform linear array where the interelement spacing is greater than a half-wavelength over the frequency band of interest. It is shown that by using properly chosen frequencies, ambiguities in the source location estimates can be resolved. The proposed approach is based on the selection of the wavelengths to ensure that aliased versions of the source component occur at different angles, while the source component in the true direction occurs at the same angle at different frequencies. ¬© 1993 IEEE</t>
  </si>
  <si>
    <t>508-511</t>
  </si>
  <si>
    <t>Amin, Moeness G.</t>
  </si>
  <si>
    <t>Villanova</t>
  </si>
  <si>
    <t>Villanova University</t>
  </si>
  <si>
    <t>Amin M.</t>
  </si>
  <si>
    <t>Sufficient Conditions for Alias-Free Direction of Arrival Estimation in Periodic Spatial Spectra</t>
  </si>
  <si>
    <t>10.1109/8.220986</t>
  </si>
  <si>
    <t>2-s2.0-0027578540</t>
  </si>
  <si>
    <t>['two methods', 'sufficient precision', 'solution code', 'results obtained', 'required near', 'proposed antennas', 'produce estimates', 'procedure adopted', 'necessity performed', 'minimum isolation', 'method calculation', 'mesh model', 'maximum coupling', 'mathematical model', 'made possible', 'independent corroboration', 'frequency end', 'field parameters', 'experimental purposes', 'depends upon', 'circuit elements', 'calculated results', 'acceptable accuracy']</t>
  </si>
  <si>
    <t>A moment-method calculation is described of the maximum mutual coupling (or minimum isolation) between two loop antennas mounted on the tail-cone of a helicopter at the low-frequency end of the aircraft HF band. The wire-mesh mathematical model of the aircraft is constructed with a high sampling density in an attempt to produce estimates of the required near-field dependent parameters with sufficient precision to calculate the maximum mutual coupling with acceptable accuracy. The calculation is a fairly demanding test of the procedure adopted for the construction of the mathematical model, because it depends upon the accuracy with which both near-field and far-field parameters are determined. This mathematical model does not incorporate any empirically derived information, and the calculation was of necessity performed in advance of an aircraft being available for experimental purposes. The difficulty of assessing the credibility of calculated results under such circumstances is considered. NEC was used as the solution code for the wire-mesh model. An independent corroboration of the calculation was made possible by the siting and configuration of the proposed antennas. This allowed a simple equivalent circuit model of the arrangement to be constructed, values of the circuit elements to be estimated, and hence an independent approximate determination of the maximum coupling to be made. The degree of consistency between the results obtained by these two methods is considered to enhance the confidence which can be placed in the results obtained using moment-method mathematical models of this type when applied to near-field aircraft HF antenna problems.</t>
  </si>
  <si>
    <t>113-120</t>
  </si>
  <si>
    <t>Cox, J. W.R.</t>
  </si>
  <si>
    <t>Cox J.</t>
  </si>
  <si>
    <t>Corroboration of a moment-method calculation of the maximum mutual coupling between two HF antennas mounted on a helicopter</t>
  </si>
  <si>
    <t>10.1049/ip-h-2.1993.0018</t>
  </si>
  <si>
    <t>2-s2.0-0027578549</t>
  </si>
  <si>
    <t>Stichting voor Fundamenteel Onderzoek der Materie</t>
  </si>
  <si>
    <t>7898/88NL/PB</t>
  </si>
  <si>
    <t>FOM</t>
  </si>
  <si>
    <t>['substrate effect', 'stubs integrated', 'sis detectors', 'results show', 'predicted resonances', 'periodic antenna', 'observed resonance', 'model calculations', 'gap frequency', 'different substrates', 'different lengths', '670 ghz', '640 ghz', '560 ghz', '480 ghz']</t>
  </si>
  <si>
    <t>The resonances of integrated tuning stubs in combination with SIS detectors are measured and calculated. The predicted resonances are compared with measurements of stubs integrated with Nb/Al&lt;inf&gt;2&lt;/inf&gt;0&lt;inf&gt;3&lt;/inf&gt;/Nb junctions in a log-periodic antenna. Stubs of different lengths have been investigated on different substrates (on 200 Œºm thick quartz and on a 7 Œºm thick silicon membrane) and the results show a fairly good agreement with the model calculations. Quartz substrates showed resonances up to 640 GHz, while for silicon membranes stub resonances reach up to as 480 GHz. An observed resonance at 560 GHz is probably a substrate effect from the membrane. The gap frequency for all the samples is 670 GHz and no resonances are detected above this frequency. Up to the maximum detected frequency dispersion is found to be negligible. ¬© 1993 IEEE</t>
  </si>
  <si>
    <t>605-608</t>
  </si>
  <si>
    <t>60010023-60001512;60010023-60001512;60001512;60001512;60001512;60001512</t>
  </si>
  <si>
    <t>6506742757;7004891764;55934729100;6602814501;6602395815;7005065120</t>
  </si>
  <si>
    <t>Dierichs, M. M.T.M.;Feenstra, B. J.;Skalare, A.;Wijnbergen, J. J.;Stadt, H. V.D.;De Graauw, Th</t>
  </si>
  <si>
    <t>Groningen;Utrecht</t>
  </si>
  <si>
    <t>University of Groningen;SRON Netherlands Institute for Space Research</t>
  </si>
  <si>
    <t>60010023;60001512</t>
  </si>
  <si>
    <t>Dierichs M.</t>
  </si>
  <si>
    <t>Evaluation of Integrated Tuning Elements with SIS Devices</t>
  </si>
  <si>
    <t>10.1109/22.231653</t>
  </si>
  <si>
    <t>2-s2.0-0027578577</t>
  </si>
  <si>
    <t>['wiley company', 'spherical ground', 'results using', 'numerical results', 'inc .,', 'gtlm ),', 'function formulation', 'dielectric substrate']</t>
  </si>
  <si>
    <t>electric surface current model | Microstrip antenna | radiation resistance</t>
  </si>
  <si>
    <t>An approach to the analysis of a spherical circular microstrip antenna which is applicable to a relatively thick substrate is presented. Based on the spectral‚Äêdomain Green's function formulation, the effect of the dielectric substrate as well as the spherical ground are incorporated. Numerical results for the radiation resistance agree well with the results using the generalized transmission line model (GTLM), which is accurate for a thin dielectric substrate only. ¬© 1993 John Wiley &amp; sons, Inc. Copyright ¬© 1993 Wiley Periodicals, Inc., A Wiley Company</t>
  </si>
  <si>
    <t>304-306</t>
  </si>
  <si>
    <t>60008928;60008928;60013983;60002798</t>
  </si>
  <si>
    <t>55650871700;7202037304;55510527400;56912776300</t>
  </si>
  <si>
    <t>Tam, W. Y.;Tam, S. W.;Luk, K. M.;Lai, K. Y.A.</t>
  </si>
  <si>
    <t>Hong Kong;Hong Kong;Hong Kong</t>
  </si>
  <si>
    <t>Kowloon;Kowloon;Hong Kong</t>
  </si>
  <si>
    <t>City University of Hong Kong;Hong Kong Polytechnic University;Chinese University of Hong Kong</t>
  </si>
  <si>
    <t>60013983;60008928;60002798</t>
  </si>
  <si>
    <t>Tam W.</t>
  </si>
  <si>
    <t>Electric surface current model for the analysis of the radiation resistance of a spherical circular microstrip antenna</t>
  </si>
  <si>
    <t>10.1002/mop.4650060511</t>
  </si>
  <si>
    <t>2-s2.0-0027578724</t>
  </si>
  <si>
    <t>['two semi', 'transverse electric', 'system may', 'scattering cross', 'radiation resistance', 'plane wave', 'line magnetic', 'infinite matrix', 'infinite extent', 'hilbert problem', 'frequency dependencies', 'francis group', 'field patterns', 'expansion coefficients', 'dimensional scattering', 'data displaying', 'cylinder axis', 'current source']</t>
  </si>
  <si>
    <t>An analysis of two-dimensional scattering from an unclosed circular cylinder in the vicinity of the plane penetrable interface between two semi-infinite homogeneous half spaces of the same or of different electromagnetic properties is presented. The perfectly conducting axially slotted cylinder is of infinite extent and the excitation is transverse electric to the cylinder axis. The final infinite system of linear algebraic equations for expansion coefficients of the current density function is obtained from the dual series equations by the method of Riemann-Hilbert Problem. The system may be solved by truncation of an infinite matrix with further usage of ordinary inversion methods. The cylinder is excited by a plane wave or by a line magnetic-current source. Some data displaying the frequency dependencies of the scattering cross-section and radiation resistance, as well as the far-field patterns, are presented and discussed. ¬© 1993 Taylor &amp; Francis Group, LLC.</t>
  </si>
  <si>
    <t>169-186</t>
  </si>
  <si>
    <t>60068535;60068535;60068535</t>
  </si>
  <si>
    <t>6507942960;56962710300;7003905459</t>
  </si>
  <si>
    <t>Veremey, Natasha V.;Nosich, Alexander I.;Veremey, Vladimir V.</t>
  </si>
  <si>
    <t>Veremey N.V.</t>
  </si>
  <si>
    <t>Te excitation of an unclosed circular cylinder at the planar penetrable interface</t>
  </si>
  <si>
    <t>10.1080/02726349308908341</t>
  </si>
  <si>
    <t>2-s2.0-0027578774</t>
  </si>
  <si>
    <t>['synthesis technique', 'seven log', 'seven elements', 'reflector antennas', 'predicted performance', 'numerical near', 'near field', 'lower frequencies', 'illuminating antenna', 'field region', 'experimental test', 'emission measurements', 'electromagnetic susceptibility', 'design procedure', 'complex excitations', 'array constructed', 'antenna measurements', 'alternative methods', 'achieves good', 'acceptable approximations']</t>
  </si>
  <si>
    <t>The design of an array of seven log-periodic dipole antennas is described: this is intended to generate an approximate plane wave in the near field. The array is used as an illuminating antenna for a compact range primarily intended for electromagnetic susceptibility or emission measurements, but is also potentially usable for antenna measurements. It is capable of operation at lower frequencies than reflector antennas, and achieves good-quality plane waves in the near-field region. The design procedure was based on a numerical near-field synthesis technique that produced a set of complex excitations for the seven elements. The magnitude-only synthesis technique was found to give better results than alternative methods. The resulting computed field distributions showed that acceptable approximations to a plane wave could be generated over a substantial quiet zone, and an experimental test of an array constructed in accordance with the design algorithm showed good agreement with the predicted performance.</t>
  </si>
  <si>
    <t>101-106</t>
  </si>
  <si>
    <t>60008524;60008524;60008524</t>
  </si>
  <si>
    <t>7006824457;7202097583;7404759624</t>
  </si>
  <si>
    <t>Excell, P. S.;Jackson, N. N.;Wong, K. T.</t>
  </si>
  <si>
    <t>Excell P.</t>
  </si>
  <si>
    <t>Compact electromagnetic test range using an array of log-periodic antennas</t>
  </si>
  <si>
    <t>10.1049/ip-h-2.1993.0016</t>
  </si>
  <si>
    <t>2-s2.0-0027578988</t>
  </si>
  <si>
    <t>['theoretical estimates', 'south island', 'paper describes', 'new zealand', 'lossy core', 'long pvc', 'input impedance', 'antenna consisted', '3 km']</t>
  </si>
  <si>
    <t>The paper describes the establishment of an LF/VLF/ELF transmitting antenna at Homer tunnel near Milford Sound in the South Island of New Zealand. The antenna consisted of a 3.3 km-long PVC-covered aluminium conductor passing through the tunnel and over the mountain above, forming a large vertical loop antenna with a lossy core. Measurements of the input impedance of the antenna are presented and compared with theoretical estimates.</t>
  </si>
  <si>
    <t>84-90</t>
  </si>
  <si>
    <t>60024594;60024594</t>
  </si>
  <si>
    <t>57221296920;7004561560</t>
  </si>
  <si>
    <t>Barr, R.;Ireland, W.</t>
  </si>
  <si>
    <t>Low-frequency input impedance of a very large loop antenna with a mountain core</t>
  </si>
  <si>
    <t>10.1049/ip-h-2.1993.0014</t>
  </si>
  <si>
    <t>2-s2.0-0027578989</t>
  </si>
  <si>
    <t>69-71</t>
  </si>
  <si>
    <t>Volakis, John L.</t>
  </si>
  <si>
    <t>Volakis J.</t>
  </si>
  <si>
    <t>CARLOS-3D‚Ñ¢: A General-Purpose Three-Dimensional Method-of-Moments Scattering Code</t>
  </si>
  <si>
    <t>10.1109/74.207666</t>
  </si>
  <si>
    <t>2-s2.0-0027579076</t>
  </si>
  <si>
    <t>56-58</t>
  </si>
  <si>
    <t>7003966481;57189501138</t>
  </si>
  <si>
    <t>Schuman, Harvey;Schrank, Hal</t>
  </si>
  <si>
    <t>Schuman H.</t>
  </si>
  <si>
    <t>Design Curves for Reducing the Number of Phase Shifters in Phased Arrays by Subarraying</t>
  </si>
  <si>
    <t>10.1109/74.207654</t>
  </si>
  <si>
    <t>2-s2.0-0027579077</t>
  </si>
  <si>
    <t>['¬© 1993', 'zero tracking', 'unbiased manner', 'source parameters', 'samples used', 'receiver noise', 'new algorithm', 'lms algorithms', 'lms algorithm', 'latter algorithm', 'implementation complexity', 'formula relating', 'conventional methods', 'adaptive array']</t>
  </si>
  <si>
    <t>adaptive algorithms | adaptive arrays | Array processing</t>
  </si>
  <si>
    <t>A new algorithm for zero tracking is proposed and investigated in this paper. The zeros of the adaptive array, which correspond to the sources' locations, are updated recursively taking into account the effect of receiver noise so that the source parameters can be estimated in an unbiased manner. A formula relating the variances of the sources' locations to the number of samples used has been obtained, allowing the accuracy of the estimated source locations to be controlled. Since the estimates of the sources' locations are unbiased, the new algorithm has a much better performance for locating weak sources in difficult signal environments when compared with conventional methods such as simple null steering or the LMS algorithms. While the new algorithm has roughly the same implementation complexity as the LMS algorithm, it also has a better convergence behaviour than the latter algorithm. ¬© 1993.</t>
  </si>
  <si>
    <t>283-300</t>
  </si>
  <si>
    <t>7202596473;6507411953;6506220011</t>
  </si>
  <si>
    <t>Ko, C. C.;Balabhaskar, G.;Bachl, R.</t>
  </si>
  <si>
    <t>Ko C.</t>
  </si>
  <si>
    <t>Unbiased source estimation with an adaptive null steering algorithm</t>
  </si>
  <si>
    <t>016516849390087Q</t>
  </si>
  <si>
    <t>10.1016/0165-1684(93)90087-Q</t>
  </si>
  <si>
    <t>2-s2.0-0027579224</t>
  </si>
  <si>
    <t>NSC81-0404-E110-004</t>
  </si>
  <si>
    <t>['using galerkin', 'uniaxial anisotropy', 'sinusoidal functions', 'resonant frequency', 'power bandwidth', 'integral equation', 'increased due', 'decreased due', 'basis functions']</t>
  </si>
  <si>
    <t>Effects of uniaxial anisotropy in the substrate on the complex resonant frequency of the microstrip patch antenna are investigated in terms of an integral equation formulation. The complex resonant frequency of the microstrip patch antenna is calculated by using Galerkin's method in solving the integral equation. The sinusoidal functions are selected as the basis functions, which show fast numerical convergence. Numerical results also indicate that both the resonant frequency and the half-power bandwidth are increased due to the positive uniaxial anisotropy and, on the other hand, decreased due to the negative uniaxial anisotropy. ¬© 1993 IEEE</t>
  </si>
  <si>
    <t>698-701</t>
  </si>
  <si>
    <t>60011357;60011357;60011357;60011357</t>
  </si>
  <si>
    <t>35460663000;7004026337;57149406300;7403187821</t>
  </si>
  <si>
    <t>Wong, Kin Lu;Row, Jeen Sheen;Kuo, Chih Wen;Huang, Kuang Chih</t>
  </si>
  <si>
    <t>Wong K.L.</t>
  </si>
  <si>
    <t>Resonance of a Rectangular Microstrip Patch on a Uniaxial Substrate</t>
  </si>
  <si>
    <t>10.1109/22.231667</t>
  </si>
  <si>
    <t>2-s2.0-0027579362</t>
  </si>
  <si>
    <t>['speed computation', 'propagation constants', 'numerical results', 'maxwell equations', 'mathematical model', 'francis group', 'finite thickness', 'field components', 'dominating mode']</t>
  </si>
  <si>
    <t>The problem of finding propagation constants and field components of the shielded slot lines with the conductors of finite thickness and arbitrarily located slots is formulated as a boundary value problem for Maxwell equations. The spectral domain approach is used to construct a mathematical model. The developed numerical algorithm provides accurate and high-speed computation of the propagation constants and field components of the dominating mode and of any number of the higher-order propagating ones. Numerical results are presented. ¬© 1993 Taylor &amp; Francis Group, LLC.</t>
  </si>
  <si>
    <t>157-167</t>
  </si>
  <si>
    <t>Ena, M. L.</t>
  </si>
  <si>
    <t>Moscow</t>
  </si>
  <si>
    <t>Russian Academy of Sciences</t>
  </si>
  <si>
    <t>Ena M.</t>
  </si>
  <si>
    <t>Computation of characteristics of slot lines with conductors of finite thickness and arbitrarily located slots</t>
  </si>
  <si>
    <t>10.1080/02726349308908340</t>
  </si>
  <si>
    <t>2-s2.0-0027579437</t>
  </si>
  <si>
    <t>['¬© 1993', 'two signals', 'signal direction', 'rights reserved', 'priori information', 'interference without', 'array geometry']</t>
  </si>
  <si>
    <t>Eigenvector and Gram-Schmidt weighting separate desired signals from interference without a priori information. For two signals and similar element patterns, eigenvector performance varies between Gram-Schmidt power inversion and perfect signal separation, depending on signal direction and array geometry. For nearly equal input powers, Gram-Schmidt always fails but eigenvector weighting often succeeds. ¬© 1993, IEEE. All rights reserved.</t>
  </si>
  <si>
    <t>568-575</t>
  </si>
  <si>
    <t>60018714;60018714</t>
  </si>
  <si>
    <t>7402400103;56838760500</t>
  </si>
  <si>
    <t>Jenkins, R. W.;Oreland, K. W.</t>
  </si>
  <si>
    <t>Communications Research Centre</t>
  </si>
  <si>
    <t>Jenkins R.</t>
  </si>
  <si>
    <t>A Comparison of the Eigenvector Weighting and Gram-Schmidt Adaptive Antenna Techniques</t>
  </si>
  <si>
    <t>10.1109/7.210095</t>
  </si>
  <si>
    <t>2-s2.0-0027579551</t>
  </si>
  <si>
    <t>['performance analysis', 'paper presents', 'estimation errors', 'esprit algorithm']</t>
  </si>
  <si>
    <t>The VIA-ESPRIT algorithm is a computationally efficient method for direction of arrival (DOA) estimation. This algorithm uses virtual interpolated arrays (VIA) to apply ESPRIT type techniques to arbitrary array geometries. This paper presents a performance analysis of VIA-ESPRIT. Expressions for the bias and the variance of the estimation errors are derived. Simulation results verify the theoretically predicted performance.</t>
  </si>
  <si>
    <t>123-128</t>
  </si>
  <si>
    <t>60072442;60072442</t>
  </si>
  <si>
    <t>7006673336;7402247592</t>
  </si>
  <si>
    <t>Gavish, M.;Weiss, A. J.</t>
  </si>
  <si>
    <t>Ashdod</t>
  </si>
  <si>
    <t>Elta Electronics Industries Ltd.</t>
  </si>
  <si>
    <t>Gavish M.</t>
  </si>
  <si>
    <t>Performance analysis of the VIA-ESPRIT algorithm</t>
  </si>
  <si>
    <t>10.1049/ip-f-2.1993.0017</t>
  </si>
  <si>
    <t>2-s2.0-0027580443</t>
  </si>
  <si>
    <t>['¬© 1993', 'use primarily', 'signals ),', 'rights reserved', 'incident waves', 'electrical engineers']</t>
  </si>
  <si>
    <t>Antenna phased arrays | Antennas | Beamforming arrays</t>
  </si>
  <si>
    <t>A technique is introduced that replaces the signals from failed array elements by using reconstructed signals from other elements in the array. The technique is intended for use primarily with digital beamforming array control, and can operate in an environment of a multitude of incident waves (signals), to provide low sidelobe control to each signal. ¬© 1993, The Institution of Electrical Engineers. All rights reserved.</t>
  </si>
  <si>
    <t>573-574</t>
  </si>
  <si>
    <t>Mailloux, R. J.</t>
  </si>
  <si>
    <t>Wright-Patterson AFB</t>
  </si>
  <si>
    <t>Air Force Materiel Command</t>
  </si>
  <si>
    <t>Mailloux R.</t>
  </si>
  <si>
    <t>Phased array error correction scheme</t>
  </si>
  <si>
    <t>10.1049/el:19930385</t>
  </si>
  <si>
    <t>2-s2.0-0027582950</t>
  </si>
  <si>
    <t>['wheat functions', 'wheat cab', 'using dnase', 'truncated derivative', 'transgenic tobacco', 'transcriptional level', 'tobacco dna', 'synthetic tetramers', 'specific expression', 'specific enhancer', 'similar results', 'significantly dependent', 'protein factors', 'promoter context', 'previous cis', 'positive elements', 'major light', 'largely restricted', 'higher plants', 'genes encoding', 'fused upstream', 'functionally important', 'factors binding', 'expression observed', 'enhancer fragment', 'element analyses', 'different proteins', 'c regions', 'binding protein', 'binding activity', 'bind elsewhere', '35s promoter', '1 promoter']</t>
  </si>
  <si>
    <t>The genes encoding the major light-harvesting antenna chlorophyll a/b-binding protein (Cab) of higher plants are regulated by light at the transcriptional level. In addition, their expression is largely restricted to photosynthetically competent organs such as leaves. A 268 bp fragment of the Cab-1 promoter from wheat functions as a light-responsive and organ-specific enhancer in transgenic tobacco. Using DNase I foot-printing, four different regions have been mapped (Cab1-A, Cab1-B, Cab1-C and Cab1-D) in this fragment that bind to protein factors in tobacco nuclear extracts. Three of these regions (A, B and C) coincide with sequences that have been found to be functionally important from previous cis-element analyses. Synthetic tetramers of these three sites interact with different proteins in gel retardation assays. In addition, cross-competition analyses demonstrate that Cab1-C is likely to interact with ASF-2, a tobacco DNA-binding activity that binds to a conserved GATA element found in many dicot Cab promoters. In transgenic tobacco, a 95 bp fragment of the Cab-1 enhancer containing the A, B and C regions can confer leaf expression when fused upstream of a truncated derivative of the cauliflower mosaic virus (CaMV) 35S promoter. However, expression observed with this enhancer fragment in the promoter context of these studies does not appear to be significantly dependent on light. Similar results were obtained with synthetic tetramers of Cab1-A, -B or -C. These data thus suggest that the wheat Cab-1 enhancer contains at least three distinct elements that contribute to leaf-specific expression in transgenic tobacco. Interaction between factors binding to these positive elements and those that bind elsewhere in the Cab-1 enhancer may be necessary for light-responsive transcriptional activation.</t>
  </si>
  <si>
    <t>509-518</t>
  </si>
  <si>
    <t>Plant Journal</t>
  </si>
  <si>
    <t>60010588;60010588;60010588;60010588</t>
  </si>
  <si>
    <t>56018049500;6602419075;7102249393;55740347900</t>
  </si>
  <si>
    <t>Gotor, Cecilia;Romero, Luis C.;Inouye, Keiko;Lam, Eric</t>
  </si>
  <si>
    <t>Piscataway</t>
  </si>
  <si>
    <t>Waksman Institute of Microbiology</t>
  </si>
  <si>
    <t>Gotor C.</t>
  </si>
  <si>
    <t>Analysis of three tissue-specific elements from the wheat Cab-1 enhancer</t>
  </si>
  <si>
    <t>10.1046/j.1365-313X.1993.03040509.x</t>
  </si>
  <si>
    <t>2-s2.0-0027583707</t>
  </si>
  <si>
    <t>553-556</t>
  </si>
  <si>
    <t>Rahman, Fazlur</t>
  </si>
  <si>
    <t>Telesat</t>
  </si>
  <si>
    <t>Rahman F.</t>
  </si>
  <si>
    <t>Boresight Pointing Calibration of Communication Satellite Through In-Orbit Antenna Tests</t>
  </si>
  <si>
    <t>10.1109/19.278624</t>
  </si>
  <si>
    <t>2-s2.0-0027585378</t>
  </si>
  <si>
    <t>['strongly affected', 'probe antenna', 'optical modulator', 'asymmetric mach', 'antenna tested']</t>
  </si>
  <si>
    <t>The use of an asymmetric Mach-Zender interferometric amplitude modulator to measure a relatively low frequency electric field strength is described. The sensitiviy of an electric field sensor using a Ti: LiNbO3 optical modulator is strongly affected by the shape of a electrode (probe antenna). To measure the low frequency electric field, a probe antenna of wide effective area is more useful than the usual dipole antenna. As proof of this, the optical modulator was fabricated with a plate-type probe antenna and the usefulness of this antenna tested for measuring low frequency electric field strength.</t>
  </si>
  <si>
    <t>137-140</t>
  </si>
  <si>
    <t>IEE proceedings. Part J, Optoelectronics</t>
  </si>
  <si>
    <t>60011001;60011001;60011001</t>
  </si>
  <si>
    <t>57199930728;7003561892;56293616300</t>
  </si>
  <si>
    <t>Choi, Y. K.;Sanagi, M.;Nakajima, M.</t>
  </si>
  <si>
    <t>Kyoto</t>
  </si>
  <si>
    <t>Kyoto University</t>
  </si>
  <si>
    <t>Choi Y.</t>
  </si>
  <si>
    <t>Measurement of low frequency electric field using Ti: LiNbO&lt;inf&gt;3&lt;/inf&gt; optical modulator</t>
  </si>
  <si>
    <t>10.1049/ip-j.1993.0023</t>
  </si>
  <si>
    <t>2-s2.0-0027585578</t>
  </si>
  <si>
    <t>['sources moving', 'source position', 'moving sources', 'joint estimation', 'computationally expensive', 'array data']</t>
  </si>
  <si>
    <t>Signal subspace concepts break down when sources are moving, and maximum likelihood methods for moving sources are computationally expensive. To overcome these problems three novel algorithms have been developed for the joint estimation of source position and velocity from a batch of array data for sources moving with constant angular velocity. These allow increased accuracy in the source position determination, and provide unbiased velocity estimates. The performance of the estimators is compared to the Cramer-Rao lower bound.</t>
  </si>
  <si>
    <t>114-122</t>
  </si>
  <si>
    <t>60015150;60015150</t>
  </si>
  <si>
    <t>6506079758;7003393843</t>
  </si>
  <si>
    <t>Whinnett, N. W.;Manikas, A.</t>
  </si>
  <si>
    <t>London</t>
  </si>
  <si>
    <t>Imperial College London</t>
  </si>
  <si>
    <t>Whinnett N.</t>
  </si>
  <si>
    <t>High-resolution array processing methods for joint direction-velocity estimation</t>
  </si>
  <si>
    <t>10.1049/ip-f-2.1993.0016</t>
  </si>
  <si>
    <t>2-s2.0-0027585741</t>
  </si>
  <si>
    <t>['¬© 1993', 'rights reserved', 'letter presents', 'input impedance', 'good agreement', 'experimental results', 'energy conservation', 'electrical engineers', 'cavity model', 'calculated using', 'ascp ).']</t>
  </si>
  <si>
    <t>Antenna feeders | Antennas | Microstrip antennas</t>
  </si>
  <si>
    <t>The Letter presents the analysis of an arc slot circular patch antenna (ASCP). The theory is based on the cavity model and the input impedance is calculated using the theorem of energy conservation. Theoretical and experimental results are in good agreement. ¬© 1993, The Institution of Electrical Engineers. All rights reserved.</t>
  </si>
  <si>
    <t>1021-1022</t>
  </si>
  <si>
    <t>57103462700;7003723658;7202044329</t>
  </si>
  <si>
    <t>El Yazidi, M.;Himdi, M.;Daniel, J. P.</t>
  </si>
  <si>
    <t>El Yazidi M.</t>
  </si>
  <si>
    <t>Analysis of aperture-coupled circular microstrip antenna</t>
  </si>
  <si>
    <t>10.1049/el:19930681</t>
  </si>
  <si>
    <t>2-s2.0-0027588687</t>
  </si>
  <si>
    <t>['¬© 1993', 'typical examples', 'synthesized pattern', 'synthesis problem', 'second case', 'sample values', 'sample points', 'radiation pattern', 'pattern synthesis', 'much less', 'main lobe', 'first case', 'excitation currents', 'even number', 'equal magnitude', 'elements could', 'desired pattern', 'array elements', '32 elements']</t>
  </si>
  <si>
    <t>A method of pattern synthesis of an equispaced circular array with an even number of elements is introduced. This approach is based on the Woodward-Lawson sampling method. The desired pattern assumed in this work is the main lobe pattern radiated from circular array whose number of elements could be chosen very large, and excited with currents of equal magnitude. The solution of the synthesis problem can be achieved by sampling the desired pattern at predetermined finite points, and equating the sample values of the desired pattern and the synthesized pattern at the same sample points. Two synthesis cases of study are presented. The first case is to calculate the radius of the circle on which the centre of all elements are placed, assuming the array is excited with currents of equal magnitude. The second case is to calculate the radius, and the excitation currents. Typical examples of circular arrays comprising 8, 16, and 32 elements are followed. For each example some properties of the radiation pattern are given. It is shown that the main lobe of the synthesized pattern produced in these two cases perfectly match the desired pattern at nearly all points. The computed sidelobe level in the second case however is much less than that computed in the first case for the same number of array elements. ¬© 1993.</t>
  </si>
  <si>
    <t>251-254</t>
  </si>
  <si>
    <t>Computers and Electrical Engineering</t>
  </si>
  <si>
    <t>Ibrahem, Sabry M.M.</t>
  </si>
  <si>
    <t>Egypt</t>
  </si>
  <si>
    <t>Cairo</t>
  </si>
  <si>
    <t>Helwan University</t>
  </si>
  <si>
    <t>Ibrahem S.</t>
  </si>
  <si>
    <t>Pattern synthesis of circular array</t>
  </si>
  <si>
    <t>004579069390006D</t>
  </si>
  <si>
    <t>10.1016/0045-7906(93)90006-D</t>
  </si>
  <si>
    <t>2-s2.0-0027588744</t>
  </si>
  <si>
    <t>['¬© 1993', 'slot width', 'slot position', 'slot length', 'rights reserved', 'return loss', 'ground plane', 'electrical engineers', 'antenna fed']</t>
  </si>
  <si>
    <t>Antennas | Dielectric antennas</t>
  </si>
  <si>
    <t>The end-fire TE22l mode of a hemispherical dielectric resonator (DR) antenna fed by a microstripline through an aperture on the ground plane is investigated both theoretically and experimentally. The magnetic field Green function is presented for the evaluation of the return loss. The effects of slot position, slot length and slot width on the return loss are studied and discussed. ¬© 1993, The Institution of Electrical Engineers. All rights reserved.</t>
  </si>
  <si>
    <t>981-982</t>
  </si>
  <si>
    <t>60002798;60002798;60013983;60025278</t>
  </si>
  <si>
    <t>56415172000;56912776300;55510527400;7403692161</t>
  </si>
  <si>
    <t>Leung, K. W.;Lai, K. Y.A.;Luk, K. M.;Lin, D.</t>
  </si>
  <si>
    <t>China;Hong Kong;Hong Kong</t>
  </si>
  <si>
    <t>Beijing;Kowloon;Hong Kong</t>
  </si>
  <si>
    <t>Tsinghua University;City University of Hong Kong;Chinese University of Hong Kong</t>
  </si>
  <si>
    <t>60025278;60013983;60002798</t>
  </si>
  <si>
    <t>Leung K.</t>
  </si>
  <si>
    <t>End-fire TE&lt;inf&gt;221&lt;/inf&gt; mode of aperture coupled hemispherical dielectric resonator antenna</t>
  </si>
  <si>
    <t>10.1049/el:19930653</t>
  </si>
  <si>
    <t>2-s2.0-0027588907</t>
  </si>
  <si>
    <t>['¬© 1993', 'theoretical values', 'theoretical method', 'slot antenna', 'rights reserved', 'reflection coefficient', 'open literature', 'good agreement', 'electrical engineers', 'cylindrical edge', 'coaxial feed']</t>
  </si>
  <si>
    <t>Antenna feeders | Antennas | Slot antennas</t>
  </si>
  <si>
    <t>A theoretical method has been considered for the analysis of a cylindrical edge-slot antenna with coaxial feed. Theoretical values of the magnitude and phase of the reflection coefficient are compared with experimental values available in the open literature. There is good agreement between them. ¬© 1993, The Institution of Electrical Engineers. All rights reserved.</t>
  </si>
  <si>
    <t>1033-1034</t>
  </si>
  <si>
    <t>60012704;60012704;60012704;60012704;60012704;60012704</t>
  </si>
  <si>
    <t>7404469777;56171333600;7102742330;6505903145;56981658900;7404118511</t>
  </si>
  <si>
    <t>Cho, Y. K.;Yu, S. K.;Son, H.;Gueon, K. I.;Kim, H. C.;Hong, J. P.</t>
  </si>
  <si>
    <t>Daegu</t>
  </si>
  <si>
    <t>Kyungpook National University</t>
  </si>
  <si>
    <t>Cho Y.</t>
  </si>
  <si>
    <t>Analysis of cylindrical edge-slot antenna with coaxial feed</t>
  </si>
  <si>
    <t>10.1049/el:19930691</t>
  </si>
  <si>
    <t>2-s2.0-0027589029</t>
  </si>
  <si>
    <t>['¬© 1993', 'rights reserved', 'oscillator circuits', 'electrical engineers', '48as 0']</t>
  </si>
  <si>
    <t>Field-effect transistors | Optical control of microwaves | Oscillators</t>
  </si>
  <si>
    <t>The authors have fabricated monolithically integrated In0.53Ga0.47As/In0.52Al0.48As 0.25 ¬µm gate modulationdoped field effect transistor (MODFET) oscillators. The results of direct optical subharmonic injection locking of these oscillator circuits at 10159 and 19033GHz are presented. ¬© 1993, The Institution of Electrical Engineers. All rights reserved.</t>
  </si>
  <si>
    <t>944-945</t>
  </si>
  <si>
    <t>55717916400;7202370444;7102984601</t>
  </si>
  <si>
    <t>Yang, D.;Bhattacharya, P. K.;Brock, T.</t>
  </si>
  <si>
    <t>Yang D.</t>
  </si>
  <si>
    <t>Direct optical injection locking of monolithically integrated In&lt;inf&gt;0.53&lt;/inf&gt;Ga&lt;inf&gt;0.47&lt;/inf&gt;As/In&lt;inf&gt;0.52&lt;/inf&gt;Al&lt;inf&gt;0.48&lt;/inf&gt;As MODFET oscillators</t>
  </si>
  <si>
    <t>10.1049/el:19930629</t>
  </si>
  <si>
    <t>2-s2.0-0027589049</t>
  </si>
  <si>
    <t>Georgia Institute of Technology</t>
  </si>
  <si>
    <t>['vswr less', 'sized phantom', 'reasonable agreement', 'placed around', 'nonferrous probes', 'minimally perturbing', 'measured heating', 'less change', 'human body', 'experiments show', 'electrostatic shield', 'electromagnetic fields', 'current measured', 'body member', '9 mhz', '200 mhz']</t>
  </si>
  <si>
    <t>Minimally perturbing, resistive, nonferrous probes were developed for noninvasively measuring hazardous currents induced in the human body by electromagnetic fields at 1 to 200 MHz. Each probe has a resistive toroidal coil that is placed around the leg or other body member. An electrostatic shield is required to limit capacitive coupling. A new shielded test fixture provides TEM fields for calibration with a VSWR less than 1.1 from 1 to 200 MHz. A man-sized phantom was exposed to the near-field or a vertical monopole antenna at 29.9 MHz, and the value of the current measured in the leg with our probe is in reasonable agreement with measured heating. Analyses and experiments show that commercial ferrous current probes modify the circuit in which they are used, changing the current being measured. Less change is caused by our nonferrous current probes. ¬© 1993 IEEE</t>
  </si>
  <si>
    <t>418-423</t>
  </si>
  <si>
    <t>IEEE Transactions on Biomedical Engineering</t>
  </si>
  <si>
    <t>60015206;60015206</t>
  </si>
  <si>
    <t>15741018800;7004064797</t>
  </si>
  <si>
    <t>Hagmann, Mark J.;Babij, Tadeusz M.</t>
  </si>
  <si>
    <t>Miami</t>
  </si>
  <si>
    <t>Florida International University</t>
  </si>
  <si>
    <t>Hagmann M.J.</t>
  </si>
  <si>
    <t>Noninvasive Measurement of Current in the Human Body for Electromagnetic Dosimetry</t>
  </si>
  <si>
    <t>10.1109/10.243420</t>
  </si>
  <si>
    <t>2-s2.0-0027589188</t>
  </si>
  <si>
    <t>['¬© 1993', 'rights reserved', 'magnetic component', 'enable determination', 'electrical engineers', 'design proposed']</t>
  </si>
  <si>
    <t>Electromagnetic fields | Measurement</t>
  </si>
  <si>
    <t>Analysis of double-loaded loop antennas and their properties has led to the design of new measuring sensors which enable determination of both electric field strength and magnetic field strength. Sensors of the design proposed are applicable to a quasipoint measurement providing independent determination of the electric and magnetic component of the field. ¬© 1993, The Institution of Electrical Engineers. All rights reserved.</t>
  </si>
  <si>
    <t>968-970</t>
  </si>
  <si>
    <t>Wiƒôckowski, T. W.</t>
  </si>
  <si>
    <t>Wroclaw</t>
  </si>
  <si>
    <t>Wroc≈Çaw University of Science and Technology</t>
  </si>
  <si>
    <t>Wiƒôckowski T.</t>
  </si>
  <si>
    <t>Electric-field and magnetic-field sensors</t>
  </si>
  <si>
    <t>10.1049/el:19930645</t>
  </si>
  <si>
    <t>2-s2.0-0027589296</t>
  </si>
  <si>
    <t>['¬© 1993', 'various definitions', 'rights reserved', 'latter used', 'electrical engineers', 'distribution parameters']</t>
  </si>
  <si>
    <t>Antenna arrays | Antennas</t>
  </si>
  <si>
    <t>The generalised Villeneuve linear array distribution is examined in terms of its root-mean-square sidelobe level (for various definitions of the latter used in systems work), as a function of the distribution parameters. ¬© 1993, The Institution of Electrical Engineers. All rights reserved.</t>
  </si>
  <si>
    <t>989-990</t>
  </si>
  <si>
    <t>57203176700;7003519884</t>
  </si>
  <si>
    <t>McNamara, D. A.;Botha, E.</t>
  </si>
  <si>
    <t>McNamara D.</t>
  </si>
  <si>
    <t>Generalised villeneuve distributions and various definitions of root-mean-square sidelobe levels</t>
  </si>
  <si>
    <t>10.1049/el:19930658</t>
  </si>
  <si>
    <t>2-s2.0-0027589298</t>
  </si>
  <si>
    <t>['suppression technique', 'successfully tested', 'simple modification', 'new type', 'channel sections', 'channel inserts']</t>
  </si>
  <si>
    <t>A finite difference method is used to design a new type of sectoral horn antenna with corner channel inserts which produces a tapered aperture amplitude distribution in the E‚Äêplane. The channel inserts, which present a simple modification to the horn aperture geometry, act as effective side‚Äêlobe suppression devices. The efficiency of the suppression technique was successfully tested on an experimental horn whose performance is compared to that of a horn with similar geometrical dimensions but with no channel sections. Copyright ¬© 1993 John Wiley &amp; Sons, Ltd</t>
  </si>
  <si>
    <t>145-159</t>
  </si>
  <si>
    <t>International Journal of Numerical Modelling: Electronic Networks, Devices and Fields</t>
  </si>
  <si>
    <t>60025779;60015138;60068815</t>
  </si>
  <si>
    <t>6701862683;7103235804;55952625000</t>
  </si>
  <si>
    <t>Ata, O. W.;Benson, T. M.;Marincic, A.</t>
  </si>
  <si>
    <t>Serbia;United Kingdom;United Kingdom</t>
  </si>
  <si>
    <t>Belgrade;Bangor;Nottingham</t>
  </si>
  <si>
    <t>University of Belgrade;Bangor University;University of Nottingham</t>
  </si>
  <si>
    <t>60068815;60025779;60015138</t>
  </si>
  <si>
    <t>Ata O.</t>
  </si>
  <si>
    <t>An E‚Äêplane sectoral horn fitted with side‚Äêlobe suppression devices</t>
  </si>
  <si>
    <t>10.1002/jnm.1660060207</t>
  </si>
  <si>
    <t>2-s2.0-0027589494</t>
  </si>
  <si>
    <t>['wiley company', 'slot surrounding', 'investigated experimentally', 'inc .,', 'cwa consists', 'coplanar waveguide', 'characteristic impedance']</t>
  </si>
  <si>
    <t>Coplanar waveguide antenna | microwave integrated circuits</t>
  </si>
  <si>
    <t>A coplanar waveguide antenna (CWA) is proposed and investigated experimentally. The CWA consists of an open coplanar waveguide circuit and is fed by a coplanar waveguide with a characteristic impedance of 50 Œ©. The measured return loss shows that the radiation mainly comes from the slot surrounding the open coplanar waveguide circuit. The area of the CWA is about 1/8 that of the corresponding microstrip antenna. ¬© 1993 John Wiley &amp; sons, Inc. Copyright ¬© 1993 Wiley Periodicals, Inc., A Wiley Company</t>
  </si>
  <si>
    <t>349-351</t>
  </si>
  <si>
    <t>A novel type of compact coplanar waveguide antenna</t>
  </si>
  <si>
    <t>10.1002/mop.4650060605</t>
  </si>
  <si>
    <t>2-s2.0-0027589892</t>
  </si>
  <si>
    <t>['wiley company', 'transmitted wave', 'spatial filters', 'slotted elements', 'simple design', 'regular plurality', 'radiation filters', 'incidence angle', 'inc .,']</t>
  </si>
  <si>
    <t>Frequency‚Äêselective surfaces | spatial filtering arrays</t>
  </si>
  <si>
    <t>Two single‚Äêlayer FSSs are presented as radiation filters in conjunction with a conventional horn antenna. The amplitude of the transmitted wave to the variation of the incidence angle is studied with a view to designing a spatial filter array. It is demonstrated that these single‚Äêlayer arrays act as spatial filters, following a simple design of a regular plurality of slotted elements. ¬© 1993 John Wiley &amp; sons, Inc. Copyright ¬© 1993 Wiley Periodicals, Inc., A Wiley Company</t>
  </si>
  <si>
    <t>339-342</t>
  </si>
  <si>
    <t>60000891;60000891</t>
  </si>
  <si>
    <t>56209571400;35562114200</t>
  </si>
  <si>
    <t>Chandran, Sathish;Vardaxoglou, John C.</t>
  </si>
  <si>
    <t>Chandran S.</t>
  </si>
  <si>
    <t>Performance of two single‚Äêlayer frequency‚Äêselective surfaces as spatial filters</t>
  </si>
  <si>
    <t>10.1002/mop.4650060603</t>
  </si>
  <si>
    <t>2-s2.0-0027589893</t>
  </si>
  <si>
    <t>['simultaneous determination', 'signal losses', 'signal attenuation', 'required use', 'parallel waveguides', 'parallel pair', 'frequency signals', 'expensive balun', 'electrical field', 'electrical conductivity', 'ec measured', 'ec ).', 'conventional balun', 'conductance meter', 'coaxial probes', 'attenuate low', 'attached directly', '4 baluns', '1 balun']</t>
  </si>
  <si>
    <t>Time domain reflectometry (TDR) is used for the simultaneous determination of soil moisture content and electrical conductivity (EC). Limitations of parallel probes compared with coaxial probes have been signal losses in the antenna wire leading to the probes, and the required use of an expensive balun. In addition, signal attenuation in the balun hampered accurate EC determination. We describe a balun that avoids these limitations. It is a 1:1 balun, which means that it converts the electrical field from unbalanced to balanced, but no impedance transformation takes place. Consequently, this balun does not attenuate low-frequency signals, which is inherent to commonly used commercial 1:4 baluns. The balun is inexpensive and easy to fabricate, and is attached directly to a parallel pair of waveguides. This permits a system with coaxial transmission line from the TDR to the parallel waveguides. For soil moisture content determinations, the new balun performs at least as well as a conventional balun. Furthermore, EC of NaCl solutions determined from the TDR trace showed excellent agreement with EC measured with a conductance meter.</t>
  </si>
  <si>
    <t>668-673</t>
  </si>
  <si>
    <t>Soil Science Society of America Journal</t>
  </si>
  <si>
    <t>May-Jun</t>
  </si>
  <si>
    <t>60001989;60001989</t>
  </si>
  <si>
    <t>6603400786;7404127997</t>
  </si>
  <si>
    <t>Spaans, E. J.A.;Baker, J. M.</t>
  </si>
  <si>
    <t>USDA Agricultural Research Service</t>
  </si>
  <si>
    <t>Spaans E.</t>
  </si>
  <si>
    <t>Simple baluns in parallel probes for time domain reflectometry</t>
  </si>
  <si>
    <t>10.2136/sssaj1993.03615995005700030006x</t>
  </si>
  <si>
    <t>2-s2.0-0027590432</t>
  </si>
  <si>
    <t>['vertical looking', 'size distribution', 'maximum range', 'field performance', 'detected targets']</t>
  </si>
  <si>
    <t>The design, construction, calibration, and field performance of an automated, vertical looking, x-band radar system for continuously monitoring aerial insect activity is described. Calibration results indicated noctuid-sized insect targets could be detected to a maximum range of about 2500 m, and the system provided data for estimating a size distribution for detected targets. -from Authors</t>
  </si>
  <si>
    <t>965-970</t>
  </si>
  <si>
    <t>Transactions - American Society of Agricultural Engineers: General Edition</t>
  </si>
  <si>
    <t>7003426154;7102449104;6507202086</t>
  </si>
  <si>
    <t>Beerwinkle, K. R.;Witz, J. A.;Schleider, P. G.</t>
  </si>
  <si>
    <t>Beerwinkle K.</t>
  </si>
  <si>
    <t>An automated, vertical looking, x-band radar system for continuously monitoring aerial insect activity</t>
  </si>
  <si>
    <t>2-s2.0-0027590751</t>
  </si>
  <si>
    <t>['validating measurements', 'radiating wire', 'primarily limited', 'potentially capable', 'paper discusses', 'numerical tools', 'ground plane', 'fluids disciplines', 'fea techniques', 'element analysis', 'electromagnetic compatibility', 'complex system', 'completed design', 'calculated results', 'become commonplace', 'analysis tools']</t>
  </si>
  <si>
    <t>As electronic system complexity increases, the design and analysis tools must keep pace. In the mechanics, structures, and fluids disciplines, numerical tools, such as finite-element analysis (FEA) have become commonplace in the designers tool kit. In electromagnetics (EM) such analysis tools are still in their infancy. Electromagnetic compatibility (EMC) analysis has been primarily limited to the analysis of simple equivalent circuit models or measurements of a completed design. Few reliable methods exist to predict the EMC of a complex system or group of systems before it leaves the designer's desk. Powerful electromagnetic software based on FEA techniques is now becoming commercially available. These programs are potentially capable of analyzing the complex electromagnetic environment surrounding modern shipboard electronic systems and/or antennas. This paper discusses the output of one FEA program used as a compartmental EMC predictive tool. The FEA program results are compared to the calculated results from a typical radiating EMI source, a radiating wire over a ground plane, and compares both predictions with validating measurements. ¬© 1993 IEEE</t>
  </si>
  <si>
    <t>241-248</t>
  </si>
  <si>
    <t>60019947;60019947;60019947</t>
  </si>
  <si>
    <t>56211635700;36862100200;6507432271</t>
  </si>
  <si>
    <t>Dixon, David S.;Obara, Michael;Schade, Nicholas</t>
  </si>
  <si>
    <t>New London</t>
  </si>
  <si>
    <t>US Naval Underwater Systems Center</t>
  </si>
  <si>
    <t>Dixon D.</t>
  </si>
  <si>
    <t>Finite-Element Analysis (Fea) As An Emc Prediction Tool</t>
  </si>
  <si>
    <t>10.1109/15.229415</t>
  </si>
  <si>
    <t>2-s2.0-0027590766</t>
  </si>
  <si>
    <t>['present arrangement', 'paper introduces', 'interference ratio', 'francis ltd', 'band interferences', 'antenna element']</t>
  </si>
  <si>
    <t>This paper introduces a novel filter arrangement to be used in broad-band adaptive antenna array processing. This arrangement is based on orthogonal functions filter sections behind each antenna element. Compared to the widely used finite impulse response filter arrangement, the present arrangement is found to have much better nulling performance as well as a better converged signal-to-interference ratio for broad-band interferences. ¬© 1993 Taylor &amp; Francis Ltd.</t>
  </si>
  <si>
    <t>753-763</t>
  </si>
  <si>
    <t>International Journal of Electronics</t>
  </si>
  <si>
    <t>60000617;60000617</t>
  </si>
  <si>
    <t>35936069800;6507908349</t>
  </si>
  <si>
    <t>Ibrahim, Hosny M.;Abdel-Raheem, Gamal M.</t>
  </si>
  <si>
    <t>Assiut</t>
  </si>
  <si>
    <t>Assiut University</t>
  </si>
  <si>
    <t>Ibrahim H.</t>
  </si>
  <si>
    <t>Broad-band adaptive array processing using orthogonal functions</t>
  </si>
  <si>
    <t>10.1080/00207219308925879</t>
  </si>
  <si>
    <t>2-s2.0-0027591362</t>
  </si>
  <si>
    <t>['useful tools', 'spherical trigonometry', 'space object', 'space catalog', 'simulation results', 'seven pairs', 'sequential step', 'second technique', 'right reserved', 'rapidly evaluate', 'original method', 'orbital motion', 'mission planners', 'methods presented', 'ground station', 'first technique', 'execution performance', 'elevation restrictions', 'current database', 'complete method']</t>
  </si>
  <si>
    <t>This paper outlines two algorithms to compute the average daily access time of a space object by a ground station with restrictions in azimuth, elevation, and range. The first technique, entitled the complete method of ratios, makes extensive use of spherical trigonometry to arrive at a viewing solution whereas the second technique, entitled multiple antennas, uses site topocentric pointing information to determine access time. For the first technique, the original method of ratios is expanded to include viewing restrictions in azimuth and elevation. Simulation results for both methods are documented for a fictitious site restricted to 3500 km range visibility, with seven pairs of azimuth and elevation restrictions. For this study, orbital motion is modeled with J2effects, and a viewing solution truth table is created from a 5 s sequential step. Test results include site latitude variations as well as computer run time comparisons to illustrate the execution performance of each technique. The methods presented here are useful tools for mission planners to rapidly evaluate all objects in a space catalog and maintain a current database of objects that are visible to a particular ground station. ¬© 1993 American Institute of Aeronautics and Astronautics, Inc. All right reserved.</t>
  </si>
  <si>
    <t>374-379</t>
  </si>
  <si>
    <t>May-June 1993</t>
  </si>
  <si>
    <t>60015710;107984730</t>
  </si>
  <si>
    <t>7003712854;6602279406</t>
  </si>
  <si>
    <t>Alfano, Salvatore;Negron, David</t>
  </si>
  <si>
    <t>Kirtland;</t>
  </si>
  <si>
    <t>Kirtland Air Force Base;Cheyenne Mountain Air Force Station</t>
  </si>
  <si>
    <t>Alfano S.</t>
  </si>
  <si>
    <t>Complete method of ratios</t>
  </si>
  <si>
    <t>10.2514/3.25525</t>
  </si>
  <si>
    <t>2-s2.0-0027591761</t>
  </si>
  <si>
    <t>['radiation patterns', 'partially composite', 'measurements demonstrating', 'fdtd method', 'difference time', 'antenna interference']</t>
  </si>
  <si>
    <t>In this paper the finite-difference time-domain (FDTD) method is reviewed and then used to model and predict the radiation patterns of a monopole antenna mounted on the bottom of a perfectly conducting helicopter structure. The computed radiation patterns are compared with measurements demonstrating the accuracy of the FDTD method. To study the effect of antenna interference, a second monopole antenna is mounted on the structure and the patterns are recalculated. The perfectly conducting helicopter model is then replaced by a partially composite/partially conducting material structure and the electromagnetic fields penetrating the structure from an incident plane wave are analyzed. A preprocessing geometry program used in generating an FDTD geometry model by using a solid surface helicopter structure is presented. ¬© 1993 IEEE</t>
  </si>
  <si>
    <t>192-203</t>
  </si>
  <si>
    <t>60003892;60003892;60003892;60000854</t>
  </si>
  <si>
    <t>6701682267;35583458100;6507589259;7103023636</t>
  </si>
  <si>
    <t>Tirkas, Panayiotis A.;Balanis, Constantine A.;Purchine, Michael P.;Barber, George C.</t>
  </si>
  <si>
    <t>Tempe;Hampton</t>
  </si>
  <si>
    <t>Arizona State University;NASA Langley Research Center</t>
  </si>
  <si>
    <t>60003892;60000854</t>
  </si>
  <si>
    <t>Tirkas P.</t>
  </si>
  <si>
    <t>Finite-Difference Time-Domain Method For Electromagnetic Radiation, Interference, And Interaction With Complex Structures</t>
  </si>
  <si>
    <t>10.1109/15.229421</t>
  </si>
  <si>
    <t>2-s2.0-0027592309</t>
  </si>
  <si>
    <t>Ministry of Defense</t>
  </si>
  <si>
    <t>MOD</t>
  </si>
  <si>
    <t>['wires placed', 'typical device', 'tlm model', 'test placed', 'surrounding space', 'radiation resistance', 'practical environment', 'line modeling', 'fine features', 'essential features', 'emc problems', 'emc problem', 'electromagnetic compatibility', 'either side', 'efficient treatment', 'detailed model', 'current induced', 'briefly described']</t>
  </si>
  <si>
    <t>The application of transmission-line modeling (TLM) to electromagnetic compatibility (EMC) problems is described. The essential features of the TLM model and its relevance to EMC problems are briefly described. The manner in which an EMC problem can be modeled using TLM is outlined, and applications in three important areas are presented. Results are shown for a spherical dipole antenna placed near conducting walls, where a detailed model of the antenna and the surrounding space is used to determine the radiation resistance and its variation with proximity to the walls. The electromagnetic emission pattern from a typical device under test placed in a practical environment has been determined by simulation. The current induced on wires placed on either side of a thin conducting plate has been obtained by TLM, and the results were compared with measurements. Although a relatively coarse mesh of points has been used, the comparisons are very encouraging. Further developments to the code are discussed, which will allow a more efficient treatment of fine features and enhance the power of the method to solve realistic EMC problems. ¬© 1993 IEEE</t>
  </si>
  <si>
    <t>185-191</t>
  </si>
  <si>
    <t>60015138;60015138</t>
  </si>
  <si>
    <t>35510119400;56974659200</t>
  </si>
  <si>
    <t>Christopoulos, Christos;Herring, Jonathan L.</t>
  </si>
  <si>
    <t>Christopoulos C.</t>
  </si>
  <si>
    <t>The Application Of Transmission-line Modeling (Tlm) To Electromagnetic Compatibility Problems</t>
  </si>
  <si>
    <t>10.1109/15.229422</t>
  </si>
  <si>
    <t>2-s2.0-0027592310</t>
  </si>
  <si>
    <t>['target zone', 'scattered electromagnetic', 'paper using', 'infinite four', 'function associated', 'four wires', 'fields associated', 'dipole source', 'currents induced', 'antenna system']</t>
  </si>
  <si>
    <t>The Green's function associated with a four-parallel-wire antenna system is calculated in this paper using the spatial Fourier transform method. The specification of the Green's function is an important intermediate step toward determining the amount of coupling that occurs between an actual object located in the target zone of the antenna system and the four wires of the antenna system. The currents induced on the four wires and the scattered electromagnetic (EM) fields associated with a dipole source are calculated. Comparison of Fourier transform method (FTM) solution with method-of-moments (MOM) solution is made for infinite four-parallel-wire antenna system. ¬© 1993 IEEE</t>
  </si>
  <si>
    <t>274-284</t>
  </si>
  <si>
    <t>60020583;60020583</t>
  </si>
  <si>
    <t>7202600256;7006776374</t>
  </si>
  <si>
    <t>Mansour, Mansour K.;Jarem, John M.</t>
  </si>
  <si>
    <t>Huntsville</t>
  </si>
  <si>
    <t>The University of Alabama in Huntsville</t>
  </si>
  <si>
    <t>Mansour M.</t>
  </si>
  <si>
    <t>The Green's Function of a Four-Parallel-Wire Antenna System using Fourier Transform Method</t>
  </si>
  <si>
    <t>10.1109/15.229436</t>
  </si>
  <si>
    <t>2-s2.0-0027592817</t>
  </si>
  <si>
    <t>14-92-J-1757</t>
  </si>
  <si>
    <t>['would lead', 'traps generated', 'threshold voltage', 'thin oxide', 'subsequent fowler', 'sensitive technique', 'resultant plasma', 'predicted accurately', 'plasma processes', 'plasma etching', 'oxide breakdown', 'induced damage', 'device structure', 'damage produced', 'characterizing plasma', 'aluminum surfaces']</t>
  </si>
  <si>
    <t>Plasma etching and resist ashing processes cause current to flow through the thin oxide and the resultant plasma-induced damage can be simulated and modeled as damage produced by constant current electrical stress. The oxide charging current produced by plasma processing increases with the ‚Äúantenna‚Äù size of the device structure. Oxide charge measurement such as CV or threshold voltage is a more sensitive technique for characterizing plasma-processing induced damage than oxide breakdown. The oxide charging current is collected only through the aluminum surfaces not covered by the photoresist during plasma processes. Although forming gas anneal can passivate the traps generated during plasma etching, subsequent Fowler-Nordheim stressing causes more traps to be generated in these devices than in devices that have not been through plasma etching. Using the measured charging current, the breakdown voltage distribution of oxides after plasma processes can be predicted accurately. Oxide shorts density of a single large test capacitor is found to be higher than that in a multiple of separated small capacitors having the same total oxide area. This would lead to overly pessimistic oxide defect data unless care is taken. ¬© 1993 IEEE</t>
  </si>
  <si>
    <t>96-102</t>
  </si>
  <si>
    <t>IEEE Transactions on Semiconductor Manufacturing</t>
  </si>
  <si>
    <t>60025038;60025038</t>
  </si>
  <si>
    <t>7404012153;35594318600</t>
  </si>
  <si>
    <t>Shin, Hyungcheol;Hu, Chenming</t>
  </si>
  <si>
    <t>Berkeley</t>
  </si>
  <si>
    <t>University of California, Berkeley</t>
  </si>
  <si>
    <t>Shin H.</t>
  </si>
  <si>
    <t>Monitoring Plasma-Process Induced Damage in Thin Oxide</t>
  </si>
  <si>
    <t>10.1109/66.216927</t>
  </si>
  <si>
    <t>2-s2.0-0027593004</t>
  </si>
  <si>
    <t>['unnecessary since', 'sommerfeld integral', 'results demonstrate', 'resulting integrals', 'observation locations', 'far zone', 'efficient computation', 'copyright 1993']</t>
  </si>
  <si>
    <t>A contour transformation method is applied to the computation of the Sommerfeld integral associated with a vertical electric dipole above Earth. In this method the slowly varying part of the transformed Sommerfeld integrand is approximated by a few exponential terms using Prony's method. The resulting integrals are then carried out analytically, thereby, yielding incomplete Lipschitz‚ÄêHankel integrals. Therefore numerical integration of the Sommerfeld integral is unnecessary since the incomplete Lipschitz‚ÄêHankel integrals are computed using efficient Bessel series expansions. This method is compared with a direct numerical integration of the Sommerfeld integral and a contour deformation technique which also utilizes Prony's method. The results demonstrate that the contour transformation method enables the accurate and efficient computation of the Sommerfeld integral for all source and observation locations (i.e., near zone, far zone and even grazing). This technique can also be applied to problems involving multiple layers. Copyright 1993 by the American Geophysical Union.</t>
  </si>
  <si>
    <t>309-317</t>
  </si>
  <si>
    <t>7005543330;6603467494</t>
  </si>
  <si>
    <t>Dvorak, Steven L.;Mechaik, Mehdi M.</t>
  </si>
  <si>
    <t>Dvorak S.</t>
  </si>
  <si>
    <t>Application of the contour transformation method to a vertical electric dipole over Earth</t>
  </si>
  <si>
    <t>10.1029/92RS03021</t>
  </si>
  <si>
    <t>2-s2.0-0027593275</t>
  </si>
  <si>
    <t>['wiley company', 'well known', 'well documented', 'scanned cases', 'planar arrays', 'isotropic elements', 'inc .,', 'hexagonal arrays']</t>
  </si>
  <si>
    <t>Antenna array | directivity | scanning array</t>
  </si>
  <si>
    <t>It is well known that for linear array antennas with isotropic elements, the directive gain depends upon the spacing between the elements. However, this relationship is not as well documented for planar arrays or arrays with medium gain elements, such as micro‚Äêstrip patches, particularly in scanned cases. In this article, linear, rectangular, and hexagonal arrays with both isotropic elements and medium gain elements are examined. ¬© 1993 John Wiley &amp; sons, Inc. Copyright ¬© 1993 Wiley Periodicals, Inc., A Wiley Company</t>
  </si>
  <si>
    <t>361-363</t>
  </si>
  <si>
    <t>60078329;60026717</t>
  </si>
  <si>
    <t>7202495702;24522606100</t>
  </si>
  <si>
    <t>Zimmerman, M.;Lee, R. Q.</t>
  </si>
  <si>
    <t>Fairfax;Cleveland</t>
  </si>
  <si>
    <t>Analex Corporation;NASA Glenn Research Center</t>
  </si>
  <si>
    <t>Zimmerman M.</t>
  </si>
  <si>
    <t>Directivity versus element spacing for a scanning array</t>
  </si>
  <si>
    <t>10.1002/mop.4650060609</t>
  </si>
  <si>
    <t>2-s2.0-0027593577</t>
  </si>
  <si>
    <t>['tv satellite', 'stepper motors', 'received signals', 'orientation direction', 'microprocessor processes', 'controls x', 'continuously tracks', 'axis signals', 'auxiliary arrays']</t>
  </si>
  <si>
    <t>A receive sum tracking antenna system that continuously tracks a TV satellite is proposed. The receiving parabolic antenna is fixed with auxiliary arrays for picking up the off-axis signals. A microprocessor processes the received signals and controls X-Y stepper motors as to adjust the orientation direction of the antenna. ¬© 1993 IEEE</t>
  </si>
  <si>
    <t>93-99</t>
  </si>
  <si>
    <t>IEEE Transactions on Consumer Electronics</t>
  </si>
  <si>
    <t>60032587;60032587</t>
  </si>
  <si>
    <t>55751743517;6506990088</t>
  </si>
  <si>
    <t>Balasubramanian, K.;Ikiz, T.</t>
  </si>
  <si>
    <t>Turkey</t>
  </si>
  <si>
    <t>Adana</t>
  </si>
  <si>
    <t>√áukurova √úniversitesi</t>
  </si>
  <si>
    <t>Balasubramanian K.</t>
  </si>
  <si>
    <t>Auxiliary Array Tracking System for Reflecting Antennas</t>
  </si>
  <si>
    <t>10.1109/30.214813</t>
  </si>
  <si>
    <t>2-s2.0-0027593697</t>
  </si>
  <si>
    <t>['wiley company', 'multiple modes', 'inc .,', 'azimuthal variations']</t>
  </si>
  <si>
    <t>Impedance | patch antenna | thick substrate</t>
  </si>
  <si>
    <t>Input‚Äêimpedance results for a probe‚Äêfed rectangular patch antenna are presented, using a full‚Äêwave spectral‚Äêdomain analysis. The source is modeled by a magnetic‚Äêcurrent frill and multiple modes are used in the probe surface current to account for axial and azimuthal variations. Several new features are noted. ¬© 1993 John Wiley &amp; sons, Inc. Copyright ¬© 1993 Wiley Periodicals, Inc., A Wiley Company</t>
  </si>
  <si>
    <t>387-390</t>
  </si>
  <si>
    <t>60021624;60021624;60026717</t>
  </si>
  <si>
    <t>56092917000;7501501369;24522606100</t>
  </si>
  <si>
    <t>Chen, Wei;Lee, Kai‚ÄêFong ‚ÄêF;Lee, R. Q.</t>
  </si>
  <si>
    <t>Cleveland;Toledo</t>
  </si>
  <si>
    <t>NASA Glenn Research Center;The University of Toledo</t>
  </si>
  <si>
    <t>60026717;60021624</t>
  </si>
  <si>
    <t>Chen W.</t>
  </si>
  <si>
    <t>Input impedance of coaxially fed rectangular microstrip antenna on electrically thick substrate</t>
  </si>
  <si>
    <t>10.1002/mop.4650060616</t>
  </si>
  <si>
    <t>2-s2.0-0027594157</t>
  </si>
  <si>
    <t>Canadian International Development Agency</t>
  </si>
  <si>
    <t>CIDA</t>
  </si>
  <si>
    <t>['¬© 1993', 'zn stores', 'zn contents', 'significantly lower', 'significantly higher', 'receiving 62', 'ni contents', 'exposed crayfish', 'either cd', 'cu contents', 'crayfish exposed', 'copper contents', 'control crayfish', 'cd contents', 'antennal glands', 'alimentary canal', 'abdominal muscles', '72 h', '1 ranged']</t>
  </si>
  <si>
    <t>bioacumulation | cadmium | Cambarus bartoni | copper | Crustacea | nickel | short-term exposure | zinc</t>
  </si>
  <si>
    <t>Cadmium and copper contents of the hepatopancreas in adult intermoult Cambarus bartoni, exposed for 72 h to 12.5, 62.5 and 125 Œºg Cd 1-1, were significantly higher than those of the control. Whereas Cd contents were significantly higher in crayfish exposed to 125 Œº g Cd 1-1, Cu contents were significantly lower in those receiving 62.5 Œº g Cd 1-1. Antennal glands in Cd-exposed isopods contained approx. 5-8 times higher Cd, and 2-4 times lower Cu than those in the control. Differences in Zn contents of abdominal muscles and gills, Cd contents of abdominal muscles and exoskeleton and Cu contents of abdominal muscles, gonads and exoskeleton of the Cd-exposed crayfish were not significant at the 5% level. Similarly, Ni contents of antennal glands, gonads and hepatopancreas of the crayfish receiving 10-5000 Œº g Ni 1-1 ranged between 18.8 and 25.0, 3.2 and 16.3, and 4.0 and 6.7 Œº g g-1 wet wt, respectively. Differences in Ni contents of abdominal muscles and alimentary canal, as well as Cu and Zn contents of the antennal glands, exoskeleton, gills and haemolymph between Ni-exposed and control crayfish were not significant at the 5% level. The study provides evidence of competition between Cd and Cu, and Ni and Cu. However, Zn stores of various tissues remained unaffected by the presence of either Cd or Ni. ¬© 1993.</t>
  </si>
  <si>
    <t>921-927</t>
  </si>
  <si>
    <t>Water Research</t>
  </si>
  <si>
    <t>60012762;60012762</t>
  </si>
  <si>
    <t>36873630200;7004600053</t>
  </si>
  <si>
    <t>Mwangi, Simon M.;Alikhan, M. A.</t>
  </si>
  <si>
    <t>Sudbury ON,</t>
  </si>
  <si>
    <t>Laurentian University</t>
  </si>
  <si>
    <t>Mwangi S.</t>
  </si>
  <si>
    <t>Cadmium and nickel uptake by tissues of cambarus bartoni (astacidae, decapoda, crustacea): effects on copper and zinc stores</t>
  </si>
  <si>
    <t>0043-1354(93)90158-E</t>
  </si>
  <si>
    <t>10.1016/0043-1354(93)90158-E</t>
  </si>
  <si>
    <t>2-s2.0-0027594354</t>
  </si>
  <si>
    <t>['stop bands', 'saw low', 'reverse frequency', 'rather narrow', 'piezoelectric substrates', 'pass bands', 'new type', 'lower side', 'frequency characteristics', 'also presented', 'allocation systems', '920 mhz']</t>
  </si>
  <si>
    <t>Japanese cellular radios employ reverse frequency - allocations of the transmitter and receiver frequency bands. A rather narrow-band SAW transmitter prefilter and a new type of SAW low-loss and high-power transmitter final stage filters‚Äîdual configurations to previously developed U.S.A. fil-ters‚Äîhave been developed. The new dual configurations provide the stop bands for the filter at the lower side of the pass bands, which is a requirement for reverse frequency-allocation systems. Design procedures including those for the piezoelectric substrates, and the experimental results obtained for the filters of 1.5-dB low insertion-loss and over 30-dB stop band rejection at 920 MHz are also presented. In addition, the frequency characteristics of the SAW antenna duplexer module used in Japanese NCC systems are discussed. ¬© 1993 IEEE</t>
  </si>
  <si>
    <t>224-231</t>
  </si>
  <si>
    <t>IEEE Transactions on Ultrasonics, Ferroelectrics, and Frequency Control</t>
  </si>
  <si>
    <t>60003381;60003381;60003381</t>
  </si>
  <si>
    <t>7102360893;7006046079;7003490307</t>
  </si>
  <si>
    <t>Hikita, Mitsutaka;Tabuchi, Toyoji;Shibagaki, Nobuhiko</t>
  </si>
  <si>
    <t>Hitachi, Ltd.</t>
  </si>
  <si>
    <t>Hikita M.</t>
  </si>
  <si>
    <t>Investigation of New Low-Loss and High-Power SAW Filters for Reverse-Frequency-Allocated Cellular Radios</t>
  </si>
  <si>
    <t>10.1109/58.216835</t>
  </si>
  <si>
    <t>2-s2.0-0027594690</t>
  </si>
  <si>
    <t>['wind vector', 'vhf wavelength', 'upper atmosphere', 'study suggests', 'spatial interferometric', 'radar beam', 'pss technique', 'pss method', 'poststatistic steering', 'obtain estimates', 'mu radar', 'made using', 'lower stratosphere', 'horizontal wind', 'due solely', 'dbs velocities', 'dbs results', 'dbs experiment', 'data obtained', 'copyright 1993', 'atmospheric wind', 'aspect sensitivity', 'arbitrary direction', 'accurate representation', 'accurate estimate']</t>
  </si>
  <si>
    <t>Poststatistic steering (PSS) techniques are applied for estimating the wind vector. Since spatially separated receivers can be used to synthesize a radar beam in an arbitrary direction, Doppler beam swinging (DBS) techniques can be used in conjunction with PSS to obtain estimates of the wind vector. Data obtained with the middle and upper atmosphere (MU) radar in Japan are used to implement the technique in the troposphere and lower stratosphere at a VHF wavelength. To obtain an accurate estimate of the beam‚Äêpointing direction, the synthesized two‚Äêway antenna pattern is calculated. Also, the effects of aspect sensitivity on this technique are explored. The mode of operation of the MU radar was alternated between a typical DBS mode and a spatial interferometric (SI) mode, which was used for the PSS technique. Results from the PSS method of obtaining the wind vector are compared to the DBS results, which are assumed to be an accurate representation of the atmospheric wind. This study suggests that aspect sensitivity causes an underestimate of the horizontal wind using PSS. Corrections were made using the aspect sensitivity functions obtained from the DBS experiment and the corrected PSS velocities compare well with the DBS velocities. The vertical velocity estimate using a vertically pointing beam is shown to possess a gravity wave characteristic which is due solely to contamination from the horizontal wind. Copyright 1993 by the American Geophysical Union.</t>
  </si>
  <si>
    <t>261-271</t>
  </si>
  <si>
    <t>;;;;;;</t>
  </si>
  <si>
    <t>57203466193;35598897600;7005113174;55398698300;9274833100;35433785500;35425453600</t>
  </si>
  <si>
    <t>Palmer, Robert D.;Larsen, Miguel F.;Sheppard, E. Lamar;Fukao, Shoichiro;Yamamoto, Mamoru;Tsuda, Toshitaka;Kato, Susumu</t>
  </si>
  <si>
    <t>Palmer R.D.</t>
  </si>
  <si>
    <t>Poststatistic steering wind estimation in the troposphere and lower stratosphere</t>
  </si>
  <si>
    <t>10.1029/93RS00279</t>
  </si>
  <si>
    <t>2-s2.0-0027594876</t>
  </si>
  <si>
    <t>['reported elsewhere', 'relative permittivities', 'normally used', 'new curve', 'francis ltd', 'fitting expression', 'complete range']</t>
  </si>
  <si>
    <t>A new curve-fitting expression is presented for the space wave efficiency of rectangular microstrip antennas. It is derived from numerical results available in the literature, and is useful for substrates with relative permittivities between 1 and 12¬∑8 and over the complete range of thicknesses which are normally used. The results are in conformity with those reported elsewhere. ¬© 1993 Taylor &amp; Francis Ltd.</t>
  </si>
  <si>
    <t>765-769</t>
  </si>
  <si>
    <t>G√ºney, Kerƒ∞m</t>
  </si>
  <si>
    <t>Kayseri</t>
  </si>
  <si>
    <t>Erciyes √úniversitesi</t>
  </si>
  <si>
    <t>G√ºney K.</t>
  </si>
  <si>
    <t>Space wave efficiency of rectangular microstrip antennas</t>
  </si>
  <si>
    <t>10.1080/00207219308925880</t>
  </si>
  <si>
    <t>2-s2.0-0027595351</t>
  </si>
  <si>
    <t>['usually chosen', 'undoubtedly obtained', 'taught courses', 'science course', 'planar near', 'method software', 'main techniques', 'greatest benefit', 'extended study', 'dissertation projects', 'deeper treatment', 'deeper interest']</t>
  </si>
  <si>
    <t>The incorporation of high-frequency computational electromagnetics into taught courses on antennas and EMC is reviewed. The lecture material consists of an overview of the main techniques, plus a deeper treatment of the Method of Moments and the planar near-to-far field transformation method. Class exercises using Moment-method software are possible in the Master of Science course. For the lecturer, and for students with a deeper interest in the area, the greatest benefit is undoubtedly obtained from dissertation projects which permit an extended study of some problem. These are usually chosen to have some element of novelty, and hence frequently produce some useful research return. ¬© 1993 IEEE</t>
  </si>
  <si>
    <t>227-229</t>
  </si>
  <si>
    <t>IEEE Transactions on Education</t>
  </si>
  <si>
    <t>Excell, Peter S.</t>
  </si>
  <si>
    <t>Computational Electromagnetics in Education at the University of Bradford, England</t>
  </si>
  <si>
    <t>10.1109/13.214703</t>
  </si>
  <si>
    <t>2-s2.0-0027595474</t>
  </si>
  <si>
    <t>['two codes', 'modeling using', 'modeling process', 'made possible', 'emc problems', 'emc applications', 'computer modeling', 'complex structures', 'article addresses']</t>
  </si>
  <si>
    <t>This article addresses the computer modeling and simulation of EMC problems of complex structures, using the NEC and ESP moment method codes. The rules and guidelines of modeling using the two codes are summarized. In addition, visualization and automation of the modeling process are made possible through an interface computer program GEOM developed at Arizona State University. Finally, the interference between two wire antennas mounted on a complex helicopter model is given as an example of using these codes in EMC applications. ¬© 1993 IEEE</t>
  </si>
  <si>
    <t>124-133</t>
  </si>
  <si>
    <t>60003892;60003892;60000854</t>
  </si>
  <si>
    <t>54680055300;35583458100;7103023636</t>
  </si>
  <si>
    <t>Peng, Jian;Balanis, Constantine A.;Barber, George C.</t>
  </si>
  <si>
    <t>Peng J.</t>
  </si>
  <si>
    <t>Nec And Esp Codes: Guidelines, Limitations, And Emc Applications</t>
  </si>
  <si>
    <t>10.1109/15.229428</t>
  </si>
  <si>
    <t>2-s2.0-0027595731</t>
  </si>
  <si>
    <t>['upper bound', 'transmission experiment', 'transmission bandwidth', 'test rooms', 'results show', 'receiving antennas', 'propagation channels', 'data rates', 'data rate', 'channel model', 'ber significantly', 'ber performance', 'ber calculation', 'although œä', 'additionally carried', '6 mbps', '20 times']</t>
  </si>
  <si>
    <t>The BER performance of an anti-multipath modulation œÄ/4-QPSK-VP is evaluated in comparison to a conventional differential œÄ/4-QPSK, when applied to high-speed digital radio transmission within a room where both transmitting and receiving antennas are set up, using a transmission experiment and a BER calculation. Through this transmission experiment at about 3 and 6 Mbps, œÄ/4-QPSK-VP was confirmed to improve the BER significantly for both data rates in two test rooms. A delay profile measurement was additionally carried out to characterize the propagation channels of the test rooms and to find out an appropriate channel model. The BER calculation based on the above channel model, which was confirmed to estimate the upper bound of a floor error rate sufficiently in comparison to the transmission experiment, reveals the relationship between the data rate and the BER, indicates an optimum and a maximum data rate for œÄ/4-QPSK-VP with respect to the maximum delay spread of the room. The results show that œÄ/4-QPSK-VP is estimated to raise the available data rate up to about 20 times over that of œÄ/4-QPSK for a BER of 10&lt;sup&gt;-4&lt;/sup&gt;although œÄ/4-QPSK-VP requires twice the transmission bandwidth. ¬© 1993 IEEE</t>
  </si>
  <si>
    <t>177-185</t>
  </si>
  <si>
    <t>Takai, Hitoshi</t>
  </si>
  <si>
    <t>Kadoma</t>
  </si>
  <si>
    <t>Panasonic Corporation</t>
  </si>
  <si>
    <t>Takai H.</t>
  </si>
  <si>
    <t>In-Room Transmission BER Performance of Anti-Multipath Modulation PSK-VP</t>
  </si>
  <si>
    <t>10.1109/25.211455</t>
  </si>
  <si>
    <t>2-s2.0-0027595813</t>
  </si>
  <si>
    <t>['voltage across', 'variable resistor', 'transient currents', 'transient current', 'time step', 'simpler approach', 'nonlinear load', 'nonlinear equation', 'maintain stability', 'fdtd method', 'fdtd cells', 'courant limit', 'computed using', 'cell containing', 'approach relative', 'approach given']</t>
  </si>
  <si>
    <t>Transient currents for an antenna with a nonlinear load are calculated using finite difference time domain methods. The FDTD electric field across the nonlinear load (which determines the voltage across the load) is calculated by solving a nonlinear equation at each time step. This allows the time step to be at the Courant limit, and is more efficient than reducing the time step size in all the FDTD cells to maintain stability in just the cell containing the nonlinear load. The stability of this approach relative to a simpler approach of approximating the diode as a variable resistor is demonstrated. As a validation of the method the transient current in a long dipole antenna with a nonlinear load excited by a pulsed plane wave is computed using this approach and compared with calculated results using another method. The approach given here extends the applicability of the FDTD method to problems involving radiation and scattering from antennas including nonlinear loads. ¬© 1993 IEEE</t>
  </si>
  <si>
    <t>566-573</t>
  </si>
  <si>
    <t>60001439;60001439;60027576</t>
  </si>
  <si>
    <t>7005852706;7005036134;6701547029</t>
  </si>
  <si>
    <t>Luebbers, Raymond;Beggs, John;Chamberlin, Kent</t>
  </si>
  <si>
    <t>Durham;University Park</t>
  </si>
  <si>
    <t>University of New Hampshire Durham;Pennsylvania State University</t>
  </si>
  <si>
    <t>60027576;60001439</t>
  </si>
  <si>
    <t>Luebbers R.</t>
  </si>
  <si>
    <t>Finite Difference Time-Domain Calculation of Transients in Antennas with Nonlinear Loads</t>
  </si>
  <si>
    <t>10.1109/8.222275</t>
  </si>
  <si>
    <t>2-s2.0-0027596572</t>
  </si>
  <si>
    <t>['qr decomposition', 'paper describes', 'operation count', 'n2 ),', 'individual residuals', 'efficient implementation', 'auxiliary sensors', 'auxiliary constraints', 'approach reduces']</t>
  </si>
  <si>
    <t>This paper describes an efficient implementation of auxiliary constraints for a concurrent block least squares adaptive sidelobe canceler. The approach is to compute a QR decomposition of the auxiliary data matrix and then send this information to one or more main beam processors, where the constraints are applied using blocking matrices and the individual residuals are computed. Structured blocking matrices are used to derive a new fast algorithm and architecture for constrained main beam processing. This approach reduces the operation count of this phase of the processing from O(n3) to O(n2), where n is the number of auxiliary sensors. ¬© 1993 IEEE</t>
  </si>
  <si>
    <t>683-686</t>
  </si>
  <si>
    <t>60012564;60012564;60012564</t>
  </si>
  <si>
    <t>7004168053;57195835175;7103201320</t>
  </si>
  <si>
    <t>Games, Richard A.;Eastman, Willard L.;Sousa, Michael J.</t>
  </si>
  <si>
    <t>Games R.</t>
  </si>
  <si>
    <t>Fast Algorithm and Architecture for Constrained Adaptive Sidelobe Cancellation</t>
  </si>
  <si>
    <t>10.1109/8.222289</t>
  </si>
  <si>
    <t>2-s2.0-0027596596</t>
  </si>
  <si>
    <t>['weight adaptation', 'two methods', 'signal direction', 'performance analysis', 'noise introduced', 'new sequences', 'gradient estimate', 'computer studies', 'also presented']</t>
  </si>
  <si>
    <t>When signals on the elements of an array are not accessible, algorithms for adjusting the weights of an adaptive array may employ perturbation techniques to obtain a gradient estimate for weight adaptation. To reduce the amount of noise introduced into the receiver by perturbation of the weights and to maintain constant gain in the signal direction during adaptation, the application of projected orthogonal perturbation sequences to adaptive beam forming is required. An analysis of the performance of projected orthogonal perturbation sequences is presented and the performance of two specific sequences is investigated. Two methods of performance analysis are presented, which confirm that, in general, the projected perturbation sequences generate smaller variance in the gradient estimate and hence lower misadjustment than conventional perturbation techniques. Results of computer studies of the performance of the new sequences are also presented. ¬© 1993 IEEE</t>
  </si>
  <si>
    <t>625-634</t>
  </si>
  <si>
    <t>60031226;60031226</t>
  </si>
  <si>
    <t>6506415201;7005144794</t>
  </si>
  <si>
    <t>Ivandich, Steven;Cantoni, Antonio</t>
  </si>
  <si>
    <t>Perth</t>
  </si>
  <si>
    <t>Curtin University</t>
  </si>
  <si>
    <t>Ivandich S.</t>
  </si>
  <si>
    <t>Performance Analysis of Narrowband Adaptive Arrays Using Projected Perturbation Sequences</t>
  </si>
  <si>
    <t>10.1109/8.222282</t>
  </si>
  <si>
    <t>2-s2.0-0027596613</t>
  </si>
  <si>
    <t>NSC8 I-0404-El 10-544</t>
  </si>
  <si>
    <t>['wave analysis', 'superstrate permittivity', 'rigorous full', 'numerical results', 'numerical convergence', 'imaginary parts', 'also discussed', 'also compared']</t>
  </si>
  <si>
    <t>The complex resonant frequencies of the cylindrical-rectangular microstrip structure loaded with a dielectric superstate layer is studied by using a rigorous full-wave analysis and the numerical results are obtained by using the Galerkin‚Äôs moment method calculation. The numerical convergence for the selected sinusoidal basis functions with and without the edge singularity condition is also discussed. Numerical results for the dependence of the real and imaginary parts of the complex resonant frequencies on the superstrate permittivity and thickness are calculated and analyzed, which are also compared with those obtained for the planar microstrip structure.¬© 1993 IEEE</t>
  </si>
  <si>
    <t>814-819</t>
  </si>
  <si>
    <t>60011357;60011357;60011357</t>
  </si>
  <si>
    <t>35460663000;7404915703;7004026337</t>
  </si>
  <si>
    <t>Wong, Kin Lu;Cheng, Yuan Tung;Row, Jeen Sheen</t>
  </si>
  <si>
    <t>Resonance in a Superstrate-Loaded Cylindrical-Rectangular Microstrip Structure</t>
  </si>
  <si>
    <t>10.1109/22.234516</t>
  </si>
  <si>
    <t>2-s2.0-0027596787</t>
  </si>
  <si>
    <t>['upper limit', 'resonant frequencies', 'radiation patterns', 'nearly zero', 'input impedance', 'frequency operation', 'easily matched', 'dual frequencies', 'conducting foil', 'air gap']</t>
  </si>
  <si>
    <t>A novel microstrip antenna has been proposed to operate at dual frequencies. The microstrip is a single layer patch with nonradiating edges closed with a conducting foil. Resonant frequencies are altered by varying the air gap under the patch. The separation of the resonant frequencies can be nearly zero and has no upper limit in principle. The input impedance is easily matched by shifting the air gap. The radiation patterns are not affected by modification for dual-frequency operation. ¬© 1993 IEEE</t>
  </si>
  <si>
    <t>680-682</t>
  </si>
  <si>
    <t>60017536;60011199</t>
  </si>
  <si>
    <t>7410158021;6603470321</t>
  </si>
  <si>
    <t>Lee, Choon Sae;Nalbandian, Vahakn</t>
  </si>
  <si>
    <t>Dallas;Fort Monmouth</t>
  </si>
  <si>
    <t>Southern Methodist University;U.S. Army Communications and Electronics Command</t>
  </si>
  <si>
    <t>Lee C.</t>
  </si>
  <si>
    <t>Impedance Matching of a Dual-Frequency Microstrip Antenna with an Air Gap</t>
  </si>
  <si>
    <t>10.1109/8.222288</t>
  </si>
  <si>
    <t>2-s2.0-0027596973</t>
  </si>
  <si>
    <t>['¬© 1993', 'unique application', 'rights reserved', 'leaky waveguides', 'leaky waveguide', 'guide based', 'grating structure', 'feeding systems', 'electrical engineers', '23 ghz']</t>
  </si>
  <si>
    <t>Antenna feeders | Antennas | Microstrip antennas | Waveguides</t>
  </si>
  <si>
    <t>A novel and unique application of leaky waveguides as feeding systems for microwave planar antennas is presented. A new leaky nonradiative dielectric (NRD) guide based on a grating structure is proposed, and a planar array slot antenna using this leaky waveguide is constructed and measured at 23 GHz. ¬© 1993, The Institution of Electrical Engineers. All rights reserved.</t>
  </si>
  <si>
    <t>836-838</t>
  </si>
  <si>
    <t>60008435;60008435;60008435</t>
  </si>
  <si>
    <t>6602507778;57215330776;7202091831</t>
  </si>
  <si>
    <t>Maamria, K.;Wagatsuma, Y.;Yoneyama, T.</t>
  </si>
  <si>
    <t>Sendai</t>
  </si>
  <si>
    <t>Tohoku University</t>
  </si>
  <si>
    <t>Maamria K.</t>
  </si>
  <si>
    <t>Leaky NRD guide fed microwave planar antenna</t>
  </si>
  <si>
    <t>10.1049/el:19930559</t>
  </si>
  <si>
    <t>2-s2.0-0027597151</t>
  </si>
  <si>
    <t>['wiley company', 'weight coefficient', 'updating method', 'updated adaptively', 'time domain', 'space domain', 'reference signal', 'receiving system', 'noise component', 'large correlation', 'input interference', 'inc .,', 'good characteristics', 'frequency characteristics', 'error signal', 'desired wave', 'demodulated data', 'conventional system', 'conventional method', 'computer simulation', 'basic characteristics', 'bandstop filter', 'array element', 'array antennas', 'array antenna', 'antenna output']</t>
  </si>
  <si>
    <t>adaptive array antenna | co‚Äêchannel interference | digital filter | radiation pattern | spatial and temporal filtering | spread spectrum processing gain | Spread‚Äêspectrum multiple access</t>
  </si>
  <si>
    <t>As countermeasures for co‚Äêchannel interference from simultaneously accessing users in the spread spectrum multiple access (SSMA), co‚Äêchannel interference cancellers using the adaptive digital filters, and array antennas and their combinations have been proposed. However, in these systems, it is necessary to generate a reference signal with a large correlation with the desired wave in receiver so that their coefficients can be updated adaptively. In the SSMA, a method has been proposed in which the reference signal generated by respreading of the demodulated data is used for the updating of the weight coefficient of the array antenna. However, as the input interference and the noise power increase, the convergence of the array antenna becomes difficult. Also, in the conventional method, most of the discussions have been limited to an array antenna in which one weight coefficient corresponds to an array element. However, as the interference signal bandwidth increases, the wideband interference signals cannot sufficiently be removed from the antenna output. In this paper, from the viewpoint of improving the co‚Äêchannel interference elimination capability of the array antenna in the space domain, the reduction of the noise component and the co‚Äêchannel interference in the error signal for the array antenna updating is considered and an updating method for an adaptive array antenna using the spread spectrum processing gain is proposed. Further, from the viewpoint of increasing the co‚Äêchannel interference elimination capability of the array antenna in the time domain, a receiving system using a TDL (tapped delay line) adaptive array antenna is proposed to increase the frequency characteristics of the bandstop filter for a wideband spread spectrum signal. Finally, by means of a computer simulation, the basic characteristics of the updating method and the performance of the receiving system are evaluated. It is shown that good characteristics can be obtained under an environment with co‚Äêchannel interference and noise power higher than in the conventional system. Copyright ¬© 1993 Wiley Periodicals, Inc., A Wiley Company</t>
  </si>
  <si>
    <t>101-114</t>
  </si>
  <si>
    <t>60018279;60018279;60018279</t>
  </si>
  <si>
    <t>7501732968;7102287283;56894680100</t>
  </si>
  <si>
    <t>Wang, Hefeng;Kohno, Ryuji;Imai, Hideki</t>
  </si>
  <si>
    <t>Yokohama</t>
  </si>
  <si>
    <t>Yokohama National University</t>
  </si>
  <si>
    <t>Wang H.</t>
  </si>
  <si>
    <t>Adaptive array antenna combined with tapped delay line using processing gain for direct‚Äêsequence/spread‚Äêspectrum multiple‚Äêaccess system</t>
  </si>
  <si>
    <t>10.1002/ecja.4410760510</t>
  </si>
  <si>
    <t>2-s2.0-0027597209</t>
  </si>
  <si>
    <t>NAG 8-829</t>
  </si>
  <si>
    <t>['two orthogonal', 'scanned polarization', 'rotation technique', 'radiometer antenna', 'polarized cross', 'polarization basis', 'nonmechanical rotation', 'matrix transformation', 'ghz near', 'feed dual', 'dual linearly', 'correlating radiometer', 'correlating channels', 'conventional fixed', 'associated software', 'accurate calibration']</t>
  </si>
  <si>
    <t>Hardware and associated software for nonmechanical rotation of the polarization basis of a dual linearly-polarized cross-correlating radiometer are demonstrated. The technique requires precise measurement of two orthogonal-mode antenna temperatures along with cross-correlation of the two orthogonal-mode field amplitudes. Collectively, these are the first three Stokes parameters. A polarized blackbody load was developed for accurate calibration of the orthogonal-mode and cross-correlating channels. Using the hardware, rotation of the radiometer antenna's polarization basis by a matrix transformation was demonstrated by 91.65-GHz near-Brewster angle scans of a polarizing water surface. The experimental results demonstrate the viability of the rotation technique and suggest practical calibration schemes for airborne and spaceborne polarimetric radiometers. Application of the rotation technique in mechanically-scanned polarization-sensitive imaging radiometers will eliminate polarization coupling inherent in conventional fixed-feed dual-polarization scanner designs. ¬© 1993 IEEE</t>
  </si>
  <si>
    <t>767-773</t>
  </si>
  <si>
    <t>60019647;60019647</t>
  </si>
  <si>
    <t>57210673005;6603326316</t>
  </si>
  <si>
    <t>Gasiewski, A. J.;Kunkee, David B.</t>
  </si>
  <si>
    <t>Atlanta</t>
  </si>
  <si>
    <t>Calibration and Applications of Polarization-Correlating Radiometers</t>
  </si>
  <si>
    <t>10.1109/22.234509</t>
  </si>
  <si>
    <t>2-s2.0-0027599293</t>
  </si>
  <si>
    <t>['tropical climate', 'paper analyses', 'interfering signals', 'interference limited', 'interference limit', 'high e', 'geostationary arc', 'elliptical area', 'converage area', 'analogue tv']</t>
  </si>
  <si>
    <t>Digital video compression | Frequency selection | Rain attenuation | Video broadcasting</t>
  </si>
  <si>
    <t>This paper analyses the Ku‚Äêband versus C‚Äêband transmission for digital and/or analogue TV, keeping in mind Ku‚Äêband attenuation in the tropical climate as a function of earth‚Äêstation antenna elevation angle. The analysis is done for the case that adjacent satellites illuminate the same converage area and that interfering signals are of same e.i.r.p. and spectral make‚Äêup. It is shown that a multiplex of compressed digital carriers requires smaller receiving antennas than a single analogue TV carrier. It turns out that because of low power requirements of the compressed digital carrier and/or for high e.i.r.p. values, the earth‚Äêstation antenna diameter is interference limited. Below the interference limit the aperture can only be reduced by applying an elliptical area to provide for a narrower beamwidth along the geostationary arc. Copyright ¬© 1993 John Wiley &amp; Sons, Ltd.</t>
  </si>
  <si>
    <t>119-143</t>
  </si>
  <si>
    <t>May/June 1993</t>
  </si>
  <si>
    <t>60005304;60005304</t>
  </si>
  <si>
    <t>7004942669;7005832782</t>
  </si>
  <si>
    <t>Johannsen, Klaus G.;Cuevas, Carlos</t>
  </si>
  <si>
    <t>Johannsen K.</t>
  </si>
  <si>
    <t>K&lt;inf&gt;u&lt;/inf&gt;‚Äê vs. C‚Äêband and digital vs. analogue television transmission in a tropical climate</t>
  </si>
  <si>
    <t>10.1002/sat.4600110303</t>
  </si>
  <si>
    <t>2-s2.0-0027599309</t>
  </si>
  <si>
    <t>['waveguide array', 'waveguide aperture', 'tm waves', 'space boundary', 'significantly dependent', 'protrusion shape', 'point matching', 'piecewise constant', 'integral equations', 'element pattern', 'electric field', 'dimensional problem', 'auxiliary sources', 'arbitrary shape', 'amplitudes obtained', 'also presented']</t>
  </si>
  <si>
    <t>The two-dimensional problem of radiation of TE and TM waves from a waveguide array with protruding smooth dielectric elements of arbitrary shape is considered, and algorithms of solution are suggested. The algorithms are based on applying the method of auxiliary sources for the representation of electromagnetic fields outside and inside the protrusions in combination with the method of integral equations for the electric field on the waveguide aperture. The point matching of the field tangential components on the protrusion-to-free-space boundary and on the waveguide aperture is used to reduce the problem to a system of linear algebraic equations for the amplitudes of the auxiliary filamentary currents and for the amplitudes of the waveguide aperture electric field, which is assumed to be piecewise constant The amplitudes obtained from the solution of the system are used for computing the array reflection coefficient and element pattern, which are shown in some cases to be significantly dependent on the protrusion shape. Examples of the arrays with flat-topped element patterns resulting from array geometry numerical optimization are also presented. ¬© 1993 IEEE</t>
  </si>
  <si>
    <t>574-581</t>
  </si>
  <si>
    <t>7004164152;6505893634</t>
  </si>
  <si>
    <t>Skobelev, Sergey P.;Mukhamedov, Leonid L.</t>
  </si>
  <si>
    <t>Skobelev S.</t>
  </si>
  <si>
    <t>Analysis of Waveguide Antenna Arrays with Protruding Dielectric Elements</t>
  </si>
  <si>
    <t>10.1109/8.222276</t>
  </si>
  <si>
    <t>2-s2.0-0027599577</t>
  </si>
  <si>
    <t>['wheat field', 'tomographic reconstruction', 'target image', 'radar position', 'radar image', 'near field', 'experimental results', 'conventional holography', 'coherent summation', 'aspects angles', 'antenna beam']</t>
  </si>
  <si>
    <t>Based on the physical optics approximation, the radar image of a target can be made up from a knowledge of the monostotic backscattered field or hologram for all frequencies and all aspects angles. The target image is the two-dimensional Fourier transform of the hologram. This is based on the same principle as conventional holography. In the near field the image is computed by the coherent summation of back-projected range responses which are derived from complex impulse responses. Consequently, the image can be interpreted as a tomographic reconstruction. If the target is within the antenna beam at each radar position in the linear SAR geometry, then the algorithm of the coherent summation of impulse response derivatives (IRD's) can be applied. Experimental results in the near field of a wheat field and a Peugeot 504 automobile are presented to verify the effectiveness of our method. ¬© 1993 IEEE</t>
  </si>
  <si>
    <t>620-624</t>
  </si>
  <si>
    <t>60032006;60032006;60032006</t>
  </si>
  <si>
    <t>6506097672;57188859615;7004537102</t>
  </si>
  <si>
    <t>El Assad, S.;Lakkis, I.;Saillard, J.</t>
  </si>
  <si>
    <t>Nantes</t>
  </si>
  <si>
    <t>Universit√© de Nantes</t>
  </si>
  <si>
    <t>El Assad S.</t>
  </si>
  <si>
    <t>Holographic SAR Image Formation by Coherent Summation of Impulse Response Derivatives</t>
  </si>
  <si>
    <t>10.1109/8.222281</t>
  </si>
  <si>
    <t>2-s2.0-0027599579</t>
  </si>
  <si>
    <t>['spectral domain', 'resonant frequency', 'radiation problems', 'radiation pattern', 'power bandwidth', 'numerical results', 'loaded spherical', 'curvature effects', 'also shown']</t>
  </si>
  <si>
    <t>The effects of the dielectric superstrate cover on the resonance and radiation problems of a spherical-circular microstrip patch antenna are studied. This investigation is performed by using the Green function formulation in the spectral domain and the Galerkin moment method calculation. Numerical results for the resonant frequency, half-power bandwidth, and radiation pattern of the superstrate-loaded spherical-circular patch antenna are presented. The curvature effects on these characteristics are also shown. ¬© 1993 IEEE</t>
  </si>
  <si>
    <t>686-690</t>
  </si>
  <si>
    <t>35460663000;56838475600;7501612418</t>
  </si>
  <si>
    <t>Wong, Kin Lu;Hsiao, Sun Fu;Chen, Hong Twu</t>
  </si>
  <si>
    <t>Resonance and Radiation of a Superstrate-Loaded Spherical-Circular Microstrip Patch Antenna</t>
  </si>
  <si>
    <t>10.1109/8.222290</t>
  </si>
  <si>
    <t>2-s2.0-0027599638</t>
  </si>
  <si>
    <t>['¬© 1993', 'surface currents', 'rights reserved', 'radiation pattern', 'input ports', 'electrical engineers', 'dual polarisation', 'authors describe', 'antenna characteristics']</t>
  </si>
  <si>
    <t>Antenna radiation patterns | Microstrip antennas</t>
  </si>
  <si>
    <t>The authors describe a polarising grid technique applied to a printed circuit antenna element operating in dual polarisation. This technique, by directing the surface currents, improves the antenna characteristics in terms of isolation between input ports and radiation pattern. ¬© 1993, The Institution of Electrical Engineers. All rights reserved.</t>
  </si>
  <si>
    <t>916-918</t>
  </si>
  <si>
    <t>60008134;60008134;60008134</t>
  </si>
  <si>
    <t>57190566136;6602489960;7003385210</t>
  </si>
  <si>
    <t>Habib, L.;Kossiavas, G.;Papiernik, A.</t>
  </si>
  <si>
    <t>Paris</t>
  </si>
  <si>
    <t>CNRS Centre National de la Recherche Scientifique</t>
  </si>
  <si>
    <t>Habib L.</t>
  </si>
  <si>
    <t>Cross-shaped patch with etched bars for dual polarisation</t>
  </si>
  <si>
    <t>10.1049/el:19930611</t>
  </si>
  <si>
    <t>2-s2.0-0027599686</t>
  </si>
  <si>
    <t>FO4-7-1-C-0036</t>
  </si>
  <si>
    <t>['unique features', 'present algorithm', 'paper describes', 'measured correlations', 'iterations required', 'formula omitted', 'form nulls', 'exactly equal', 'element outputs', 'array weights', '1 based']</t>
  </si>
  <si>
    <t>This paper describes a new adaptive nulling algorithm for adjusting the array weights under the ‚Äúsoft‚Äù constraint: [formula omitted] = 1 based on the measured correlations between the array and element outputs. The algorithm can be regarded as an extension of the constrained LMS algorithm. The present algorithm is derived from the same concept of signal and noise subspaces defined in the well-known multiple signal classification (MUSIC) algorithm. One of the unique features of the present algorithm is that the number of the iterations required to adapt the array weights to form nulls is exactly equal to the number of interferers. ¬© 1993 IEEE</t>
  </si>
  <si>
    <t>525-533</t>
  </si>
  <si>
    <t>57216230780;7006709591</t>
  </si>
  <si>
    <t>Ohnishi, K.;Milton, R. T.</t>
  </si>
  <si>
    <t>Ohnishi K.</t>
  </si>
  <si>
    <t>A New Optimization Technique for Adaptive Antenna Arrays</t>
  </si>
  <si>
    <t>10.1109/8.222271</t>
  </si>
  <si>
    <t>2-s2.0-0027601679</t>
  </si>
  <si>
    <t>['sidelobe contributions', 'rain cell', 'numerical integration', 'allowing treatment']</t>
  </si>
  <si>
    <t>Common volumes | Hydrometeor scatter | Interference</t>
  </si>
  <si>
    <t>A formula is derived for the effective bistatic radar cross‚Äêsection of a rain cell with Gaussian reflectivity profile assuming antennas with Gaussian radiation patterns. The size and location of the rain cell are arbitrary, as is the bistatic scattering geometry. The expression is analytical, avoiding the need for numerical integration, and general, allowing treatment of cases with only partial beam intersection. Using a recently proposed model, sidelobe contributions and multiple cells embedded within widespread rain debris can be incorporated. Copyright ¬© 1993 John Wiley &amp; Sons, Ltd.</t>
  </si>
  <si>
    <t>163-168</t>
  </si>
  <si>
    <t>6603101867;55768850400;55952532900</t>
  </si>
  <si>
    <t>Sadeghzadeh, R. A.;Glover, I. A.;McEwan, N. J.</t>
  </si>
  <si>
    <t>Sadeghzadeh R.</t>
  </si>
  <si>
    <t>Analytical calculation of bistatic radar cross‚Äêsections for rain scatter problems</t>
  </si>
  <si>
    <t>10.1002/sat.4600110306</t>
  </si>
  <si>
    <t>2-s2.0-0027601729</t>
  </si>
  <si>
    <t>DAAL-03-89-G-0078</t>
  </si>
  <si>
    <t>['varying field', 'transmission line', 'transient radiation', 'theoretical calculations', 'temporally short', 'space surrounding', 'reflected voltage', 'quantities useful', 'physical processes', 'one proposed', 'method utilizing', 'graphical displays', 'frequency resistors', 'fine details', 'feed line', 'fdtd analysis', 'far zone', 'experimental model', 'excellent agreement', 'electromagnetic field', 'efficient technique', 'discretized version', 'difference time', 'constructed using', 'conducting tube', 'broadbandwidth pulses', 'accurately included']</t>
  </si>
  <si>
    <t>The cylindrical monopole antenna with a continuous resistive loading is considered as a radiator for temporally short, Broadbandwidth pulses. Specifically, the variation of the resistance used along the monopole is one proposed by Wu and King (Wu-King profile). This antenna is analyzed by the finite-difference time-domain (FDTD) method utilizing a new, efficient technique for handling the thin-walled, conducting tube that forms the resistance. The electromagnetic field in the space surrounding the antenna is determined as a function of time, and quantities useful for describing the performance of the antenna are then calculated from these results: the reflected voltage in the transmission line, the surface charge density on the antenna, and the time-varying field in the far zone. Graphical displays of these results are used to give new insight into the physical processes for transient radiation from this antenna. An experimental model is constructed using a discretized version of the Wu-King profile formed from a set of precision, high-frequency resistors. The fine details of these resistors are accurately included in the FDTD analysis. Measurements of both the reflected voltage in the feed line and the time-varying radiated field are in excellent agreement with the theoretical calculations. ¬© 1993 IEEE</t>
  </si>
  <si>
    <t>668-676</t>
  </si>
  <si>
    <t>60021032;60021032</t>
  </si>
  <si>
    <t>7201842082;7406739047</t>
  </si>
  <si>
    <t>Maloney, James G.;Smith, Glenn S.</t>
  </si>
  <si>
    <t>Maloney J.</t>
  </si>
  <si>
    <t>A Study of Transient Radiation from the Wu-King Resistive Monopole-FDTD Analysis and Experimental Measurements</t>
  </si>
  <si>
    <t>10.1109/8.222286</t>
  </si>
  <si>
    <t>2-s2.0-0027601757</t>
  </si>
  <si>
    <t>['¬© 1993', 'rights reserved', 'results reported', 'preliminary finding', 'power limited', 'performance specifications', 'multipath experiments', 'multipath effects', 'limited blockage', 'electrical engineers', 'diurnal motion', 'corollary movement']</t>
  </si>
  <si>
    <t>Mobile radio systems | Radiowave propagation | Satellite relay systems</t>
  </si>
  <si>
    <t>Hand-held personal communications systems will be power limited and restricted to small operating margins. Limited blockage and multipath experiments have been used to develop preliminary fade margins and performance specifications but these have so far ignored effects induced by the satellite. The results reported here indicate that diurnal motion of the satellite, or its corollary movement of the antenna can cause signal variations in excess of 9 dB peak-topeak for low gain antennas. A preliminary finding is that close-in multipath effects are the cause. ¬© 1993, The Institution of Electrical Engineers. All rights reserved.</t>
  </si>
  <si>
    <t>865-867</t>
  </si>
  <si>
    <t>60007742;60007742;60007742;60007742</t>
  </si>
  <si>
    <t>6603264460;7003525587;6507555692;26663874500</t>
  </si>
  <si>
    <t>Allnutt, R. M.;Dissanayake, A. W.;Zaks, C.;Lin, K. T.</t>
  </si>
  <si>
    <t>Clarksburg</t>
  </si>
  <si>
    <t>Comsat Laboratories</t>
  </si>
  <si>
    <t>Allnutt R.</t>
  </si>
  <si>
    <t>Results of L-band satellite experiments for personal communications systems</t>
  </si>
  <si>
    <t>10.1049/el:19930578</t>
  </si>
  <si>
    <t>2-s2.0-0027601831</t>
  </si>
  <si>
    <t>['¬© 1993', 'transmission characteristics', 'rights reserved', 'mutual coupling', 'finite number', 'electrical engineers', 'curved arrays', 'current distribution', 'analysed using', 'also discussed']</t>
  </si>
  <si>
    <t>Antennas | Frequency selective surfaces | Radomes</t>
  </si>
  <si>
    <t>Curved arrays of a finite number of dipoles are analysed using the vector potential equation to compute the current distribution in each dipole in the array, taking into account mutual coupling among the elements. The frequency selective characteristics of such curved arrays are compared with finite and infinite planar arrays. The effect of mutual coupling on the transmission characteristics of the arrays is also discussed. ¬© 1993, The Institution of Electrical Engineers. All rights reserved.</t>
  </si>
  <si>
    <t>882-883</t>
  </si>
  <si>
    <t>60010818;60010818;60010818</t>
  </si>
  <si>
    <t>7006753955;7201840709;56020461500</t>
  </si>
  <si>
    <t>Philips, B.;Parker, E. A.;Langley, R. J.</t>
  </si>
  <si>
    <t>Philips B.</t>
  </si>
  <si>
    <t>Finite curved frequency selective surfaces</t>
  </si>
  <si>
    <t>10.1049/el:19930589</t>
  </si>
  <si>
    <t>2-s2.0-0027601832</t>
  </si>
  <si>
    <t>['¬© 1993', 'various thicknesses', 'studied experimentally', 'short pins', 'rights reserved', 'return loss', 'radiation pattern', 'measurement results', 'inserted near', 'feeding point', 'electrical engineers', 'coplanar line', 'antenna system']</t>
  </si>
  <si>
    <t>Antennas | Microstrip | Waveguides</t>
  </si>
  <si>
    <t>Planar antennas fed by electromagnetically coupled coplanar waveguide (CPW) have been fabricated on a single layer substrate with various thicknesses, and been studied experimentally. To suppress the spurious mode due to the parallel plate structure in the antenna system, short pins are inserted near the feeding point of the coplanar line. The measurement results of this antenna demonstrated high performance in both return loss and radiation pattern. ¬© 1993, The Institution of Electrical Engineers. All rights reserved.</t>
  </si>
  <si>
    <t>870-872</t>
  </si>
  <si>
    <t>60028263;60028263;60028263</t>
  </si>
  <si>
    <t>6602656099;7006077407;6603687544</t>
  </si>
  <si>
    <t>Rahardjo, E. T.;Kitao, S.;Haneishi, M.</t>
  </si>
  <si>
    <t>Saitama</t>
  </si>
  <si>
    <t>Saitama University</t>
  </si>
  <si>
    <t>Rahardjo E.</t>
  </si>
  <si>
    <t>Planar antenna excited by electromagnetically coupled coplanar waveguide</t>
  </si>
  <si>
    <t>10.1049/el:19930581</t>
  </si>
  <si>
    <t>2-s2.0-0027602332</t>
  </si>
  <si>
    <t>['¬© 1993', 'signal source', 'rights reserved', 'phase modulator', 'phase modulation', 'operated simultaneously', 'letter demonstrates', 'gaas mesfet', 'electrical engineers', 'active antenna']</t>
  </si>
  <si>
    <t>Active antennas | Phase modulation</t>
  </si>
  <si>
    <t>The Letter demonstrates that an active microstrip antenna consisting of a rectangular patch radiator peripherally loaded with a GaAs MESFET can be operated simultaneously as a signal source and as a phase modulator. The experimental and simulated results presented illustrate the degree to which phase modulation can be obtained by applying variable DC bias to the active antenna in the presence of a fundamental frequency injection locking signal. ¬© 1993, The Institution of Electrical Engineers. All rights reserved.</t>
  </si>
  <si>
    <t>835-836</t>
  </si>
  <si>
    <t>7005985857;7102894931</t>
  </si>
  <si>
    <t>Drew, S.;Fusco, V. F.</t>
  </si>
  <si>
    <t>Drew S.</t>
  </si>
  <si>
    <t>Phase modulated active antenna</t>
  </si>
  <si>
    <t>10.1049/el:19930558</t>
  </si>
  <si>
    <t>2-s2.0-0027602418</t>
  </si>
  <si>
    <t>R01AI023253</t>
  </si>
  <si>
    <t>['share properties', 'resting potential', 'paper shows', 'mol l', 'membrane potentials', 'inwardly rectified', 'inositol 1', 'gtp gamma', 'external ca2', '3 weeks', '1 ca2']</t>
  </si>
  <si>
    <t>After 2-3 weeks in culture, pupal olfactory receptor neurons from the antennae of male Manduca sexta respond to their species-specific sex pheromone by opening cation channels. These pheromone-dependent cation channels are the only channels previously found in cultured olfactory neurons that promote inward currents at membrane potentials more negative than the resting potential. The pheromone-dependent currents depend on external Ca2+ concentration. They are inwardly rectified with 10(-7) mol l-1 external Ca2+ and linear with 6 mmol l-1 external Ca2+. This paper shows that perfusion of cultured olfactory receptor neurons with GTP gamma S, ATP, inositol 1,4,5-trisphosphate or 10(-6) mol l-1 Ca2+ elicits cation currents resembling the pheromone-dependent cation currents in expressing inward rectification with 10(-7) mol l-1 external Ca2+ and being linear at external Ca2+ concentrations of 2 mumol l-1 or more. Stimulation with protein kinase C also elicits cation currents that share properties with the pheromone-dependent cation currents. All agent-induced cation currents appear to depend either directly or indirectly on Ca2+ concentration.</t>
  </si>
  <si>
    <t>125-147</t>
  </si>
  <si>
    <t>Stengl, M.</t>
  </si>
  <si>
    <t>Konstanz</t>
  </si>
  <si>
    <t>Universit√§t Konstanz</t>
  </si>
  <si>
    <t>Stengl M.</t>
  </si>
  <si>
    <t>Intracellular-messenger-mediated cation channels in cultured olfactory receptor neurons.</t>
  </si>
  <si>
    <t>2-s2.0-0027603518</t>
  </si>
  <si>
    <t>['wiley company', 'well developed', 'pyramidal horns', 'promising class', 'modeling results', 'microwave frequencies', 'inc .,', 'existing technology', 'design principles', 'antenna probes', 'antenna arrays']</t>
  </si>
  <si>
    <t>integrated‚Äêcircuit horn‚Äêantenna array | Probe impedance | scaled model</t>
  </si>
  <si>
    <t>Integrated‚Äêcircuit probe‚Äêexcited horn‚Äêantenna arrays made in silicon are well developed. They are a very promising class of antenna arrays for millimeter‚Äê and submillimeter‚Äêwave applications. Further development of this technology involves integrating mixers and amplifiers into antenna arrays. In an effort to develop an horn‚Äêantenna‚Äêmixer array based on the existing technology, various antenna probes inside the pyramidal horns have been examined on scaled model horns at microwave frequencies. Modeling results and design principles of these antenna probes are presented. ¬© 1993 John Wiley &amp; Sons, Inc. Copyright ¬© 1993 Wiley Periodicals, Inc., A Wiley Company</t>
  </si>
  <si>
    <t>457-461</t>
  </si>
  <si>
    <t>60026610;60031581;60031581;60031581</t>
  </si>
  <si>
    <t>35262006400;35195416000;7103349922;7102803490</t>
  </si>
  <si>
    <t>Guo, Yong;Chiao, Jung‚ÄêChih ‚ÄêC;Potter, Kent A.;Rutledge, David B.</t>
  </si>
  <si>
    <t>Pasadena;Clemson</t>
  </si>
  <si>
    <t>California Institute of Technology;Clemson University</t>
  </si>
  <si>
    <t>60031581;60026610</t>
  </si>
  <si>
    <t>Probe impedance measurements for millimeter‚Äêwave integrated horn antennas</t>
  </si>
  <si>
    <t>10.1002/mop.4650060803</t>
  </si>
  <si>
    <t>2-s2.0-0027606477</t>
  </si>
  <si>
    <t>['transmitting antennas', 'supporting guys', 'strong vertically', 'radiating structure', 'polarized wave', 'hf applications', 'economical structure', 'classical buried', 'basically intended']</t>
  </si>
  <si>
    <t>An asymmetric vertical dipole is proposed as a surface-wave transmitting antenna for LF, MF, and HF applications, where a strong vertically-polarized wave is needed. This kind of vertical-dipole antenna uses the supporting guys as part of the radiating structure, permitting a very high radiation efficiency, without the classical buried-wire artificial ground plane. It is basically intended for MF AM transmitting antennas, where high radiation efficiency is obtained, but with a simpler and more-economical structure. Nearfield and power-density analyses show another advantage of this antenna: it decreases the power density close to the ground, and so avoids power dissipation in the soil below it. ¬© 1993 IEEE</t>
  </si>
  <si>
    <t>47-50</t>
  </si>
  <si>
    <t>57189501138;6507501437</t>
  </si>
  <si>
    <t>Schrank, Hal;Trainotti, Tino</t>
  </si>
  <si>
    <t>Schrank H.</t>
  </si>
  <si>
    <t>Asymmetric Vertical Dipole Antennas for MF AM Transmitting</t>
  </si>
  <si>
    <t>10.1109/74.250139</t>
  </si>
  <si>
    <t>2-s2.0-0027606610</t>
  </si>
  <si>
    <t>['starting point', 'lossless case', 'central frequency', 'antenna array']</t>
  </si>
  <si>
    <t>A method for feeding the elements of an array with lossy transmission line sections is presented. The solution of the problem has a starting point at the lossless case, where we have relatively simple expressions. The procedure is completed by analyzing the antenna array in a frequency band around the central frequency. Several examples show the applicability of the method. ¬© 1993 IEEE</t>
  </si>
  <si>
    <t>273-281</t>
  </si>
  <si>
    <t>IEEE Transactions on Broadcasting</t>
  </si>
  <si>
    <t>;60030988;60030988;60015331</t>
  </si>
  <si>
    <t>6507380553;6602468124;6602657010;7005683394</t>
  </si>
  <si>
    <t>Mertzianidis, Costas;Chryssomallis, Michael T.;Kyriakou, George;Sahalos, John N.</t>
  </si>
  <si>
    <t>Greece;Greece</t>
  </si>
  <si>
    <t>Komotini;Thessaloniki</t>
  </si>
  <si>
    <t>Democritus University of Thrace;Aristotle University of Thessaloniki</t>
  </si>
  <si>
    <t>60030988;60015331</t>
  </si>
  <si>
    <t>Mertzianidis C.</t>
  </si>
  <si>
    <t>Pattern Synthesis with a Feed Network Consisting of Lossy Transmission Line Sections</t>
  </si>
  <si>
    <t>10.1109/11.217996</t>
  </si>
  <si>
    <t>2-s2.0-0027607232</t>
  </si>
  <si>
    <t>1167-1169</t>
  </si>
  <si>
    <t>AIAA Journal</t>
  </si>
  <si>
    <t>60000809;60025272</t>
  </si>
  <si>
    <t>7005690620;7005972632</t>
  </si>
  <si>
    <t>Onoda, Junjiro;Hanawa, Yoji</t>
  </si>
  <si>
    <t>Tokyo;Sagamihara</t>
  </si>
  <si>
    <t>The University of Tokyo;JAXA Institute of Space and Astronautical Science</t>
  </si>
  <si>
    <t>60025272;60000809</t>
  </si>
  <si>
    <t>Onoda J.</t>
  </si>
  <si>
    <t>Actuator placement optimization by genetic and improved simulated annealing algorithms</t>
  </si>
  <si>
    <t>10.2514/3.49057</t>
  </si>
  <si>
    <t>2-s2.0-0027607467</t>
  </si>
  <si>
    <t>['steering nulls', 'relative ease', 'real weights', 'main beam', 'given jammer', 'francis ltd', 'direction changes', 'difference patterns', 'array elements']</t>
  </si>
  <si>
    <t>A method for steering nulls in the sum and difference patterns of a phased linear antenna array using only real weights is introduced. The proposed method decouples the weights so that a given jammer is associated with a given weight value. A change in the jammer's direction changes only its corresponding weight value without affecting the other nulls. The main beam is steered independently using a progressive phase shift. This allows the signal-to-jammer power ratio to be maximized with relative ease. The drawback of this method is that the number of jammers that can be nulled will be reduced to about a quarter of the number of array elements. ¬© 1993 Taylor &amp; Francis Ltd.</t>
  </si>
  <si>
    <t>971-978</t>
  </si>
  <si>
    <t>Ibrahim, Hosny M.</t>
  </si>
  <si>
    <t>Independent null steering in the sum and difference patterns of antenna arrays using real weights</t>
  </si>
  <si>
    <t>10.1080/00207219308925899</t>
  </si>
  <si>
    <t>2-s2.0-0027607472</t>
  </si>
  <si>
    <t>['wiley company', 'structure parameters', 'power radiated', 'inc .,', 'gaussian beam', 'dielectric losses', 'corrugated horn', 'balanced hybrid', 'attractive alternative', 'analyzed theoretically']</t>
  </si>
  <si>
    <t>dielectric hybrid‚Äêmode horn | Gaussian beam modes | Millimeter waves</t>
  </si>
  <si>
    <t>A dielectric hybrid‚Äêmode horn has been analyzed theoretically. The horn can support a balanced hybrid HE mode. The fields under the balanced hybrid condition have been expressed. By optimizing the structure parameters, the fraction of the power radiated into the fundamental Gaussian mode can reach about 98% over a wide frequency range in 3‚Äêmm band. Drawbacks are the effects of dielectric losses. Thus the new horn represents an attractive alternative to the corrugated horn for forming the Gaussian beam in millimeter‚Äêwave band. ¬© 1993 John Wiley &amp; Sons, Inc. Copyright ¬© 1993 Wiley Periodicals, Inc., A Wiley Company</t>
  </si>
  <si>
    <t>475-478</t>
  </si>
  <si>
    <t>60005244;60005244</t>
  </si>
  <si>
    <t>7006874529;38062091300</t>
  </si>
  <si>
    <t>Dou, W. B.;Sun, Z. L.</t>
  </si>
  <si>
    <t>Nanjing</t>
  </si>
  <si>
    <t>Southeast University</t>
  </si>
  <si>
    <t>Dou W.</t>
  </si>
  <si>
    <t>A dielectric hybrid‚Äêmode horn as a gaussian beam‚Äêmode antenna in 3‚ÄêMM band</t>
  </si>
  <si>
    <t>10.1002/mop.4650060807</t>
  </si>
  <si>
    <t>2-s2.0-0027607519</t>
  </si>
  <si>
    <t>['wiley company', 'phased arrays', 'inc .,', 'e .,']</t>
  </si>
  <si>
    <t>antenna arrays | Antennas | microstrip antenna | phased array</t>
  </si>
  <si>
    <t>A study of phased arrays of rectangular stacked microstrip patch antennas is presented. Two theoretical methods are discussed, i. e., a finite array theory and an infinite array theory. Both theories give almost the same results for a 7 √ó 7 array, except for edge array elements and for large scan angles. Measured coupling coefficients of a 7 √ó 7 array are compared with calculations and agree fairly well. ¬© 1993 John Wiley &amp; Sons, Inc. Copyright ¬© 1993 Wiley Periodicals, Inc., A Wiley Company</t>
  </si>
  <si>
    <t>466-471</t>
  </si>
  <si>
    <t>60032882;60032882</t>
  </si>
  <si>
    <t>7003941046;7006537861</t>
  </si>
  <si>
    <t>Arts, M. J.;Smolders, A. B.</t>
  </si>
  <si>
    <t>Eindhoven</t>
  </si>
  <si>
    <t>Technische Universiteit Eindhoven</t>
  </si>
  <si>
    <t>Arts M.</t>
  </si>
  <si>
    <t>Study of stacked microstrip phased arrays</t>
  </si>
  <si>
    <t>10.1002/mop.4650060805</t>
  </si>
  <si>
    <t>2-s2.0-0027607530</t>
  </si>
  <si>
    <t>['stable alternative', 'numerical instability', 'alternative algorithm']</t>
  </si>
  <si>
    <t>A stable alternative is described for the 'standard' systolic MVDR beamforming algorithm of McWhirter and Shepherd, which suffers from numerical instability. The alternative algorithm is similar to covariance-type recursive least squares algorithms, and is therefore readily implemented on an RLS systolic array.</t>
  </si>
  <si>
    <t>175-178</t>
  </si>
  <si>
    <t>Jun</t>
  </si>
  <si>
    <t>Moonen, M.</t>
  </si>
  <si>
    <t>3000 Leuven</t>
  </si>
  <si>
    <t>KU Leuven</t>
  </si>
  <si>
    <t>Moonen M.</t>
  </si>
  <si>
    <t>Systolic MVDR beamforming with inverse updating</t>
  </si>
  <si>
    <t>10.1049/ip-f-2.1993.0025</t>
  </si>
  <si>
    <t>2-s2.0-0027607940</t>
  </si>
  <si>
    <t>26-34</t>
  </si>
  <si>
    <t>Goldbohm, E.</t>
  </si>
  <si>
    <t>Goldbohm E.</t>
  </si>
  <si>
    <t>Near Field Measurements and the Synthesis of Linear Arrays with Prescribed Radiation Patterns: A Survey of some Early Work at Christiaan Huygens Laboratory</t>
  </si>
  <si>
    <t>10.1109/74.250133</t>
  </si>
  <si>
    <t>2-s2.0-0027608118</t>
  </si>
  <si>
    <t>13-18</t>
  </si>
  <si>
    <t>Stephan, Karl D.</t>
  </si>
  <si>
    <t>Stephan K.</t>
  </si>
  <si>
    <t>N Rays, Super-Dielectrics, and Microwaves Faster than Light: Improbable Discoveries in Electromagnetics</t>
  </si>
  <si>
    <t>10.1109/74.250129</t>
  </si>
  <si>
    <t>2-s2.0-0027608119</t>
  </si>
  <si>
    <t>['restore performance', 'original installation', 'including variations', 'extensive buried', 'elevated radials', '1 ].']</t>
  </si>
  <si>
    <t>In the US, medium-wave broadcast stations utilize ground-mounted vertical monopole antennas with extensive buried-radial ground systems. Over a period of time, these radials may deteriorate, leading to a decrease in the radiated field strength of the antenna. Computer modeling studies indicate that, in such a situation, the addition of four elevated radials can restore performance to a level which is equal to or better than the original installation. Several different configurations for the elevated radials were investigated, including variations in their orientation, length, and height above ground. The computer software used for this work was the Numerical Electromagnetics Code (NEC) [1]. ¬© 1993 IEEE</t>
  </si>
  <si>
    <t>249-254</t>
  </si>
  <si>
    <t>60032784;60011132;60011132;60001439</t>
  </si>
  <si>
    <t>7003514705;6504263295;7003656248;6701384134</t>
  </si>
  <si>
    <t>Christman, Al;Zeineddin, R. Paul;Radcliff, Roger;Breakall, Jim</t>
  </si>
  <si>
    <t>Grove City;Athens;University Park</t>
  </si>
  <si>
    <t>Grove City College;Ohio University;Pennsylvania State University</t>
  </si>
  <si>
    <t>60032784;60011132;60001439</t>
  </si>
  <si>
    <t>Christman A.</t>
  </si>
  <si>
    <t>Using Elevated Radials in Conjunction with Deteriorated Buried-Radial Ground Systems</t>
  </si>
  <si>
    <t>10.1109/11.217997</t>
  </si>
  <si>
    <t>2-s2.0-0027608390</t>
  </si>
  <si>
    <t>['wiley company', 'space requirements', 'omni deviation', 'nominal vswr', 'inc .,', 'highly compact', 'find applications', '0 db']</t>
  </si>
  <si>
    <t>Biconical antenna | multilayer polarizer | slant linear polarization</t>
  </si>
  <si>
    <t>A broadband biconical antenna with a slant linear polarizer operating over 2‚Äê26 GHz has been designed, fabricated, and tested. The antenna has yielded a nominal VSWR of less than 3.0 and an omni deviation of within ¬±3.0 dB. This antenna is highly compact and hence will find applications in systems where space requirements are very stringent. ¬© 1993 John Wiley &amp; Sons, Inc. Copyright ¬© 1993 Wiley Periodicals, Inc., A Wiley Company</t>
  </si>
  <si>
    <t>471-475</t>
  </si>
  <si>
    <t>60015465;60015465;60015465</t>
  </si>
  <si>
    <t>6603455018;12796206000;57191103204</t>
  </si>
  <si>
    <t>Lakshminarayana, D.;Prasad, R. V.Hara;Mutiny, T. G.K.</t>
  </si>
  <si>
    <t>Dehradun</t>
  </si>
  <si>
    <t>Defence Research and Development Organisation India</t>
  </si>
  <si>
    <t>Lakshminarayana D.</t>
  </si>
  <si>
    <t>Broadband slant linearly polarized biconical antenna</t>
  </si>
  <si>
    <t>10.1002/mop.4650060806</t>
  </si>
  <si>
    <t>2-s2.0-0027609419</t>
  </si>
  <si>
    <t>F49620-91-C-0064</t>
  </si>
  <si>
    <t>101089063;101089063;60021939</t>
  </si>
  <si>
    <t>7003552177;6701361168;6603958219</t>
  </si>
  <si>
    <t>Coifman, Ronald;Rokhlin, Vladimir;Wandzura, Stephen</t>
  </si>
  <si>
    <t>Malibu;Hamden</t>
  </si>
  <si>
    <t>HRL Laboratories;Fast Mathematical Algorithms and Hardware Corporation</t>
  </si>
  <si>
    <t>60021939;101089063</t>
  </si>
  <si>
    <t>Coifman R.</t>
  </si>
  <si>
    <t>The Fast Multipole Method for the Wave Equation: A Pedestrian Prescription</t>
  </si>
  <si>
    <t>10.1109/74.250128</t>
  </si>
  <si>
    <t>2-s2.0-0027609499</t>
  </si>
  <si>
    <t>['z )),', 'speed efficiency', 'second kind', 'recurrence techniques', 'real arguments', 'mathematica 1', 'large orders', 'first kind', 'fft technique', 'erroneous algorithm', 'computing integer', 'available algorithms', 'algorithm developed']</t>
  </si>
  <si>
    <t>The purpose of this article is to provide some insight on the efficiency and accuracy of a few available algorithms for the computation of integer-order Bessel functions. First, the computation of integer-order Bessel functions of the first kind (Jn(z)), using the Fast Fourier Transform (FFT) algorithm as opposed to recurrence techniques, is investigated. It is shown that recurrence techniques are superior to the FFT technique, both in accuracy and speed efficiency. Second, an erroneous algorithm, suggested in the literature and used by commercially available software, specifically MATLAB 3.5 and MATHEMATICA 1.2, for computing integer-order Bessel functions of the second kind (Yn(z)), is revealed by comparing these routines with an algorithm developed by the author. Catastrophic errors result from the use of the erroneous algorithm, for the computation of large orders with non-real arguments. ¬© 1993 IEEE</t>
  </si>
  <si>
    <t>19-25</t>
  </si>
  <si>
    <t>du Toit, C. F.</t>
  </si>
  <si>
    <t>Stellenbosch</t>
  </si>
  <si>
    <t>Stellenbosch University</t>
  </si>
  <si>
    <t>du Toit C.</t>
  </si>
  <si>
    <t>Evaluation of some Algorithms and Programs for the Computation of Integer-Order Bessel Functions of the First and Second Kind with Complex Arguments</t>
  </si>
  <si>
    <t>10.1109/74.250131</t>
  </si>
  <si>
    <t>2-s2.0-0027609597</t>
  </si>
  <si>
    <t>['paper proposes', 'free waveguide', '80 mhz', '3 mw']</t>
  </si>
  <si>
    <t>This paper proposes a ceramics-free waveguide for high power ITER IC system (15~80 MHz) which is a TEM waveguide supported mechanically by T-shaped ridged waveguides. The transmission-line theory shows that this waveguide has the power handling capability of more than 3 MW, where we use an optimized antenna impedance for the ITER plasma parameters. The transmission line model for the analysis is verified by the experiments of one-tenth scale model. ¬© 1993 IEEE</t>
  </si>
  <si>
    <t>265-270</t>
  </si>
  <si>
    <t>IEEE Transactions on Plasma Science</t>
  </si>
  <si>
    <t>60018279;60012288;60012288;60012288;60012288</t>
  </si>
  <si>
    <t>7402657600;7404269925;35352771100;7005938557;7101740816</t>
  </si>
  <si>
    <t>Arai, Hiroyuki;Kimura, Haruyuki;Fujii, Tsuneyuki;Saigusa, Mikio;Moriyama, Shin Ichi</t>
  </si>
  <si>
    <t>Yokohama;Naka</t>
  </si>
  <si>
    <t>Yokohama National University;Naka Fusion Institute</t>
  </si>
  <si>
    <t>60018279;60012288</t>
  </si>
  <si>
    <t>Arai H.</t>
  </si>
  <si>
    <t>A Ceramics-Free Waveguide for ITER Ion Cyclotron Wave System</t>
  </si>
  <si>
    <t>10.1109/27.277551</t>
  </si>
  <si>
    <t>2-s2.0-0027611071</t>
  </si>
  <si>
    <t>['specified form', 'specified field', 'situation poses', 'procedure could', 'lossy medium', 'loop current', 'given location', 'finite sequence', 'discrete times', 'discrete array', 'design problem', 'analytical procedure']</t>
  </si>
  <si>
    <t>Electromagnetic waves traveling into a lossy medium suffer distortion in both time and space. This situation poses a design problem if it is desired to have a specified form, in both time and space, for the fields at a given location in the lossy medium. In this paper, an analytical procedure is presented so that the specified field in a lossy conducting halfspace can be realized with a discrete array of concentric loop currents on the surface. Each loop current is stepped on at a finite sequence of discrete times. The procedure could be applied in geophysical subsurface probing, hyperthermic cancer therapy, and digital signal transmission. ¬© 1993 IEEE</t>
  </si>
  <si>
    <t>727-731</t>
  </si>
  <si>
    <t>6701356057;7103195054</t>
  </si>
  <si>
    <t>Nabulsi, Khalid A.;Wait, James R.</t>
  </si>
  <si>
    <t>Nabulsi K.</t>
  </si>
  <si>
    <t>Space and Time Wave Shaping for Transmission into a Lossy Medium</t>
  </si>
  <si>
    <t>10.1109/8.250449</t>
  </si>
  <si>
    <t>2-s2.0-0027611744</t>
  </si>
  <si>
    <t>['pattern meeting', 'maximum directivity', 'given array', 'conformal arrays', 'arrays design', 'array coefficients']</t>
  </si>
  <si>
    <t>The application of the new nonlinear optimization algorithms to arrays design is demonstrated by the low sidelobe pattern synthesis of conformal arrays. By adopting the information of array element realized gain patterns (RGP's), we formulate synthesis problems as nonlinearly constrained optimization problems, and propose a new direct method to solve them. The technique allows one to find a set of array coefficients that yield a pattern meeting a specified sidelobe level and achieving the maximum directivity, if such a set of array coefficients exists. If the sidelobe specifications cannot be met with the given array, the technique will result in a set of coefficients that yield a pattern meeting the best attainable sidelobe level and having directivity as high as possible. Also, simplified synthesis problems for an axial dipole array in an infinite, perfectly conducting cylinder are discussed, and numerical synthesis results are given. Our synthesis technique works for general array patterns. ¬© 1993 IEEE</t>
  </si>
  <si>
    <t>824-831</t>
  </si>
  <si>
    <t>60025578;60025578;60025578;60025578</t>
  </si>
  <si>
    <t>7102211932;7403321650;55492474400;57221210104</t>
  </si>
  <si>
    <t>Jiao, Yong Chang;Wei, Wen Yuan;Huang, Li Wei;Wu, Hong Shi</t>
  </si>
  <si>
    <t>Xidian University</t>
  </si>
  <si>
    <t>Jiao Y.C.</t>
  </si>
  <si>
    <t>A New Low Sidelobe Pattern Synthesis Technique for Conformal Arrays</t>
  </si>
  <si>
    <t>10.1109/8.250466</t>
  </si>
  <si>
    <t>2-s2.0-0027612028</t>
  </si>
  <si>
    <t>['waveguide theory', 'used advantageously', 'shell adjacent', 'paper using', 'interior perimeter', 'first tm', 'directly faces', 'back wall', 'also shown']</t>
  </si>
  <si>
    <t>The performance of a resistively coated dielectric strip used to suppress the first TM-type resonant backscatter associated with a two-dimensional slotted conducting rectangular shell is analyzed in this paper using the moment method technique. Results obtained indicate that almost perfect resonance damping performances are attained when a finite-dimensioned resistively coated dielectric strip with dielectric constant Œµr= 4 -j0.4 and film resistance Rs = 188.5 Œ© is placed: (1) at the slot (which directly faces the normally incident TM-polarized plane wave), (2) on the interior perimeter of the shell adjacent to the slot, or (3) at the center of the back wall of the shell. Poorer damping performances are observed, however, when the resistively coated dielectric strip is placed at other positions and/or with the same or higher film resistance. Finally, it is also shown that in general the knowledge of the waveguide theory can be used advantageously in the placement of the resistively coated dielectric strip for achieving best resonance damping performance. ¬© 1993 IEEE</t>
  </si>
  <si>
    <t>834-837</t>
  </si>
  <si>
    <t>60012370;60012370</t>
  </si>
  <si>
    <t>7404903021;7404805396</t>
  </si>
  <si>
    <t>Wu, Lin Kun;Lu, Cheng Hung</t>
  </si>
  <si>
    <t>Hsinchu</t>
  </si>
  <si>
    <t>National Chiao Tung University</t>
  </si>
  <si>
    <t>Wu L.K.</t>
  </si>
  <si>
    <t>Effects of a Resistively Coated Dielectric Strip on the TM-Polarized Resonant Backscatter Behavior of a Slotted Conducting Rectangular Shell</t>
  </si>
  <si>
    <t>10.1109/8.250468</t>
  </si>
  <si>
    <t>2-s2.0-0027612030</t>
  </si>
  <si>
    <t>['wide bandwidth', 'waveguide apertures', 'required fields', 'mutual coupling', 'method uses', 'lower man', 'lossless waveguides', 'incident pulse', 'common groundplane']</t>
  </si>
  <si>
    <t>A time and Fourier gated pulsed finite difference time domain (FDTD) algorithm for computing mutual coupling between waveguide apertures is formulated. The method uses an incident pulse of short time duration (wide bandwidth) and a wide band ABC for lossless waveguides. It is capable of the computation of scattered or mutually coupled fields even if the intensity of the required fields is lower man the inherent reflection levels of the free space artificial truncation planes. The method is illustrated by computing the mutual coupling between two rectangular waveguides mounted on a common groundplane and bounded by a parallel plate waveguide. ¬© 1993 IEEE</t>
  </si>
  <si>
    <t>177-179</t>
  </si>
  <si>
    <t>Olivier, J. C.</t>
  </si>
  <si>
    <t>Potchefstroom</t>
  </si>
  <si>
    <t>North-West University</t>
  </si>
  <si>
    <t>Olivier J.</t>
  </si>
  <si>
    <t>Mutual Coupling Between Waveguide Apertures Mounted on a Common Conducting Surface Using a Time- and Fourier-Gated Pulsed FDTD Method</t>
  </si>
  <si>
    <t>10.1109/75.219806</t>
  </si>
  <si>
    <t>2-s2.0-0027612095</t>
  </si>
  <si>
    <t>Langley Research Center</t>
  </si>
  <si>
    <t>LaRC</t>
  </si>
  <si>
    <t>['yet permits', 'traditional implementations', 'spherical reflectors', 'require oversizing', 'paper introduces', 'new dual', 'main beam', 'low crosspolarization', 'frequently desirable', 'excellent potential', 'commonly used', 'accommodate scan']</t>
  </si>
  <si>
    <t>It is frequently desirable to scan the main beam of a large antenna system without moving the main aperture structure. Spherical reflectors have excellent potential in this application. However, they are not commonly used because of poor aperture efficiency and high side lobes in traditional implementations. This paper introduces a new dual-subreflector feed system design which does not require oversizing the spherical main reflector to accommodate scan and yet permits a controlled aperture illumination. The design yields high aperture efficiency, low crosspolarization, and low side lobes. ¬© 1993 IEEE</t>
  </si>
  <si>
    <t>778-786</t>
  </si>
  <si>
    <t>55205233000;7006247497</t>
  </si>
  <si>
    <t>Shen, Bing;Stutzman, Warren L.</t>
  </si>
  <si>
    <t>Shen B.</t>
  </si>
  <si>
    <t>Design of Scanning Spherical Trireflector Antennas with High Aperture Efficiency</t>
  </si>
  <si>
    <t>10.1109/8.250440</t>
  </si>
  <si>
    <t>2-s2.0-0027612139</t>
  </si>
  <si>
    <t>['therefore impulse', 'present approach', 'domain solution', 'conducting structures', 'approach one', 'alternative version']</t>
  </si>
  <si>
    <t>An alternative version of the time-domain electric field integral equation for arbitrarily shaped conducting structures is presented. The advantage of the present approach is that the electric field integral equation has one less derivative with respect to time than the popularly used one. Hence, with this approach one does not need to differentiate the excitation. Therefore impulse and step function excitations of the conducting structures are possible in addition to the conventionally used Gaussian excitations. This alternative version is also quite accurate compared with a frequency-domain solution. ¬© 1993 IEEE</t>
  </si>
  <si>
    <t>831-834</t>
  </si>
  <si>
    <t>60011754;60030551</t>
  </si>
  <si>
    <t>7404179013;55650323300</t>
  </si>
  <si>
    <t>Rao, Sadasiva M.;Sarkar, Tapan K.</t>
  </si>
  <si>
    <t>Syracuse;Auburn</t>
  </si>
  <si>
    <t>Syracuse University;Auburn University</t>
  </si>
  <si>
    <t>60030551;60011754</t>
  </si>
  <si>
    <t>Rao S.</t>
  </si>
  <si>
    <t>An Alternative Version of the Time-Domain Electric Field Integral Equation for Arbitrarily Shaped Conductors</t>
  </si>
  <si>
    <t>10.1109/8.250460</t>
  </si>
  <si>
    <t>2-s2.0-0027612287</t>
  </si>
  <si>
    <t>['¬© 1993', 'scattering parameters', 'rights reserved', 'noise ratio', 'especially convenient', 'electrical engineers']</t>
  </si>
  <si>
    <t>Polarimetry | Radar | Rain | Wave propagation</t>
  </si>
  <si>
    <t>Usually, the polarisation-dependent scattering matrix is measured with the receive and transmit antennas alternately coand crosspolarised. For scattering parameters with negligible differential phase, however, three copolar measurements can be used to obtain the complete scattering matrix. Less stringent demands on the signal-to-noise ratio are then necessary, which is especially convenient in the case of weak radar returns. ¬© 1993, The Institution of Electrical Engineers. All rights reserved.</t>
  </si>
  <si>
    <t>1051-1053</t>
  </si>
  <si>
    <t>60006288;60006288</t>
  </si>
  <si>
    <t>7003972559;35563466100</t>
  </si>
  <si>
    <t>Russchenberg, H. W.J.;Ligthart, L. P.</t>
  </si>
  <si>
    <t>Delft</t>
  </si>
  <si>
    <t>Delft University of Technology</t>
  </si>
  <si>
    <t>Russchenberg H.</t>
  </si>
  <si>
    <t>Deriving the linear depolarisation ratio of precipitation from copolar radar measurements</t>
  </si>
  <si>
    <t>10.1049/el:19930701</t>
  </si>
  <si>
    <t>2-s2.0-0027612314</t>
  </si>
  <si>
    <t>['¬© 1993', 'rights reserved', 'electrical engineers']</t>
  </si>
  <si>
    <t>Systolic arrays</t>
  </si>
  <si>
    <t>A novel systolic array is described for recursive least squares estimation based on the method of ‚Äòinverse updating‚Äô. It achieves an O(n¬∞) throughput rate with O(n2) parallelism. ¬© 1993, The Institution of Electrical Engineers. All rights reserved.</t>
  </si>
  <si>
    <t>1217-1218</t>
  </si>
  <si>
    <t>60025063;60026242</t>
  </si>
  <si>
    <t>55949476700;7006283363</t>
  </si>
  <si>
    <t>Moonen, M.;McWhirter, J. G.</t>
  </si>
  <si>
    <t>United Kingdom;Belgium</t>
  </si>
  <si>
    <t>Salisbury;3000 Leuven</t>
  </si>
  <si>
    <t>Defence Science and Technology Laboratory;KU Leuven</t>
  </si>
  <si>
    <t>60026242;60025063</t>
  </si>
  <si>
    <t>Systolic array for recursive least squares by inverse updating</t>
  </si>
  <si>
    <t>10.1049/el:19930813</t>
  </si>
  <si>
    <t>2-s2.0-0027612405</t>
  </si>
  <si>
    <t>['¬© 1993', 'rights reserved', 'geometrical optics', 'electrical engineers', 'deterministic model']</t>
  </si>
  <si>
    <t>Indoor radio | Radiowave propagation</t>
  </si>
  <si>
    <t>A deterministic model for millimetre-wave indoor radio propagation is proposed, based on geometrical optics. In addition, the accuracy of the model is examined by comparing the results with those obtained from measurements. ¬© 1993, The Institution of Electrical Engineers. All rights reserved.</t>
  </si>
  <si>
    <t>1174-1176</t>
  </si>
  <si>
    <t>Smulders, P. F.M.</t>
  </si>
  <si>
    <t>Smulders P.</t>
  </si>
  <si>
    <t>Geometrical optics model for millimetre-wave indoor radio propagation</t>
  </si>
  <si>
    <t>10.1049/el:19930785</t>
  </si>
  <si>
    <t>2-s2.0-0027612421</t>
  </si>
  <si>
    <t>['priori knowledge', 'prior knowledge', 'paper reports', 'marine platform', 'initialization procedure', 'ellipsoidal height', 'either alone', 'computational speed', 'carrier phases', 'another example', 'additional knowledge', '1993 institute']</t>
  </si>
  <si>
    <t>The initialization of real‚Äêtime centimeter‚Äêaccuracy GPS (i.e., based on carrier phases) can be performed while in motion. Although included results are postprocessed, the algorithms are currently being implemented for real‚Äêtime navigation, and the results will be essentially the same. The goal of the initialization procedure is to determine the double‚Äêdifference carrier phase integer ambiguities. This paper reports the benefit to the initialization procedure of additional knowledge or constraints. As an example, it shows the speedup (meaning fewer epochs, not computational speed) of the initialization procedure and increased reliability using a priori knowledge of the average ellipsoidal height of the antenna phase center on a marine platform. As another example, it shows the benefit of prior knowledge of one or two double‚Äêdifference integer biases, either alone or coupled with a priori knowledge of the ellipsoidal height of the antenna phase center. 1993 Institute of Navigation</t>
  </si>
  <si>
    <t>199-208</t>
  </si>
  <si>
    <t>Navigation</t>
  </si>
  <si>
    <t>Summer 1993</t>
  </si>
  <si>
    <t>REMONDI, BENJAMIN W.</t>
  </si>
  <si>
    <t>REMONDI B.</t>
  </si>
  <si>
    <t>Real‚ÄêTime Centimeter‚ÄêAccuracy GPS: Initializing While in Motion (Warm Start Versus Cold START)</t>
  </si>
  <si>
    <t>10.1002/j.2161-4296.1993.tb02304.x</t>
  </si>
  <si>
    <t>2-s2.0-0027612493</t>
  </si>
  <si>
    <t>['¬© 1993', 'simple possibility', 'rights reserved', 'results give', 'recently found', 'random locations', 'polarisation transformer', 'polarisation properties', 'parallel axes', 'microscopic helices', 'host dielectric', 'electrical engineers', 'dispersion equation']</t>
  </si>
  <si>
    <t>Chiral materials | Polarisation</t>
  </si>
  <si>
    <t>The uniaxial chiral medium is a generalisation of the wellstudied isotropic chiral media. It is obtained when microscopic helices with parallel axes are positioned in a host dielectric in random locations. Solutions for the dispersion equation and for the eigenwaves for a uniaxial chiral medium were recently found. In the Letter, the polarisation properties of a transverse wave propagating through a uniaxial chiral slab are considered. The results give a simple possibility for constructing a polarisation transformer for changing the polarisation of a propagating plane wave. ¬© 1993, The Institution of Electrical Engineers. All rights reserved.</t>
  </si>
  <si>
    <t>1074-1075</t>
  </si>
  <si>
    <t>60103653;60103653</t>
  </si>
  <si>
    <t>7004903706;7102492958</t>
  </si>
  <si>
    <t>Viitanen, A. J.;Lindell, I. V.</t>
  </si>
  <si>
    <t>Finland</t>
  </si>
  <si>
    <t>Espoo</t>
  </si>
  <si>
    <t>Aalto University</t>
  </si>
  <si>
    <t>Viitanen A.</t>
  </si>
  <si>
    <t>Uniaxial chiral quarter-wave polarisation transformer</t>
  </si>
  <si>
    <t>10.1049/el:19930717</t>
  </si>
  <si>
    <t>2-s2.0-0027612552</t>
  </si>
  <si>
    <t>['¬© 1993', 'two sets', 'rights reserved', 'novel microstructure', 'nonreflecting shield', 'lossy layer', 'electrical engineers']</t>
  </si>
  <si>
    <t>Chiral materials | Electromagnetic wave absorption</t>
  </si>
  <si>
    <t>A novel microstructure with two sets of Œ©-shaped conductive elements is suggested. The material is modelled by uniaxial bianisotropic constitutive relations. With specific material parameter values, a lossy layer can serve as a nonreflecting shield. If losses are small, the material is suited for lowreflection antenna radomes. ¬© 1993, The Institution of Electrical Engineers. All rights reserved.</t>
  </si>
  <si>
    <t>1048-1049</t>
  </si>
  <si>
    <t>60017103;60017103</t>
  </si>
  <si>
    <t>7005479476;6603508280</t>
  </si>
  <si>
    <t>Tretyakov, S. A.;Sochava, A. A.</t>
  </si>
  <si>
    <t>Proposed composite material for nonreflecting shields and antenna radomes</t>
  </si>
  <si>
    <t>10.1049/el:19930699</t>
  </si>
  <si>
    <t>2-s2.0-0027612561</t>
  </si>
  <si>
    <t>['¬© 1993', 'unshaped sidelobes', 'specified order', 'shaped region', 'shaped line', 'rights reserved', 'filledin nulls', 'electrical engineers']</t>
  </si>
  <si>
    <t>Antenna radiation patterns | Antennas</t>
  </si>
  <si>
    <t>Shaped line-source antenna beams can be synthesised by introducing complex roots in a Taylor line source distribution so as to achieve null filling in the shaped region. Optimisation of these roots and others allows individual control of the amplitude of ripples and the heights of unshaped sidelobes up to any specified order. For a pattern with M filledin nulls, the physically best implementable solution can be chosen from among the 2M solutions generated. ¬© 1993, The Institution of Electrical Engineers. All rights reserved.</t>
  </si>
  <si>
    <t>1136-1137</t>
  </si>
  <si>
    <t>60028419;60027550;60028419</t>
  </si>
  <si>
    <t>7006865572;57220065537;7202825573</t>
  </si>
  <si>
    <t>Ares, F.;Elliott, R. S.;Moreno, E.</t>
  </si>
  <si>
    <t>Spain;United States</t>
  </si>
  <si>
    <t>Santiago de Compostela;Los Angeles</t>
  </si>
  <si>
    <t>Universidad de Santiago de Compostela;University of California, Los Angeles</t>
  </si>
  <si>
    <t>60028419;60027550</t>
  </si>
  <si>
    <t>Ares F.</t>
  </si>
  <si>
    <t>Optimised synthesis of shaped line-source antenna beams</t>
  </si>
  <si>
    <t>10.1049/el:19930758</t>
  </si>
  <si>
    <t>2-s2.0-0027612609</t>
  </si>
  <si>
    <t>['¬© 1993', 'structural modification', 'rights reserved', 'radiation characteristics', 'modified structure', 'microstrip line', 'impedance bandwidth', 'electrical engineers']</t>
  </si>
  <si>
    <t>Antennas | Microstrip</t>
  </si>
  <si>
    <t>A circular microstrip antenna with a modified structure is presented. By adjusting the feed location along the circumference of the patch it is possible to match the antenna with a microstrip line of any impedance. The impedance bandwidth and radiation characteristics are unaffected by this structural modification. ¬© 1993, The Institution of Electrical Engineers. All rights reserved.</t>
  </si>
  <si>
    <t>1126-1127</t>
  </si>
  <si>
    <t>60031544;60031544;60031544;60031544</t>
  </si>
  <si>
    <t>7402866405;7004362848;57218539158;56259735900</t>
  </si>
  <si>
    <t>Dey, S.;Aanandan, C. K.;Mohanan, P.;Nair, K. G.</t>
  </si>
  <si>
    <t>Kochi</t>
  </si>
  <si>
    <t>Cochin University of Science and Technology</t>
  </si>
  <si>
    <t>Dey S.</t>
  </si>
  <si>
    <t>Modified circular patch antenna</t>
  </si>
  <si>
    <t>10.1049/el:19930751</t>
  </si>
  <si>
    <t>2-s2.0-0027612633</t>
  </si>
  <si>
    <t>['¬± l', 'phase characteristics', 'new coupler', 'line couplers', 'line coupler', 'db isolation', 'band amplitude', '3 ghz']</t>
  </si>
  <si>
    <t>A new uniplanar branch-line coupler has been developed that provides substantially improved broad-band amplitude and phase characteristics when compared to conventional microstrip branch-line couplers. Experimental results show that the new coupler has over 20-dB isolation over a bandwidth of more than 40% centered at 3 GHz with ¬±l-dB power dividing balance. ¬© 1993 IEEE</t>
  </si>
  <si>
    <t>175-176</t>
  </si>
  <si>
    <t>Ho, Chien Hsun;Fan, Lu;Chang, Kai</t>
  </si>
  <si>
    <t>A Broad-Band Uniplanar Branch-Line Coupler Using a Coupled Rectangular Slotline Ring</t>
  </si>
  <si>
    <t>10.1109/75.219815</t>
  </si>
  <si>
    <t>2-s2.0-0027614391</t>
  </si>
  <si>
    <t>['without loss', 'spectral expressions', 'moment method', 'interface separating', 'important problem', 'efficient technique', 'derive simple']</t>
  </si>
  <si>
    <t>In this paper, an efficient technique is developed to solve the important problem of vertical antennas located above and penetrating the interface between contiguous dielectric halfspaces. It begins by deriving the spectral expressions of the vector and scalar potential Green functions in terms of the TM wave spectral transmission coefficient The complex image technique is used to derive simple, accurate, and rapidly convergent expressions of the full-wave spatial Green functions. The spatial Green functions are used in the moment method to model vertical thin-wire antennas residing above and penetrating the interface separating the contiguous dielectric halfspaces with and without loss. ¬© 1993 IEEE</t>
  </si>
  <si>
    <t>806-812</t>
  </si>
  <si>
    <t>60014171;60014171</t>
  </si>
  <si>
    <t>6603865373;55664638500</t>
  </si>
  <si>
    <t>Shubair, R. M.;Chow, Y. L.</t>
  </si>
  <si>
    <t>Waterloo</t>
  </si>
  <si>
    <t>University of Waterloo</t>
  </si>
  <si>
    <t>Shubair R.</t>
  </si>
  <si>
    <t>A Simple and Accurate Complex Image Interpretation of Vertical Antennas Present in Contiguous Dielectric Halfspaces</t>
  </si>
  <si>
    <t>10.1109/8.250457</t>
  </si>
  <si>
    <t>2-s2.0-0027614640</t>
  </si>
  <si>
    <t>['reflections inside', 'paper describes', 'model validation', 'metal plate', 'immersed patterns', 'horn clusters', 'hispasat satellite', 'given concerning', 'dbs antenna', 'cluster together']</t>
  </si>
  <si>
    <t>This paper describes a model of the radiation of horn clusters for contoured beam antennas. The model includes internal mutual coupling (through a power divider network), modal conversions and reflections inside the horns, external mutual coupling and the effects of the edges of the metal plate that holds the cluster together. This model is applied to the synthesis of the DBS antenna of the HISPASAT satellite, the computed immersed patterns of each horn being used in the optimization of the excitations. Results are given concerning the model validation and the optimization with immersed patterns. ¬© 1993 IEEE</t>
  </si>
  <si>
    <t>713-722</t>
  </si>
  <si>
    <t>60028442;60028442;60028442</t>
  </si>
  <si>
    <t>7006838865;6701854117;6603945284</t>
  </si>
  <si>
    <t>de Haro, L.;Besada, J. L.;Galocha, B.</t>
  </si>
  <si>
    <t>Madrid</t>
  </si>
  <si>
    <t>Universidad Polit√©cnica de Madrid</t>
  </si>
  <si>
    <t>de Haro L.</t>
  </si>
  <si>
    <t>On the Radiation of Horn Clusters Including Mutual Coupling and the Effects of Finite Metal Plates: Application to the Synthesis of Contoured Beam Antennas</t>
  </si>
  <si>
    <t>10.1109/8.250447</t>
  </si>
  <si>
    <t>2-s2.0-0027614751</t>
  </si>
  <si>
    <t>ECS 89-06807</t>
  </si>
  <si>
    <t>['various parameters', 'radiation q', 'radiation pattern', 'radiation characteristics', 'microstrip antenna', 'low values', 'low permittivity', 'high values', 'hem11 mode', 'equivalence principle', 'dielectric substrate', 'dielectric q', 'dielectric disk', 'conductor q', 'antenna promises', 'antenna made']</t>
  </si>
  <si>
    <t>An antenna made of a dielectric disk with a high permittivity mounted on top of a grounded dielectric substrate of low permittivity is analyzed. A numerical procedure based on surface integral equations, derived from the equivalence principle, is used to compute the natural resonant frequencies for the HEM11 mode from which the radiation Q factor of the antenna is obtained. Then the radiation pattern of the antenna, operating at the resonant frequency evaluated previously, is computed with an electric dipole excitation located within the dielectric substrate under the dielectric disk. The effect of various parameters on the radiation characteristics of the antenna is studied, and presented in the form of diagrams. The low values of the radiation Q, combined with the high values of the dielectric Q and conductor Q, indicate that this antenna promises to be more efficient than the microstrip antenna. ¬© 1993 IEEE</t>
  </si>
  <si>
    <t>813-821</t>
  </si>
  <si>
    <t>60010491;60010491;60010491</t>
  </si>
  <si>
    <t>7004922524;6603614143;7006201067</t>
  </si>
  <si>
    <t>Kishk, Ahmed A.;Zunoubi, M. R.;Kajfez, Darko</t>
  </si>
  <si>
    <t>University</t>
  </si>
  <si>
    <t>University of Mississippi</t>
  </si>
  <si>
    <t>Kishk A.</t>
  </si>
  <si>
    <t>A Numerical Study of a Dielectric Disk Antenna Above Grounded Dielectric Substrate</t>
  </si>
  <si>
    <t>10.1109/8.250458</t>
  </si>
  <si>
    <t>2-s2.0-0027614753</t>
  </si>
  <si>
    <t>['¬© 1993', 'rights reserved', 'electrical engineers', 'dielectric lens', 'aperture efficiencies']</t>
  </si>
  <si>
    <t>Dielectric-loaded antennas | Horn antennas</t>
  </si>
  <si>
    <t>A dielectric lens is integrated into a dielectric loaded horn antenna to produce a high efficiency feed for reflectors. The lens is designed using simple ray theory and analysed using modal matching techniques. Aperture efficiencies of up to 78% are achieved while retaining good crosspolar performance. ¬© 1993, The Institution of Electrical Engineers. All rights reserved.</t>
  </si>
  <si>
    <t>1150-1152</t>
  </si>
  <si>
    <t>60022109;60022109</t>
  </si>
  <si>
    <t>7006827241;7006753955</t>
  </si>
  <si>
    <t>Olver, A. D.;Philips, B.</t>
  </si>
  <si>
    <t>Queen Mary University of London</t>
  </si>
  <si>
    <t>Olver A.D.</t>
  </si>
  <si>
    <t>Integrated lens with dielectric horn antenna</t>
  </si>
  <si>
    <t>10.1049/el:19930769</t>
  </si>
  <si>
    <t>2-s2.0-0027614870</t>
  </si>
  <si>
    <t>['¬© 1993', 'transverse electric', 'rights reserved', 'microwave output', 'experimental investigation', 'electrical engineers']</t>
  </si>
  <si>
    <t>Microwave devices and components | Microwave radiation</t>
  </si>
  <si>
    <t>An experimental investigation of an axially extracted virtual cathode oscillator is presented. The effect of the external magnetic field on the microwave output is studied. Maximum output power of 5 ¬± 2 MW in the transverse electric (TE) modes is obtained. The microwaves are generated by the transmitted electron flow. ¬© 1993, The Institution of Electrical Engineers. All rights reserved.</t>
  </si>
  <si>
    <t>1069-1070</t>
  </si>
  <si>
    <t>60019878;60019878;60019878</t>
  </si>
  <si>
    <t>7005621302;55822964219;7004833765</t>
  </si>
  <si>
    <t>Kostov, K. G.;Nikolov, N. A.;Spassov, V. A.</t>
  </si>
  <si>
    <t>Bulgaria</t>
  </si>
  <si>
    <t>Sofia</t>
  </si>
  <si>
    <t>Sofia University St. Kliment Ohridski</t>
  </si>
  <si>
    <t>Kostov K.G.</t>
  </si>
  <si>
    <t>Excitation of transverse electric modes in axially extracted virtual cathode oscillator</t>
  </si>
  <si>
    <t>10.1049/el:19930714</t>
  </si>
  <si>
    <t>2-s2.0-0027614878</t>
  </si>
  <si>
    <t>['wave frequencies', 'output beam', 'measured gain', 'input beam', 'hemt transistors', 'fabrication process', 'beam applications', 'amplifier design', '92 ghz', '5 db']</t>
  </si>
  <si>
    <t>A quasi-optical amplifier suitable for Gaussian-beam applications is presented. The amplifier is based on the integrated horn antenna and uses polarization duplexing to isolate the output beam from the input beam. A prototype hybrid amplifier is reported here with a measured gain of 10.5 dB at 5.92 GHz. The amplifier design is uniplanar, compact, and is compatible with the fabrication process of HEMT transistors at millimeter-wave frequencies. ¬© 1993 IEEE</t>
  </si>
  <si>
    <t>164-166</t>
  </si>
  <si>
    <t>60025778;60025778</t>
  </si>
  <si>
    <t>56969304500;7006384021</t>
  </si>
  <si>
    <t>Chiand, Chen Yu;Rebeiz, Gabriel M.</t>
  </si>
  <si>
    <t>Chiand C.</t>
  </si>
  <si>
    <t>A Quasi-Optical Amplifier</t>
  </si>
  <si>
    <t>10.1109/75.219802</t>
  </si>
  <si>
    <t>2-s2.0-0027614891</t>
  </si>
  <si>
    <t>University of Michigan</t>
  </si>
  <si>
    <t>U-M</t>
  </si>
  <si>
    <t>['wave applications', 'wave analysis', 'treated using', 'systematic process', 'multimode quasi', 'machined part', 'integrated part', 'hybrid technique', 'full range', 'feed elements', 'designed antennas', 'design methodology', 'db quasi', 'characterized using', 'approximate model', 'also examined', '370ghz measurements']</t>
  </si>
  <si>
    <t>The purpose of this paper is to present a systematic process for the design of multimode quasi-integrated horn antennas, and to provide a full range of practical antenna designs for mullimeter and submillimeter-wave applications. The design methodology is based on the Gaussian beam approach and the structures are optimized for achieving maximum fundamental Gaussian coupling efficiency. For this purpose, a hybrid technique is employed in which the integrated part of the antennas is treated using full-wave analysis, whereas the machined part is treated using an approximate model. This results in a simple and efficient design process. The developed design procedure has been applied for the design of a 20-, 23-, and 25-dB quasi-integrated horn antennas, all with a Gaussian coupling efficiency exceeding 97%. The designed antennas have been tested and characterized using both full-wave analysis and 91/370GHz measurements. The quasi-integrated horn antennas are also examined as feed elements for Cassegrain antenna systems and are proven to be comparable to the traditional machined corrugated horn feeds. ¬© 1993 IEEE</t>
  </si>
  <si>
    <t>954-965</t>
  </si>
  <si>
    <t>June/July 1993</t>
  </si>
  <si>
    <t>7004469751;7006384021</t>
  </si>
  <si>
    <t>Eleftheriades, George V.;Rebeiz, Gabriel M.</t>
  </si>
  <si>
    <t>Eleftheriades G.</t>
  </si>
  <si>
    <t>Design and Analysis of Quasi-Integrated Horn Antennas for Millimeter and Submillimeter-Wave Applications</t>
  </si>
  <si>
    <t>10.1109/22.238509</t>
  </si>
  <si>
    <t>2-s2.0-0027614964</t>
  </si>
  <si>
    <t>['wiley company', 'trial fabrication', 'three times', 'paper proposes', 'iris mounted', 'increasing coupling', 'inc .,', 'diplexing bandwidth', 'coupling hole', 'conventional filters', 'common walls', 'circular polarization', '7 percent']</t>
  </si>
  <si>
    <t>cylindrical cavity resonator, iris‚Äêloaded cross‚Äêcoupler | directional filter | multibeam antenna | Waveguide filter</t>
  </si>
  <si>
    <t>The diplexing bandwidth of a cylindrical‚Äêcavity directional filter is restricted of coupling of the coupling hole, which is installed in order to excite a circular polarization on the common walls of the input and output rectangular waveguides and in the adjacent cylindrical cavity. This paper proposes a method of increasing the coupling of circular polarization by means of an iris‚Äêloaded cross‚Äêcoupling hole (consisting of an iris mounted on the crossed‚Äêcoupling hole of a rectangular waveguide). The results of analysis of the magnetic field distribution and the magnetic field intensity in a rectangular waveguide loaded with an iris are described. It shown that the iris‚Äêloaded cross‚Äêcoupling hole is effective in exciting a circular polarization and increasing coupling. The results of a trial fabrication of a directional filter using this type of coupling hole are presented. In the case of a three‚Äêstage maximally flat K band filter, a passband relative bandwidth of 2.7 percent was obtained. This bandwidth is three times as great as in conventional filters. Hence, the range of application of the cylindrical cavity directional filter has been extended. Copyright ¬© 1993 Wiley Periodicals, Inc., A Wiley Company</t>
  </si>
  <si>
    <t>85-91</t>
  </si>
  <si>
    <t>60101699;60101699;60101699</t>
  </si>
  <si>
    <t>6603694975;7402067958;35459666200</t>
  </si>
  <si>
    <t>Isota, Yoji;Miyazaki, Moriyasu;Ishida, Osami</t>
  </si>
  <si>
    <t>Isota Y.</t>
  </si>
  <si>
    <t>Broadband cylindrical‚Äêcavity directional filter</t>
  </si>
  <si>
    <t>10.1002/ecja.4410760608</t>
  </si>
  <si>
    <t>2-s2.0-0027614987</t>
  </si>
  <si>
    <t>['theoretical results', 'paper presents', 'microwave hyperthermia', 'integral equation', 'good agreement', 'equivalence principle', 'e .,', 'antenna consists', 'analytical approach']</t>
  </si>
  <si>
    <t>This paper presents the analysis of a ‚Äúthermic end-fire‚Äù interstitial applicator for microwave hyperthermia, i. e., an applicator that performs a tip localized heating of the surrounding lossy medium. The antenna consists of a shorted coaxial cable with an annular radiating aperture at the end. The analytical approach is based on the equivalence principle, which leads to an integral equation for the equivalent magnetic current distribution on the aperture; solution is achieved by the Method of Moments. All theoretical results have been compared to experimental ones showing a good agreement in a wide frequency range. ¬© 1993 IEEE</t>
  </si>
  <si>
    <t>1135-1142</t>
  </si>
  <si>
    <t>60031624;60031624;60031624</t>
  </si>
  <si>
    <t>7102832809;35952791600;6602257752</t>
  </si>
  <si>
    <t>Cerri, Graziano;De Leo, Roberto;Mariani Primiani, Valter</t>
  </si>
  <si>
    <t>Cerri G.</t>
  </si>
  <si>
    <t>‚ÄúThermic End-Fire‚Äù Interstitial Applicator for Microwave Hyperthermia</t>
  </si>
  <si>
    <t>10.1109/22.238538</t>
  </si>
  <si>
    <t>2-s2.0-0027615075</t>
  </si>
  <si>
    <t>National Science Council</t>
  </si>
  <si>
    <t>80-E-SP-009-01 A.</t>
  </si>
  <si>
    <t>NSC</t>
  </si>
  <si>
    <t>['supervised nulling', 'subarrays used', 'strong interference', 'squares sense', 'reference patterns', 'proposed methods', 'numerical results', 'new methods', 'maximum number', 'linear arrays', 'difference patterns', 'difference channels', 'common factor', 'beamforming weights', 'based sum']</t>
  </si>
  <si>
    <t>New methods of synthesizing Low Sidelobe sum and difference patterns for linear arrays are described. By subarray beam forming, the sum and difference patterns exhibit a common factor, leading to a simple monopulse estimator. A procedure is proposed for the synthesis of the subarray-based sum and difference patterns which approximate a set of reference patterns in least-squares sense. Supervised nulling is incorporated as a means of suppression of strong interference. To further reduce system complexity, we impose the constraint that parts of the beamforming weights are shared by the sum and difference channels. The relationship between the maximum number of common weights allowable and the number of subarrays used is discussed. Numerical results are presented to demonstrate the efficacy of the proposed methods. ¬© 1993 IEEE</t>
  </si>
  <si>
    <t>791-800</t>
  </si>
  <si>
    <t>7501435107;7102608410</t>
  </si>
  <si>
    <t>Lee, Ta Sung;Tseng, Te Kung</t>
  </si>
  <si>
    <t>Lee T.</t>
  </si>
  <si>
    <t>Subarray-Synthesized Low Sidelobe Sum and Difference Patterns with Partial Common Weights</t>
  </si>
  <si>
    <t>10.1109/8.250455</t>
  </si>
  <si>
    <t>2-s2.0-0027615197</t>
  </si>
  <si>
    <t>['treated within', 'transmitted fields', 'tangential components', 'suggested procedure', 'spatially periodic', 'selected set', 'reduced case', 'properly modulated', 'plane parallel', 'physical surface', 'patch sources', 'novel solution', 'linear combination', 'general procedure', 'floquet modes', 'fields radiated', 'fields due', 'fictitious sources', 'electromagnetic scattering', 'complex amplitudes', 'adjusted simultaneously']</t>
  </si>
  <si>
    <t>A novel solution is presented for the problem of electromagnetic scattering of a time-harmonic plane wave from a nonplanar doubly periodic surface separating two contrasting homogeneous media. The reflected and the transmitted fields are approximated by a linear combination of the fields due to sets of fictitious patch sources supporting surface currents of crosspolarization. Spatially periodic and properly modulated, these fictitious sources lie at some distance from the physical surface, each in a plane parallel to the directions of the periodicity. The fields radiated by these patch sources are computed by summing a spectrum of Floquet modes. The complex amplitudes of these fictitious sources are adjusted simultaneously to render the tangential components of the electric and magnetic fields continuous at a selected set of points on the surface. The suggested procedure is simple to implement and is applicable to arbitrary, smooth, doubly periodic surfaces. The accuracy of the method has been demonstrated for doubly periodic sinusoidal surfaces. Perfectly conducting surfaces have also been treated within the general procedure as a reduced case. ¬© 1993 IEEE</t>
  </si>
  <si>
    <t>732-738</t>
  </si>
  <si>
    <t>60022403;60022403;60022403</t>
  </si>
  <si>
    <t>7006183140;7005691179;7006183137</t>
  </si>
  <si>
    <t>Boag, Amir;Leviatan, Yehuda;Boag, Alona</t>
  </si>
  <si>
    <t>Haifa</t>
  </si>
  <si>
    <t>Technion - Israel Institute of Technology</t>
  </si>
  <si>
    <t>Boag A.</t>
  </si>
  <si>
    <t>Analysis of Electromagnetic Scattering from Doubly Periodic Nonplanar Surfaces Using a Patch-Current Model</t>
  </si>
  <si>
    <t>10.1109/8.250450</t>
  </si>
  <si>
    <t>2-s2.0-0027615237</t>
  </si>
  <si>
    <t>F49620-88-C-0075</t>
  </si>
  <si>
    <t>['various alternatives', 'transient field', 'pulse radiation', 'nonconventional time', 'layered environment', 'harmonic counterparts', 'exhibit anomalies', 'especially interesting', 'dielectric layer', 'current elements', 'conventional time', 'characteristic properties']</t>
  </si>
  <si>
    <t>In a recent comprehensive study of short-pulse radiation from current elements in the presence of plane layered dielectric media, various alternatives have been explored for constructing the transient field in terms of spectral-domain wave functions. Two distinctive synthesis options have been structured around conventional time-harmonic and nonconventional time-dependent basis wave functions, respectively. To understand the characteristic properties of each, it is necessary to explore in detail the frequency-wavenumber dispersion relation for the layered environment. Especially interesting is the behavior of the nonconventional time-domain leaky modes which exhibit anomalies not encountered in their conventional time-harmonic counterparts. An example is given of how these time-domain modal basis fields synthesize highly resolved short-pulse radiation from a source in a dielectric layer. ¬© 1993 IEEE</t>
  </si>
  <si>
    <t>755-761</t>
  </si>
  <si>
    <t>36639520600;56883021600</t>
  </si>
  <si>
    <t>Niu, Feng;Felsen, Leopold B.</t>
  </si>
  <si>
    <t>Niu F.</t>
  </si>
  <si>
    <t>Time-Domain Leaky Modes on Layered Media: Dispersion Characteristics and Synthesis of Pulsed Radiation</t>
  </si>
  <si>
    <t>10.1109/8.250453</t>
  </si>
  <si>
    <t>2-s2.0-0027615281</t>
  </si>
  <si>
    <t>['scan volume', 'results show', 'reduce considerably', 'infinite arrays', 'induced blindnesses', 'h plane', 'electric walls', 'dipoles printed', 'also shown']</t>
  </si>
  <si>
    <t>The effects of coplanar feed lines and of E-plane cavity walls on the performance of infinite arrays of dipoles printed on protruding dielectric substrates are investigated. In order to do so, two unit cell configurations are studied: 1) The dipole element fed by coplanar transmission lines and 2) the dipole element fed by coplanar transmission lines with finite-height metallic walls added parallel to the H plane of the array. The element active impedances are calculated for these configurations, and they are compared with those obtained from arrays of dipoles without coplanar feed lines. Effects of the dielectric substrate permittivity and of its thickness on the array element active impedance are included. The results show that the arrays of dipoles with the coplanar feed lines exhibit feed-line-induced blindnesses which reduce considerably the scan volume of the array. It is also shown that these feed line effects are reduced for thicker or higher permittivity substrates, and that the insertion of electric walls is one possible avenue for eliminating these anomalies. ¬© 1993 IEEE</t>
  </si>
  <si>
    <t>837-841</t>
  </si>
  <si>
    <t>60013649;60014313;60096309</t>
  </si>
  <si>
    <t>8507385300;7006791463;7004535821</t>
  </si>
  <si>
    <t>Bayard, Jean Pierre R.;Schaubert, Daniel H.;Cooley, Michael E.</t>
  </si>
  <si>
    <t>Camarillo;Amherst MA;Sacramento</t>
  </si>
  <si>
    <t>Malibu Research Associates, Inc.;University of Massachusetts Amherst;California State University, Sacramento</t>
  </si>
  <si>
    <t>60096309;60014313;60013649</t>
  </si>
  <si>
    <t>Bayard J.</t>
  </si>
  <si>
    <t>E-Plane Scan Performance of Infinite Arrays of Dipoles Printed on Protruding Dielectric Substrates: Coplanar Feed Line and E-Plane Metallic Wall Effects</t>
  </si>
  <si>
    <t>10.1109/8.250461</t>
  </si>
  <si>
    <t>2-s2.0-0027615282</t>
  </si>
  <si>
    <t>['¬© 1993', 'voltage curve', 'si metal', 'prepared al', 'plasma source', 'permanent magnets', 'like carbon', 'japan society', 'film thickness', 'dlc film', 'cyclotron resonance', 'applied physics', '10 %.']</t>
  </si>
  <si>
    <t>Diamond-like carbon film | ECR plasma CVD | Si-MIS diode | Traveling microwave | Wide zone</t>
  </si>
  <si>
    <t>An electron-cyclotron resonance (ECR) plasma source which generates a long and narrow plasma 500 mm in length has been developed. The plasma is generated by a 2.45 GHz traveling microwave which is supplied through a slot antenna prepared in the waveguide in a magnetic field generated by permanent magnets. Diamond-like carbon (DLC) films were deposited in a wide zone 340 mm in width. The variation of film thickness was less than 10%. The resistivity of the DLC film was -9.62 x 1011 D*cm and permittivity, 3.63. The prepared Al/DLC/Si metal/in- sulator/semiconductor (MIS) diode revealed fairly good field effect in its capacitance-voltage curve. ¬© 1993 The Japan Society of Applied Physics.</t>
  </si>
  <si>
    <t>L802-L805</t>
  </si>
  <si>
    <t>101221887-60024322;101221887-60024322;101221887-60024322;101221887-60024322;101221887-60024322;101221887-60024322</t>
  </si>
  <si>
    <t>57082220900;7202363567;57083126300;7402403017;6507049839;55724328900</t>
  </si>
  <si>
    <t>Ishii, Akira;Sakaguchi, Yoshiyuki;Mlnomo, Shoichiro;Taniguchi, Michio;Sugiyo, Masato;Kobayashi, Takeshi</t>
  </si>
  <si>
    <t>Suita;Osaka</t>
  </si>
  <si>
    <t>Osaka University;DAIHEN Corporation</t>
  </si>
  <si>
    <t>60024322;101221887</t>
  </si>
  <si>
    <t>Ishii A.</t>
  </si>
  <si>
    <t>Diamond-like carbon film deposition by super-wide electron-cyclotron resonance plasma source excited by traveling microwave</t>
  </si>
  <si>
    <t>10.1143/JJAP.32.L802</t>
  </si>
  <si>
    <t>2-s2.0-0027616772</t>
  </si>
  <si>
    <t>Motorola</t>
  </si>
  <si>
    <t>['thorough understanding', 'receiver located', 'range dependence', 'propagation characteristics', 'potential implementation', 'explains propagation', 'diffraction outside', 'different floors']</t>
  </si>
  <si>
    <t>The potential implementation of wireless radio local area networks and personal communication services inside buildings requires a thorough understanding of signal propagation within buildings. In this paper we develop a theory which explains propagation between a transmitter and a receiver located on different floors of a building. Depending on the structure of the building and the location of the antennas, either direct ray propagation through floors or diffraction outside the building will determine the propagation characteristics and range dependence of the signal sector average as the number of floors between the transmitter and the receiver is increased. ¬© 1993 IEEE</t>
  </si>
  <si>
    <t>787-790</t>
  </si>
  <si>
    <t>60108318-60021378;60108318;60024590</t>
  </si>
  <si>
    <t>6602911053;7005129354;6506156697</t>
  </si>
  <si>
    <t>Honcharenko, W.;Bertoni, H. L.;Dailing, J.</t>
  </si>
  <si>
    <t>New York;Schaumburg;Murray</t>
  </si>
  <si>
    <t>NYU Tandon School of Engineering;Motorola;Nokia Bell Labs</t>
  </si>
  <si>
    <t>60108318;60024590;60021378</t>
  </si>
  <si>
    <t>Honcharenko W.</t>
  </si>
  <si>
    <t>Mechanisms Governing Propagation Between Different Floors in Buildings</t>
  </si>
  <si>
    <t>10.1109/8.250441</t>
  </si>
  <si>
    <t>2-s2.0-0027616787</t>
  </si>
  <si>
    <t>['vsat networks', 'vsat network', 'terrestrial communications', 'methods used', 'cost advantage', 'basic elements']</t>
  </si>
  <si>
    <t>VSAT networks were developed in the mid‚Äê1980s as an alternative to terrestrial communications and can offer a cost advantage because linking two nodes via satellite costs the same, regardless of their distance from each other. This article will outline the basic elements of a VSAT network and describe some of the methods used to manage it. Copyright ¬© 1993 John Wiley &amp; Sons, Ltd.</t>
  </si>
  <si>
    <t>55-63</t>
  </si>
  <si>
    <t>International Journal of Network Management</t>
  </si>
  <si>
    <t>Brown, Michael</t>
  </si>
  <si>
    <t>Brown M.</t>
  </si>
  <si>
    <t>Network management and the AT&amp;T VSAT network</t>
  </si>
  <si>
    <t>10.1002/nem.4560030202</t>
  </si>
  <si>
    <t>2-s2.0-0027617060</t>
  </si>
  <si>
    <t>['¬© 1993', 'white rice', 'theoretical background', 'polystyrene grains', 'phase measurements', 'new method', 'measuring properties', 'measurement method', 'laboratory tests', 'conventional attenuation', 'also suggested', '10 ghz']</t>
  </si>
  <si>
    <t>A new method for measuring properties of grainy materials using depolarized Rayleigh scattering is introduced. The theoretical background of the measurement method is presented. Laboratory tests at 10 GHz with a mixture of white rice, polystyrene grains and dried green lentils using a vector network analyser and two pyramidal horn antennae are presented and results are compared with theoretical results based on the first-order multiple scattering theory. A low-cost measurement set-up for industrial measurements using scattering measurement combined with the conventional attenuation and phase measurements is also suggested. ¬© 1993.</t>
  </si>
  <si>
    <t>323-327</t>
  </si>
  <si>
    <t>C</t>
  </si>
  <si>
    <t>37-38</t>
  </si>
  <si>
    <t>Sensors and Actuators: A. Physical</t>
  </si>
  <si>
    <t>June 1993/August 1993</t>
  </si>
  <si>
    <t>Toropainen, Anssi P.</t>
  </si>
  <si>
    <t>Toropainen A.</t>
  </si>
  <si>
    <t>The use of depolarized Rayleigh scattering for measurement applications in process industry</t>
  </si>
  <si>
    <t>092442479380054K</t>
  </si>
  <si>
    <t>10.1016/0924-4247(93)80054-K</t>
  </si>
  <si>
    <t>2-s2.0-0027617116</t>
  </si>
  <si>
    <t>['wiley company', 'scattered wave', 'proposed method', 'present method', 'phased array', 'output power', 'mutual coupling', 'minimization algorithm', 'main idea', 'inc .,', 'high gain', 'frequency region', 'excitation phase', 'element antenna', 'cross polarization', 'array factor', 'array environment']</t>
  </si>
  <si>
    <t>circular polarization | phase control | phase shifter | Phased array antenna</t>
  </si>
  <si>
    <t>When a circularly polarized phased array is used for communication, it is required to maintain a high gain and suppress the cross polarization over the beam scanning region and over the frequency region. However, in the traditional phase‚Äêsetting method in which only the feed line length and the array factor are taken into consideration, the desired radiation characteristics cannot be obtained because the elemental electric field in the array environment is fluctuated by the effect of the mutual coupling between the elements and the scattered wave from the structures. In this paper, a method is presented for improving the gain and suppressing the cross‚Äêpolarization level by controlling the excitation phase with the phase shifters inherent to the phased array under these complex electromagnetic environments. The main idea of the present method is in the measurement of the correct and cross‚Äêpolarization components for each element antenna and in the derivation of the optimum excitation phases based on the minimization algorithm of the output power. An experiment is carried out in which the proposed method is compared with the phase‚Äêsetting method where only the feed line length and the array factor are taken into account. Thus, the effectiveness of the proposed method is demonstrated. Copyright ¬© 1993 Wiley Periodicals, Inc., A Wiley Company</t>
  </si>
  <si>
    <t>92-100</t>
  </si>
  <si>
    <t>7004961264;7101925195;7404265846;7004304668</t>
  </si>
  <si>
    <t>Chiba, Isamu;Ohtsuka, Masataka;Matsumoto, Souichi;Katagi, Takashi</t>
  </si>
  <si>
    <t>Chiba I.</t>
  </si>
  <si>
    <t>Phase controlling for improving the gain or providing the low cross‚Äêpolarization level in circularly polarized phased array antennas</t>
  </si>
  <si>
    <t>10.1002/ecja.4410760609</t>
  </si>
  <si>
    <t>2-s2.0-0027617418</t>
  </si>
  <si>
    <t>14-90-J-1120</t>
  </si>
  <si>
    <t>['well suited', 'time domain', 'thereby utilizing', 'td ).', 'synthesis options', 'spectral integrands', 'special interest', 'special case', 'respective interpretation', 'pulsed radiation', 'part study', 'nonconventional options', 'layer configuration', 'harmonic real', 'formal solutions', 'first part', 'dispersion equations', 'current applications', 'comprehensive three', 'complex frequency', 'companion papers', 'basis fields', 'applicable also', 'alternative treatments']</t>
  </si>
  <si>
    <t>Pulsed radiation from sources in the presence of layered dielectric media is of interest in a variety of current applications. A comprehensive three-part study has been undertaken to explore various analysis and synthesis options in the wavenumber-frequency spectral domains, with emphasis on their utility for subsequent numerical implementation, and on their respective interpretation in terms of cogent physical wave phenomena. The first part of the sequence here deals with the derivation of formal exact alternative spectral representations for the electromagnetic fields radiated from a pulsed electric current element embedded in a grounded dielectric layer. Starting from the standard spectral decomposition into the real frequency domain and the real spatial wavenumber domains corresponding to the transverse coordinates perpendicular to the direction of stratification, alternative treatments of the spectral integrands in the various complex spectral planes lead to exact steepest descent path representations which are well suited for subsequent asymptotic reduction into the time domain (TD). Of special interest is the nonconventional synthesis strategy, which performs frequency inversion before spatial wavenumber inversion, thereby utilizing in one of the options TD leaky modes with complex frequency and real spatial wavenumbers, and also TD trapped modes, as basis fields. This is contrasted with the conventional approach built around time-harmonic real-frequency leaky modes with complex spatial spectra. Although the single-layer configuration is a special case, the spectral strategies employed here are applicable also to more general layered structures. Details of the dispersion equations for the conventional and nonconventional options, and subsequent asymptotic reductions of the formal solutions here, are treated in the companion papers, with illustrative numerical examples. ¬© 1993 IEEE</t>
  </si>
  <si>
    <t>747-754</t>
  </si>
  <si>
    <t>56883021600;36639520600</t>
  </si>
  <si>
    <t>Felsen, Leopold B.;Niu, Feng</t>
  </si>
  <si>
    <t>Felsen L.</t>
  </si>
  <si>
    <t>Spectral Analysis and Synthesis Options for Short Pulse Radiation from a Point Dipole in a Grounded Dielectric Layer</t>
  </si>
  <si>
    <t>10.1109/8.250452</t>
  </si>
  <si>
    <t>2-s2.0-0027617430</t>
  </si>
  <si>
    <t>['tm contributions', 'tested numerically', 'spectral options', 'spectral alternatives', 'special interest', 'resulting hybrid', 'remarkable accuracy', 'physical terms', 'front contributions', 'frequency spectrum', 'direct tracking', 'dielectric interface', 'companion paper', 'brewster angle', 'asymptotic methods', 'anomalous behavior', 'angular spectra']</t>
  </si>
  <si>
    <t>In a companion paper, spectral options have been presented for the synthesis of the electromagnetic fields radiated into the exterior by a pulsed electric current element inside a grounded dielectric layer. The exact spectral integrals, which implement these spectral alternatives, are reduced here by asymptotic methods that extract explicit approximate forms for wave-front contributions, time-domain (TD) leaky mode contributions with spacetime dependent wavenumbers and frequencies, and self-consistent hybrid combinations of both. The resulting hybrid (wave-front)-(TD leaky mode) algorithm is explained in physical terms, and tested numerically. For both TE and TM contributions, it is found that in their domain of validity, the TD leaky modes excited within the frequency spectrum of the source pulse synthesize with remarkable accuracy the highly resolved pulse train obtained by direct tracking of multiple reflected wavefronts. Of special interest is the anomalous behavior of the TM-TD leaky modes when their angular spectra are near the Brewster angle for the air-dielectric interface. The correspondingly anomalous asymptotics is explained in detail. ¬© 1993 IEEE</t>
  </si>
  <si>
    <t>762-769</t>
  </si>
  <si>
    <t>Asymptotic Analysis and Numerical Evaluation of Short Pulse Radiation from a Point Dipole in a Grounded Dielectric Layer</t>
  </si>
  <si>
    <t>10.1109/8.250454</t>
  </si>
  <si>
    <t>2-s2.0-0027617431</t>
  </si>
  <si>
    <t>['¬© 1993', 'slot width', 'slot length', 'rights reserved', 'reasonable agreement', 'input impedance', 'ground plane', 'electrical engineers', 'antenna fed', 'antenna configuration']</t>
  </si>
  <si>
    <t>A hemispherical dielectric resonator (DR) antenna fed by a microstripline through an aperture on the ground plane is investigated both theoretically and experimentally. The broadside TE111 mode input impedance of the antenna configuration is evaluated, and reasonable agreement between theory and experiment is obtained. The effects of the slot length and the slot width on the input impedance are studied and discussed. ¬© 1993, The Institution of Electrical Engineers. All rights reserved.</t>
  </si>
  <si>
    <t>1165-1167</t>
  </si>
  <si>
    <t>Input impedance of aperture coupled hemispherical dielectric resonator antenna</t>
  </si>
  <si>
    <t>10.1049/el:19930779</t>
  </si>
  <si>
    <t>2-s2.0-0027617459</t>
  </si>
  <si>
    <t>Teknologi og Produktion, Det Frie Forskningsr√•d</t>
  </si>
  <si>
    <t>FTP, DFF</t>
  </si>
  <si>
    <t>['telephone box', 'system loss', 'simple hand', 'shadow effect', 'results show', 'results obtained', 'resonance frequency', 'radiation pattern', 'radiation efficiency', 'placed next', 'paper deals', 'near field', 'natural manner', 'link budget', 'input impedance', 'including polarization', 'human body', 'head model', 'considerable fading', 'changes considerably', 'antenna alone', 'anechoic chamber', '4 db']</t>
  </si>
  <si>
    <t>This paper deals with the influence the presence of a person has on the performance of antennas for hand-held portable telephones. It is shown how input impedance, farfield radiation pattern, radiation efficiency, and the magnitude of the near field are affected by the presence of the human body. The investigations have been carried out by applying the finite difference time domain technique to a model of the telephone with a Œª/4 monopole antenna and a simple hand-head model of the operator. Results from this configuration are compared with results for the telephone box and antenna alone. Measurements have been performed to verify the results obtained by simulations. The results show that a shadow effect in the farfield pattern occurs in the direction of the person and that the radiation pattern, including polarization, changes considerably from the telephone with the antenna alone. The impedance results show a change in resonance frequency when the telephone is placed next to a person. Results for radiation efficiency show that close to half of the energy is absorbed by hand and head. On average a system loss of 3-4 dB should be included in a link budget, and there is considerable fading, even in a radio-anechoic chamber, when persons move around in a natural manner. ¬© 1993 IEEE</t>
  </si>
  <si>
    <t>739-746</t>
  </si>
  <si>
    <t>60022134;60022134;60022134</t>
  </si>
  <si>
    <t>6505864225;6603134822;57214665461</t>
  </si>
  <si>
    <t>Toftg√•rd, J‚àÖrn;Hornsleth, Sten N.;Andersen, J‚äòrgen Bach</t>
  </si>
  <si>
    <t>Aalborg</t>
  </si>
  <si>
    <t>Aalborg University</t>
  </si>
  <si>
    <t>Toftg√•rd J.</t>
  </si>
  <si>
    <t>Effects on Portable Antennas of the Presence of a Person</t>
  </si>
  <si>
    <t>10.1109/8.250451</t>
  </si>
  <si>
    <t>2-s2.0-0027617782</t>
  </si>
  <si>
    <t>['transfer power', 'related problems', 'proper choice', 'nearfield region', 'local enhancements', 'leaky wave', 'hyperthermic heating', 'central part', 'cancer therapy', 'calculated results', 'biological hazards', 'aperture antenna', '15 db']</t>
  </si>
  <si>
    <t>It is demonstrated that an aperture antenna, excited by a leaky wave, will transfer power into an homogeneous lossy halfspace at levels exceeding expectation. However, such local enhancements are only possible in the nearfield region in the central part of the array. Nevertheless, with the proper choice of parameters, enhancements of the order of 15 dB can be achieved. The calculated results are relevant to hyperthermic heating in cancer therapy and to related problems in biological hazards. ¬© 1993 IEEE</t>
  </si>
  <si>
    <t>723-726</t>
  </si>
  <si>
    <t>Enhanced Electromagnetic Power Deposition in a Lossy Medium</t>
  </si>
  <si>
    <t>10.1109/8.250448</t>
  </si>
  <si>
    <t>2-s2.0-0027617927</t>
  </si>
  <si>
    <t>['wiley company', 'phases appropriately', 'phase relationship', 'output stage', 'one obtained', 'mutual coupling', 'inc .,', 'high accuracy', 'found possible', 'elements increases', 'butler matrix']</t>
  </si>
  <si>
    <t>Airborne collision avoidance system | Butler matrix | circular array | direction measurement | mutual coupling of antennas | phased array</t>
  </si>
  <si>
    <t>For an airborne collision avoidance system, it is necessary to measure the directions of other aircraft in the vicinity with high accuracy. As one of the methods for such a purpose, a method was studied in which a small circular array and Butler matrix are combined. In such a case, the mutual coupling between the elements increases. However, by adjusting the phases appropriately, it is found possible to maintain a phase relationship in the same way as in the case without mutual coupling. Also, an angular measurement method was proposed in which the outputs of the Butler matrix are combined at the output stage. It was found that the accuracy is close to the one obtained in the maximum likelihood estimator while the circuit is simple. Copyright ¬© 1993 Wiley Periodicals, Inc., A Wiley Company</t>
  </si>
  <si>
    <t>101-110</t>
  </si>
  <si>
    <t>60009514;60009514;60009514</t>
  </si>
  <si>
    <t>7103049840;36838820800;7006382343</t>
  </si>
  <si>
    <t>Shirakawa, Masayuki;Fukuda, Yutaka;Ozeki, Shigeru</t>
  </si>
  <si>
    <t>Chofu</t>
  </si>
  <si>
    <t>Electronic Navigation Research Institute</t>
  </si>
  <si>
    <t>Shirakawa M.</t>
  </si>
  <si>
    <t>Measurement of angle of arrival by small circular array antenna for aircraft</t>
  </si>
  <si>
    <t>10.1002/ecja.4410760610</t>
  </si>
  <si>
    <t>2-s2.0-0027618018</t>
  </si>
  <si>
    <t>['¬© 1993', 'system output', 'signal cancellation', 'rights reserved', 'electrical engineers', 'adding back']</t>
  </si>
  <si>
    <t>Adaptive arrays | Antenna arrays</t>
  </si>
  <si>
    <t>The problem of signal cancellation in partially adaptive arrays can be avoided by using a fast source separation algorithm to track individual sources in the environment and adding back the desired signal component to the system output if the latter is detected to have been cancelled. ¬© 1993, The Institution of Electrical Engineers. All rights reserved.</t>
  </si>
  <si>
    <t>1061-1062</t>
  </si>
  <si>
    <t>60017161;60017161</t>
  </si>
  <si>
    <t>7202596473;7501412310</t>
  </si>
  <si>
    <t>Ko, C. C.;Wu, Z. Y.</t>
  </si>
  <si>
    <t>Fast algorithm for avoiding incidental cancellation problems in partially adaptive arrays</t>
  </si>
  <si>
    <t>10.1049/el:19930709</t>
  </si>
  <si>
    <t>2-s2.0-0027618036</t>
  </si>
  <si>
    <t>['¬© 1993', 'rights reserved', 'resonance frequency', 'even modes', 'electrical engineers', 'dominant odd', 'accurate technique']</t>
  </si>
  <si>
    <t>Elliptical resonators | Microstrip antennas</t>
  </si>
  <si>
    <t>A simple and accurate technique is presented for obtaining the resonance frequency of the dominant odd and even modes of elliptical microstrip antennas and resonators. This method is validated by experiment. A previously published method is found to be inaccurate. ¬© 1993, The Institution of Electrical Engineers. All rights reserved.</t>
  </si>
  <si>
    <t>1066-1067</t>
  </si>
  <si>
    <t>Rengarajan, S. R.</t>
  </si>
  <si>
    <t>Northridge</t>
  </si>
  <si>
    <t>California State University, Northridge</t>
  </si>
  <si>
    <t>Resonance frequency of elliptical microstrip antennas</t>
  </si>
  <si>
    <t>10.1049/el:19930712</t>
  </si>
  <si>
    <t>2-s2.0-0027618147</t>
  </si>
  <si>
    <t>['signals suffer', 'range resolution', 'phase weights', 'noise ratio', 'greatly reduced', 'array output', 'array increased', 'array dispersion']</t>
  </si>
  <si>
    <t>Phased-array antennas used in radars to transmit broadband linear frequency modulated (LFM) signals suffer from array dispersion. Array dispersion causes decreases in the matched filter signal-to-noise ratio and the range resolution of the radar. By allowing the phase weights to vary in time the amount of array dispersion can be greatly reduced and the useful instantaneous bandwidth of the array increased. Results are presented for the array output and matched filter response for a linear array using time-varying phase weights and are compared with a traditional phased array. ¬© 1993 IEEE</t>
  </si>
  <si>
    <t>1046-1050</t>
  </si>
  <si>
    <t>Plumb, Richard G.</t>
  </si>
  <si>
    <t>Lawrence</t>
  </si>
  <si>
    <t>University of Kansas</t>
  </si>
  <si>
    <t>Plumb R.</t>
  </si>
  <si>
    <t>Matched Filter Response of a Linear Array with Time-Varying Phase Weights</t>
  </si>
  <si>
    <t>10.1109/7.220953</t>
  </si>
  <si>
    <t>2-s2.0-0027623780</t>
  </si>
  <si>
    <t>['¬© 1993', 'yaw axis', 'tethered systems', 'tether would', 'system connected', 'sufficient distance', 'structural data', 'small enough', 'size limitations', 'shell apex', 'scale model', 'sage publications', 'rights reserved', 'real antenna', 'pro posed', 'orbital altitude', 'orbit experiment', 'obtained based', 'nominally deployed', 'inertial characteristics', 'inertia ratio', 'gravitational stabilization', 'flexible tether', 'directly scaled', 'control gains', 'antenna along', 'also studied', 'accommodated within']</t>
  </si>
  <si>
    <t>Tethered systems can be used to change the geometry and inertial characteristics of space structural systems to meet the gravity gradient stability requirements. The control law design for an orbiting shallow spherical shell (antenna/reflector) system connected by a massive and flexible tether to a subsatellite is investigated in this article. The subsatellite is nominally deployed below the antenna along the yaw axis at a sufficient distance to provide a favorable composite moment of inertia ratio for gravitational stabilization. It is assumed that the tether would be deployed through the end of a rigid boom attached to the shell apex. The tension control strategy is used for stationkeeping and deployment and the control gains are obtained based on the structural data for a future proposed real space antenna/reflector. In order to prove the feasibility of this concept, a test scale model for an in-orbit experiment is also studied. The scale model should be small enough so that it could be accommodated within the volume and size limitations of the space shuttle cargo bay. Since the or bital angular velocity (determined by the orbital altitude of the space shuttle), tether diameter, etc. may not be directly scaled, the control gains will be adjusted to fit the requirements for the scale model. Furthermore, during the deployment, the real control gains will be adjusted to the change of the length of the tether and the deployed tether mass. Therefore, the control law gains for the pro posed in-orbit experiment scale model would be synthesized in a piece-wise adaptive manner. Nu merical results are presented both for the real antenna as well as for the proposed in-orbit (test) scale model. ¬© 1993, Sage Publications. All rights reserved.</t>
  </si>
  <si>
    <t>343-353</t>
  </si>
  <si>
    <t>1045389X</t>
  </si>
  <si>
    <t>Journal of Intelligent Material Systems and Structures</t>
  </si>
  <si>
    <t>60012771;60012771</t>
  </si>
  <si>
    <t>55706938300;7006209371</t>
  </si>
  <si>
    <t>Li, Zhong;Bainum, Peter M.</t>
  </si>
  <si>
    <t>Howard University</t>
  </si>
  <si>
    <t>Li Z.</t>
  </si>
  <si>
    <t>On the Development of Control Laws for an Orbiting Tethered Antenna/Reflector System Test Scale Model</t>
  </si>
  <si>
    <t>10.1177/1045389X9300400307</t>
  </si>
  <si>
    <t>2-s2.0-0027624380</t>
  </si>
  <si>
    <t>['power combiner', 'mesfet two', 'mesfet combiner', 'measured results', 'g circuit', 'also presented', '33 ghz', '06 w']</t>
  </si>
  <si>
    <t>g circuit that forms a single resonant structure from many active devices is introduced. A large signal analysis of this power combiner was performed. Based on these results, a two- and a nine-MESFET two-dimensional combiner driving two- and nine-patch antenna elements, respectively, were designed and fabricated. Measured results are also presented. An effective radiated power of 6.06 W at 7.33 GHz was obtained from the nine-MESFET combiner. ¬© 1993 IEEE</t>
  </si>
  <si>
    <t>214-216</t>
  </si>
  <si>
    <t>60022144;60022144</t>
  </si>
  <si>
    <t>7006858788;6602286634</t>
  </si>
  <si>
    <t>Mortazawi, Amir;De Loach, Bernard C.</t>
  </si>
  <si>
    <t>Mortazawi A.</t>
  </si>
  <si>
    <t>A Nine-MESFET Two-Dimensional Power-Combining Array Employing an Extended Resonance Technique</t>
  </si>
  <si>
    <t>10.1109/75.222779</t>
  </si>
  <si>
    <t>2-s2.0-0027625609</t>
  </si>
  <si>
    <t>['wiley company', 'inc .,', 'good agreement']</t>
  </si>
  <si>
    <t>Antennas | microstrip | resonant frequency | triangular</t>
  </si>
  <si>
    <t>A new very simple effective side length and effective relative dielectric constant expressions are presented for a triangular microstrip antenna. The theoretical resonant‚Äêfrequency results obtained from the magnetic wall cavity model with this new effective side length and effective relative dielectric constant expressions are in very good agreement with experimental results available in the literature. ¬© 1993 John Wiley &amp; Sons, Inc. Copyright ¬© 1993 Wiley Periodicals, Inc., A Wiley Company</t>
  </si>
  <si>
    <t>555-557</t>
  </si>
  <si>
    <t>G√ºney, K.</t>
  </si>
  <si>
    <t>Resonant frequency of a triangular microstrip antenna</t>
  </si>
  <si>
    <t>10.1002/mop.4650060913</t>
  </si>
  <si>
    <t>2-s2.0-0027625955</t>
  </si>
  <si>
    <t>['wiley company', 'tm12 mode', 'studied using', 'side lobes', 'ring antenna', 'results show', 'optimized performance', 'inc .,', 'high gain', 'easily extendable', 'better performance', 'array synthesis']</t>
  </si>
  <si>
    <t>Microstrip | modes | optimization substrate | ring antenna</t>
  </si>
  <si>
    <t>Theoretical formulation using the Green's function in conjunction with the reflection coefficient matrix approach (instead of potentials) is used for calculations of fields of microstrip ring antennas. Different TM modes are studied using the magnetic cavity wall model for obtaining ring sheet currents. The results show that the ring antenna is superior to disk and rectangular patch antennas and has optimized performance for the TM12 mode, with a substrate dielectric constant of 6 with high gain, broad lobe width and no side lobes. The better performance at higher r may be of importance for array synthesis in MMIC. The theoretical approach used is simpler for calculation and is easily extendable to other situations and higher substrate thicknesses. ¬© 1993 John Wiley &amp; Sons, Inc. Copyright ¬© 1993 Wiley Periodicals, Inc., A Wiley Company</t>
  </si>
  <si>
    <t>541-545</t>
  </si>
  <si>
    <t>60031475;60031475;60031475</t>
  </si>
  <si>
    <t>57216226486;57203693397;7003630464</t>
  </si>
  <si>
    <t>Iyer, S. M.Vaitheeswaran;Joshi, A. W.;Karekar, R. N.</t>
  </si>
  <si>
    <t>Pune</t>
  </si>
  <si>
    <t>Savitribai Phule Pune University</t>
  </si>
  <si>
    <t>Iyer S.M.V.</t>
  </si>
  <si>
    <t>Optimization of substrate dielectric and mode of microstrip ring antenna for high efficiency and directivity</t>
  </si>
  <si>
    <t>10.1002/mop.4650060909</t>
  </si>
  <si>
    <t>2-s2.0-0027626172</t>
  </si>
  <si>
    <t>['severely degrade', 'severe reduction', 'instrument approaches', 'ils system', 'earth wetness', 'certain combinations']</t>
  </si>
  <si>
    <t>The null-reference instrument landing system (ILS) uses a horizontally polarized antenna on a tower to produce an elevation angle null which forms the VHF glide slope signal used in instrument approaches to a runway. Under certain combinations of snow and earth wetness, there is a severe reduction in the amplitude of the ground reflected signal component. This can severely degrade the glide slope null and thus the ILS system. ¬© 1993 IEEE</t>
  </si>
  <si>
    <t>1030-1035</t>
  </si>
  <si>
    <t>Walton, Eric K.</t>
  </si>
  <si>
    <t>Walton E.</t>
  </si>
  <si>
    <t>Effect of Wet Snow on the Null-Reference ILS System</t>
  </si>
  <si>
    <t>10.1109/7.220950</t>
  </si>
  <si>
    <t>2-s2.0-0027626269</t>
  </si>
  <si>
    <t>AASERT-DAAL03-92-G-0057</t>
  </si>
  <si>
    <t>['silicon lens', 'results represent', 'receiver consists', 'planar 0', 'noise temperature', 'monolithic receiver', 'infrared frequencies', 'best performance', '761 ghz', '0 db']</t>
  </si>
  <si>
    <t>A wide-band planar integrated heterodyne receiver has been developed for use at submillimeter-wave to far-infrared frequencies. The receiver consists of a log-periodic antenna integrated with a planar 0.8-Œº m GaAs Schottky diode. The monolithic receiver is placed on a silicon lens and has a measured room temperature double side-band conversion loss and noise temperature of 14.9 ¬± 1.0 dB and 8900 ¬± 500 K, respectively, at 761 GHz. These results represent the best performance to date for room temperature integrated receivers at this frequency. ¬© 1993 IEEE</t>
  </si>
  <si>
    <t>205-207</t>
  </si>
  <si>
    <t>60025778;60025778;60021918;60021918;60021918</t>
  </si>
  <si>
    <t>56969315500;57211614875;57170113800;57169851200;35502419000</t>
  </si>
  <si>
    <t>Gearhar, Steven S.;Rebeiz, Gabriel M.;Hesler, Jeffrey;Bishop, William L.;Crowe, Thomas W.</t>
  </si>
  <si>
    <t>Gearhar S.S.</t>
  </si>
  <si>
    <t>A Wide-Band 760-GHz Planar Integrated Schottky Receiver</t>
  </si>
  <si>
    <t>10.1109/75.222776</t>
  </si>
  <si>
    <t>2-s2.0-0027626790</t>
  </si>
  <si>
    <t>['¬© asce', 'surface accuracy', 'structural errors', 'structural elements', 'stochastic errors', 'statistical shape', 'statically determinate', 'space structures', 'shape distortions', 'sensitivity analysis', 'results show', 'present approach', 'paper presents', 'paper give', 'numerical examples', 'members contributing', 'longitudinal elements', 'length tolerances', 'length errors', 'indeterminate two', 'formulas presented', 'effective approach', 'distortion analysis', 'adjoint method']</t>
  </si>
  <si>
    <t>This paper presents a statistical sensitivity analysis for shape distortions of space structures. The approach is based on a statistical shape-distortion analysis on the structural errors and an adjoint method of sensitivity analysis. The statistical shape-distortion analysis allows the stochastic errors to be represented by member-length tolerances. The sensitivity analysis is performed to predict the effects of member-length errors for lattice space antennas on the surface accuracy. The formulas presented in this paper give an effective approach to predict the effects of member-length errors on the shape distortions, to obtain effective structural elements to correct the shape distortions, and to design tolerance errors of the structural elements. Numerical examples for statically determinate and indeterminate two-dimensional truss beams have been demonstrated to identify the members contributing most to the errors. These results show that the errors of the longitudinal elements of the structure are important for designing accurate truss structures. Moreover, the validity and effectiveness of the present approach have been investigated. ¬© ASCE.</t>
  </si>
  <si>
    <t>236-248</t>
  </si>
  <si>
    <t>Furuya, Hiroshi</t>
  </si>
  <si>
    <t>Furuya H.</t>
  </si>
  <si>
    <t>Statistical sensitivity analysis of lattice space structures</t>
  </si>
  <si>
    <t>10.1061/(ASCE)0893-1321(1993)6:3(236)</t>
  </si>
  <si>
    <t>2-s2.0-0027627683</t>
  </si>
  <si>
    <t>['vsat terminals', 'vsat systems', 'vsat standards', 'used extensively', 'technical considerations', 'special regulations', 'relevant portion', 'radio spectrum', 'paper traces', 'orbit plan', 'minimum size', 'large numbers', 'heavy demand', 'geostationary orbit', 'fcc devised', 'establish limits', 'controlling interference', 'conforming systems', 'compatible operation', 'brief review', 'antenna discrimination', 'also provided']</t>
  </si>
  <si>
    <t>Satellite | Satellite regulation | VSAT standards</t>
  </si>
  <si>
    <t>During the 1980s, when satellite communication systems and applications experienced significant growth, the Federal Communications Commission (FCC) in the U.S. recognized that special regulations were required for the licensing and operation of VSAT systems in order to maintain efficient use of the radio spectrum and geostationary orbit (GSO) and to expedite the authorization of VSAT networks featuring large numbers of earth‚Äêstations. The FSS allocated frequency bands, which are used extensively by domestic satellite communication systems in the U.S. and throughout Region 2, are in the 4‚Äì6 GHz and 12‚Äì14 GHz bands. In order to satisfy the heavy demand in the U.S. for fixed satellite services in these bands, the FCC devised an orbit plan of two degrees spacing between satellites in the relevant portion of the GSO. In a co‚Äêcoverage environment, the two most important technical factors for controlling interference between neighbouring satellite systems are (1) earth‚Äêstation antenna discrimination and (2) cross‚Äêpolarization. Since VSAT systems, by definition, use very small aperture terminals with relatively low levels of antenna discrimination, it was necessary to establish limits for transmit power flux densities and the minimum size of antennas. These limits, based on compatible operation at two‚Äêdegree satellite orbit separations, evolved into VSAT standards for the U.S. domestic satellite industry. To expedite the licensing of large numbers of VSAT terminals, conforming systems were given ‚Äòblanket authorizations‚Äô for all VSATs in a network. This paper traces the history of the development of VSAT standards in the U.S. and discusses the technical considerations which were used in these developments. A brief review of receive‚Äêonly (RO) terminals is also provided. Copyright ¬© 1993 John Wiley &amp; Sons, Ltd.</t>
  </si>
  <si>
    <t>195-200</t>
  </si>
  <si>
    <t>July/August 1993</t>
  </si>
  <si>
    <t>117241373;60014300</t>
  </si>
  <si>
    <t>55416589100;6603243567</t>
  </si>
  <si>
    <t>Mitchell, Michael W.;Hedinger, Robert A.</t>
  </si>
  <si>
    <t>San Antonio;Vienna</t>
  </si>
  <si>
    <t>AT&amp;T Inc.;Consultant</t>
  </si>
  <si>
    <t>60014300;117241373</t>
  </si>
  <si>
    <t>Mitchell M.</t>
  </si>
  <si>
    <t>The development of VSAT performance standards in the United States of America</t>
  </si>
  <si>
    <t>10.1002/sat.4600110406</t>
  </si>
  <si>
    <t>2-s2.0-0027627977</t>
  </si>
  <si>
    <t>['¬© 1993', 'results showed', 'large errors', 'large due', 'japan society', 'increased vertically', 'ideal orbit', 'electron beam', 'decreased horizontally', 'calibrated using', 'beam size', 'beam position', 'applied physics']</t>
  </si>
  <si>
    <t>Beam size | BPM | Calibration | COD | Electron synchrotron</t>
  </si>
  <si>
    <t>A beam position monitor was used to measure beam position in an accelerator. The monitor was calibrated using an antenna with a 2 mm diameter to simulate an electron beam. However, the beam was large due to horizontal multiturn injection. Therefore, the measurements of beam position were affected by beam size, and measurement errors arose. When there were large errors, it was difficult to correct closed orbit distortion from the ideal orbit and to improve the performance of the accelerator. The effect of beam size on the measurements was simulated by means of the boundary element method. The results showed that beam position measured with monitors was increased vertically and decreased horizontally in relation to the actual beam position. These results were verified by experiments in a synchrotron. ¬© 1993 The Japan Society of Applied Physics.</t>
  </si>
  <si>
    <t>3265-3269</t>
  </si>
  <si>
    <t>7 R</t>
  </si>
  <si>
    <t>60101699;60101699</t>
  </si>
  <si>
    <t>7404044684;35579433600</t>
  </si>
  <si>
    <t>Nakagawa, Takafumi;Nakata, Shuhei</t>
  </si>
  <si>
    <t>Nakagawa T.</t>
  </si>
  <si>
    <t>Effects of Beam Size on Beam Position Measurements Made with Electrostatic Monitors</t>
  </si>
  <si>
    <t>10.1143/JJAP.32.3265</t>
  </si>
  <si>
    <t>2-s2.0-0027628357</t>
  </si>
  <si>
    <t>['specified points', 'sampling formulas', 'real space', 'physical span', 'measurable provided', 'length parameter', 'lattice points', 'interelement spacing', 'finite number', 'far field', 'efficiently reconstructed', 'discrete arrays', 'copyright 1993', 'closed form', 'array factor', 'arbitrary excitations']</t>
  </si>
  <si>
    <t>An extension of the continuous aperture Woodward‚ÄêLawson sampling theorem has been developed for a finite linear array of equidistant identical elements with arbitrary excitations. It is shown that by sampling the array factor at a finite number of specified points in the far field, the exact array factor over all space can be efficiently reconstructed in closed form. The specified sample points lie in real space and hence are measurable provided that the interelement spacing is greater than approximately one half of a wavelength. This paper provides insight as to why the length parameter used in the sampling formulas for discrete arrays is larger than the physical span of the lattice points in contrast with the continuous aperture case where the length parameter is precisely the physical aperture length. Copyright 1993 by the American Geophysical Union.</t>
  </si>
  <si>
    <t>481-485</t>
  </si>
  <si>
    <t>July-August 1993</t>
  </si>
  <si>
    <t>Somers, Gary A.</t>
  </si>
  <si>
    <t>Somers G.</t>
  </si>
  <si>
    <t>A proof of the Woodward‚ÄêLawson sampling method for a finite linear array</t>
  </si>
  <si>
    <t>10.1029/93RS00591</t>
  </si>
  <si>
    <t>2-s2.0-0027628933</t>
  </si>
  <si>
    <t>Department of Electrical and Computer Engineering, University of Texas at Dallas</t>
  </si>
  <si>
    <t>ECE, UTD</t>
  </si>
  <si>
    <t>['nonuniform spacing', 'nonisotropic elements', 'linear arrays']</t>
  </si>
  <si>
    <t>Acoustic array | array synthesis | sonar system</t>
  </si>
  <si>
    <t>In this paper we propose a novel iterative method to synthesize radiation patterns of linear arrays with arbitrary Sidelobe envelopes, with nonisotropic elements, and with nonuniform spacing between elements.Various design examples are presented and compared with other methods.It is shown that the proposed iterative method converges rapidly and yields superior results over other methods.¬© 1993 IEEE</t>
  </si>
  <si>
    <t>280-286</t>
  </si>
  <si>
    <t>An Iterative Method for Array Pattern Synthesis</t>
  </si>
  <si>
    <t>10.1109/JOE.1993.236366</t>
  </si>
  <si>
    <t>2-s2.0-0027628984</t>
  </si>
  <si>
    <t>['within 4', 'time domain', 'statistical comparison', 'spaced antenna', 'significant advantage', 'lower stratosphere', 'june 29', 'july 2', 'frequency domain', 'data analyzed', 'copyright 1993', 'analysis parameters', 'alternative method', '1910 lt', '0950 lt']</t>
  </si>
  <si>
    <t>A statistical comparison of spaced antenna and spatial interferometry methods for estimating horizontal winds in the troposphere and lower stratosphere is presented. The data analyzed were obtained with the middle and upper atmosphere radar from 1910 LT on June 29, 1990, through 0950 LT on July 2, 1990. At all heights, velocity estimates based on frequency domain analysis are within 4% of those based on the time domain analysis. We conclude that frequency domain techniques provide an alternative method for estimating the so‚Äêcalled true velocity. It is not clear, however, that they offer a significant advantage over the time domain methods. Some analysis parameters are easier to extract in the frequency domain, while others can be extracted more easily and efficiently in the time domain. Copyright 1993 by the American Geophysical Union.</t>
  </si>
  <si>
    <t>585-593</t>
  </si>
  <si>
    <t>7005113174;35598897600;57203466193;55398698300;9274833100;35433785500;35425453600</t>
  </si>
  <si>
    <t>Sheppard, E. Lamar;Larsen, M. F.;Palmer, Robert D.;Fukao, Shoichiro;Yamamoto, Mamoru;Tsuda, Toshitaka;Kato, Susumu</t>
  </si>
  <si>
    <t>Sheppard E.L.</t>
  </si>
  <si>
    <t>A statistical comparison of spaced antenna and spatial interferometry wind estimation</t>
  </si>
  <si>
    <t>10.1029/93RS00291</t>
  </si>
  <si>
    <t>2-s2.0-0027629065</t>
  </si>
  <si>
    <t>['theoretical assessment', 'research programme', 'prometheus programme', 'paper provides', 'paper presents', 'marconi radar', 'fondazione u', 'financial support', 'digital link', 'antenna diversity']</t>
  </si>
  <si>
    <t>This paper presents the results of a research programme to investigate short range millimetre wave communications links for road transport telematics applications. The work was carried out by the University of Bologna, the Fondazione U. Bordoni and Marconi Radar and Control Systems Limited. Financial support was provided by PROMETHEUS programme, which is itself a EUREKA research project and the ECC DRIVE programme. The paper provides a theoretical assessment of the effects of multipath as applied to millimetre wave vehicle‚Äêto‚Äêvehicle and vehicle‚Äêto‚Äêroadside communications links. A digital link, based on phase shift keying, is assumed. Performance improvements resulting from the use of both antenna diversity and coding are assessed. Copyright ¬© 1993 John Wiley &amp; Sons, Ltd.</t>
  </si>
  <si>
    <t>403-414</t>
  </si>
  <si>
    <t>1124318X</t>
  </si>
  <si>
    <t>European Transactions on Telecommunications</t>
  </si>
  <si>
    <t>60028218;60028218;60028218;105902931;105197588</t>
  </si>
  <si>
    <t>7003354031;7005447453;7004084969;7004642576;7202192712</t>
  </si>
  <si>
    <t>Andrisano, Oreste;Chiani, Marco;Tralli, Velio;Frullone, Mario;Moss, Colin R.</t>
  </si>
  <si>
    <t>Italy;Italy;United Kingdom</t>
  </si>
  <si>
    <t>Bologna;Pontecchio Marconi;Leicester</t>
  </si>
  <si>
    <t>Alma Mater Studiorum Universit√† di Bologna;Fondazione U. Bordoni;Marconi Radar and Control Systems</t>
  </si>
  <si>
    <t>60028218;105902931;105197588</t>
  </si>
  <si>
    <t>Andrisano O.</t>
  </si>
  <si>
    <t>Millimetre Wave Short Range Communications for Advanced Transport Telematics</t>
  </si>
  <si>
    <t>10.1002/ett.4460040406</t>
  </si>
  <si>
    <t>2-s2.0-0027629138</t>
  </si>
  <si>
    <t>['wider band', 'whistler mode', 'syowa station', 'significant maximum', 'rare phenomenon', 'quiet conditions', 'one third', 'occurrence rate', 'moderate conditions', 'midnight sector', 'lhr hiss', 'january 1983', 'isis satellites', 'isis 2', 'isis 1', 'higher latitudes', 'ground suggests', 'given latitude', 'geomagnetically quiet', 'equatorial plasmapause', 'energetic electrons', 'electric antenna', 'disturbed conditions', 'december 1976', 'copyright 1993', 'completely different', 'also observed', '65 ¬∞.', '64 ¬∞,', '60 ¬∞', '6 khz', '59 ¬∞,', '58 ¬∞', '56 ¬∞', '55 ¬∞', '507 passes', '50 hz', '5 khz', '30 khz']</t>
  </si>
  <si>
    <t>Typical frequency‚Äêtime spectra of narrow‚Äêband hiss obtained near plasmapause latitude from ISIS VLF electric field data (50 Hz to 30 kHz) telemetered at Syowa Station, Antarctica, under quiet conditions, are similar to those of narrow‚Äêband 5‚ÄêkHz hiss observed at mid‚Äêlatitudes and low‚Äêlatitudes on the ground. This hiss in the topside ionosphere first appeared as a thin, bar‚Äêshaped emission around 5 kHz at geomagnetic invariant latitude of about 56¬∞ and grew into a wider band between 3 and 6 kHz at invariant latitudes around 60¬∞ which is the average plasmapause latitude. Then, at higher latitudes, the band narrowed somewhat and disappeared around 65¬∞. The hiss had no lower‚Äêfrequency cutoff, and its center frequency remained approximately constant at 5 kHz, between about 56¬∞ and 65¬∞. This narrow‚Äêband hiss is completely different from the electrostatic LHR hiss which is also observed above the ionosphere with an electric antenna, but which has latitude dependent lower‚Äêfrequency cutoff. Since the narrow‚Äêband 5‚ÄêkHz hiss occurs often around plasmapause latitude (60¬∞), hereafter we will call this hiss narrow‚Äêband plasmapause hiss. Latitude and local time distributions of the occurrence rate for narrow‚Äêband plasmapause hiss were obtained by analyzing six‚Äêfrequency narrow‚Äêband data processed from the wideband VLF signals received at Syowa Station from ISIS 1 and ISIS 2 during 507 passes between December 1976 and January 1983. Although when taken over the whole latitude range, 55¬∞ to 64¬∞, the occurrence rate of narrow‚Äêband plasmapause hiss under various geomagnetic conditions (Kp = 0‚Äì6) is 0.83, the rate at any given latitude is below 0.35. Thus it is rather a rare phenomenon as compared with LHR hiss. The peak occurrence rate lies at 58¬∞ to 59¬∞, under geomagnetically quiet and moderate conditions (Kp = 0‚Äì3) and extends over the somewhat broader range of 56¬∞ to 60¬∞ under disturbed conditions (Kp = 4‚Äì6). The occurrence rate under disturbed conditions is about one third that under quiet and moderate conditions. The magnetic local time (MLT) distribution of the occurrence rate has a significant maximum at 1800‚Äì2100 hours MLT under quiet and moderate conditions, and a maximum at 0000‚Äì0300 hours MLT under disturbed conditions. The similarity between frequency‚Äêtime spectra of narrow‚Äêband hiss observed by the ISIS satellites and on the ground suggests that the narrow‚Äêband hiss generated in the magnetosphere propagates toward the Earth in the whistler mode. The peak occurrence rates of the hiss at invariant latitude 60¬∞ (average plasmapause latitude) in the late evening sector under quiet and moderate conditions, and in the midnight sector under disturbed conditions, suggest that narrow‚Äêband plasmapause hiss is generated by cyclotron resonant instability of energetic electrons which are injected from the magnetotail and drift eastward around the equatorial plasmapause. Copyright 1993 by the American Geophysical Union.</t>
  </si>
  <si>
    <t>629-642</t>
  </si>
  <si>
    <t>Ondoh, T.</t>
  </si>
  <si>
    <t>Ondoh T.</t>
  </si>
  <si>
    <t>Narrow‚Äêband plasmapause hiss observed by ISIS satellites</t>
  </si>
  <si>
    <t>10.1029/93RS00589</t>
  </si>
  <si>
    <t>2-s2.0-0027629239</t>
  </si>
  <si>
    <t>['surface surrounding', 'numerical evaluation', 'method shows', 'known fields', 'fields outside', 'fdtd method', 'calculation volume']</t>
  </si>
  <si>
    <t>A new radiation boundary condition for the FDTD method is presented. It is based on a time-domain integral representation of the fields outside the calculation volume in terms of the known fields on a surface surrounding that volume. Numerical evaluation of the method shows that its performance is superior to that of existing radiation boundary conditions. ¬© 1993 IEEE</t>
  </si>
  <si>
    <t>890-896</t>
  </si>
  <si>
    <t>7003707446;7005517580</t>
  </si>
  <si>
    <t>De Moerloose, J.;De Zutter, D.</t>
  </si>
  <si>
    <t>De Moerloose J.</t>
  </si>
  <si>
    <t>Surface Integral Representation Radiation Boundary Condition for the FDTD Method</t>
  </si>
  <si>
    <t>10.1109/8.237619</t>
  </si>
  <si>
    <t>2-s2.0-0027629273</t>
  </si>
  <si>
    <t>Natural Sciences and Engineering Research Council of Canada</t>
  </si>
  <si>
    <t>NSERC</t>
  </si>
  <si>
    <t>['wavec buoy', 'reasonable 0', 'ohe radar', 'ocean surface', 'numerically inverted', 'mean difference', 'matrix equation', 'inversion algorithm', 'important parameter', 'hf radar', 'basic feasibility']</t>
  </si>
  <si>
    <t>A data interpretation algorithm is developed to extract ocean wave information from HF radar backscatter observed by a narrow-beam antenna system.The basis of this measurement is the inversion of the integral equation representing the second-Order radar cross section of the ocean surface.This equation is numerically inverted by approximating it as a matrix equation and pseudoinverting the kernel matrix using a singular value decomposition.As a test of this algorithm, comparisons are made between wave spectrum estimates obtained from a WAVEC buoy and a pair of 25.4 MHz ground wave radars, using data collected during the 1986 Canadian Atlantic Storms Program (CASP).Overall; the results of this experiment have been positive and have demonstrated both the basic feasibility of the inversion algorithm and the wave sensing capability of HF radar.For example, significant wave height estimates deduced by two radars differed from the buoy, in an absolute value sense, by only 0.12 m on average.When using only ohe radar, the mean difference of this important parameter from the buoy was a reasonable 0.33 m.¬© 1993 IEEE</t>
  </si>
  <si>
    <t>296-305</t>
  </si>
  <si>
    <t>60003122;60189778</t>
  </si>
  <si>
    <t>7201534539;56862729900</t>
  </si>
  <si>
    <t>Howell, Randy;Walsh, John</t>
  </si>
  <si>
    <t>St John's;Victoria</t>
  </si>
  <si>
    <t>C-Core Research Institute;University of Victoria</t>
  </si>
  <si>
    <t>60189778;60003122</t>
  </si>
  <si>
    <t>Howell R.</t>
  </si>
  <si>
    <t>Measurement of Ocean Wave Speetra Using Narrow-Beam HF Radar</t>
  </si>
  <si>
    <t>10.1109/JOE.1993.236368</t>
  </si>
  <si>
    <t>2-s2.0-0027629274</t>
  </si>
  <si>
    <t>JPL956520</t>
  </si>
  <si>
    <t>JPL</t>
  </si>
  <si>
    <t>['wall construction', 'wall building', 'transmitter antenna', 'temporal variability', 'signal indoors', 'severe losses', 'relatively stable', 'reinforced concrete', 'person blocking', 'much structure', 'mounted outdoors', 'mobile home', 'median trough', 'losses showed', 'losses inside', 'losses increased', 'higher power', 'frequency domain', 'direction independent', 'crest distance', 'corrugated sheet', 'average position', 'antenna orientation', 'also exhibited', '6 db', '5 db', '30 cm', '3 db', '1800 mhz', '18 db', '12 db', '10 db', '10 cm']</t>
  </si>
  <si>
    <t>Swept CW signals (from 700 to 1800 MHz) were received inside six buildings of brick, corrugated sheet-metal, wood-frame, mobile-home, and reinforced concrete-wall construction. A transmitter antenna was mounted outdoors on top of an 18 m tower to simulate a satellite, and a linearly scanned directional receiver antenna was used to probe the spatial, spectral, and temporal variability of the signal indoors. Levels were found to have much structure in the spatial and frequency domain, but were relatively stable in time. Typically, people moving nearby produced variations of less than 0.5 dB, whereas a person blocking the transmission path produced fades of 6 to 10 dB. At an average position in a room, losses increased with frequency from 6 to 12 dB, but could be mitigated to just 2 to 6 dB by moving the antenna typically less than 30 cm. Severe losses (17.5 dB, mitigated to 12.5 dB) were observed in the concrete-wall building, which also exhibited the longest multipath delays (&gt;100 ns). Losses inside a mobile home were even larger (&gt;20 dB) and were independent of antenna orientation. The median trough-to-crest distance was near 40 cm; the median trough length decreased from 30 cm at -3 dB to 10 cm at -18 dB and was direction independent. The power-frequency distortion increased with the logarithm of the bandwidth, but could be reduced by moving to a position of higher power. Only the losses showed a clear frequency dependence. ¬© 1993 IEEE</t>
  </si>
  <si>
    <t>954-961</t>
  </si>
  <si>
    <t>60013372;60013372</t>
  </si>
  <si>
    <t>35613152700;6602259678</t>
  </si>
  <si>
    <t>Vogel, Wolfhard J.;Torrence, Geoffrey W.</t>
  </si>
  <si>
    <t>The University of Texas at Austin</t>
  </si>
  <si>
    <t>Vogel W.</t>
  </si>
  <si>
    <t>Propagation Measurements for Satellite Radio Reception Inside Buildings</t>
  </si>
  <si>
    <t>10.1109/8.237628</t>
  </si>
  <si>
    <t>2-s2.0-0027629402</t>
  </si>
  <si>
    <t>['validity ranges', 'tm scattering', 'moment method', 'configuration regardless']</t>
  </si>
  <si>
    <t>An analysis is presented of the scattering by a resistive strip joined to a metallic half plane. Three different solutions are developed, one of which is based on the moment method/Green function approach. The other two are approximations, one of which improves as the resistive strip width decreases whereas the other does the same for large strip widths. Using the moment method solution as a reference, the accuracy of each approximation is examined and guidelines for using them are developed. It is found that the validity ranges of the two approximations overlap, making them suitable for computing the TM scattering of the configuration regardless of the strip's width and resistivity. ¬© 1993 IEEE</t>
  </si>
  <si>
    <t>910-917</t>
  </si>
  <si>
    <t>7003299405;7102576479</t>
  </si>
  <si>
    <t>Kempel, Leo C.;Volakis, John L.</t>
  </si>
  <si>
    <t>Kempel L.</t>
  </si>
  <si>
    <t>TM Scattering by a Metallic Half Plane with a Resistive Sheet Extension</t>
  </si>
  <si>
    <t>10.1109/8.237622</t>
  </si>
  <si>
    <t>2-s2.0-0027629478</t>
  </si>
  <si>
    <t>['type beam', 'stock assessment', 'sidescan sonars', 'sidelobes suppressed', 'possible directions', 'novel array', 'methodologies developed', 'linear arrays', 'fish finding', 'approach uses', 'approach benefits', '40 db']</t>
  </si>
  <si>
    <t>Acoustic array | acoustic telemetry | ring array | sidescan sonar</t>
  </si>
  <si>
    <t>A novel array of elliptic ring radiators is proposed which generates a fan-type beam with controllable sidelobe levels.Such an array has applications in specialized acoustic systems such as sidescan sonars, sonars for fish finding and stock assessment, obstacle avoidance systems, and others.Two possible approaches to the design are presented.One approach utilizes a mapping which transforms a radiation pattern generated by a circular ring array to that of an elliptic ring array.This approach takes advantage of methodologies developed for the design of circular ring arrays.The other approach uses the concept of an equivalent linear array.This approach benefits from existing design techniques developed for linear arrays.It requires only simple matrix operations and does not involve any optimization.The design examples presented demonstrate that a fan-type beam with sidelobes suppressed to more than 40 dB in all possible directions is achievable.¬© 1993 IEEE</t>
  </si>
  <si>
    <t>271-279</t>
  </si>
  <si>
    <t>A Novel Array of Elliptic Ring Radiators</t>
  </si>
  <si>
    <t>10.1109/JOE.1993.236365</t>
  </si>
  <si>
    <t>2-s2.0-0027629479</t>
  </si>
  <si>
    <t>Defence Science and Technology Organisation</t>
  </si>
  <si>
    <t>DSTO</t>
  </si>
  <si>
    <t>['sufficient conditions', 'spatial response', 'previous work', 'parameterized set', 'optimization problem', 'new approach', 'global optimum', 'general nonlinear', 'frequently imposed', 'cubic function', 'coordinate systems', 'convex problems', 'conventional approach', 'constraints corresponding', 'consistently locate']</t>
  </si>
  <si>
    <t>In optimum Broadband antenna processing, conditions are frequently imposed for shaping the frequency and spatial response of the processors. For direct form presteered Broadband processors, frequency response shaping in the look direction results in a linearly constrained optimization problem. However, the constraints corresponding to necessary and sufficient conditions for second-order spatial derivatives to be zero are in general nonlinear and the optimization problem is nonconvex. The conventional approach for this problem is unable to consistently locate the global optimum. In this paper, a new approach is presented for solving this nonlinear constrained optimization problem. The new approach essentially converts the nonconvex optimization problem into a parameterized set of convex problems. In the case of two-dimensional (2-D) scenarios, the global optimum is determined by finding the roots of a cubic function. The paper also examines the characteristics of the constraints, including the minimum number required and the dependence on the choice of coordinate systems. Previous work on second-order derivative constraints has proposed linear constraints which are coordinate system dependent. ¬© 1993 IEEE</t>
  </si>
  <si>
    <t>2376-2388</t>
  </si>
  <si>
    <t>60031226;60031226;60031226;60031226</t>
  </si>
  <si>
    <t>56838263700;6603637742;7005144794;56220381700</t>
  </si>
  <si>
    <t>Arrays, Antenna;Thng, Ian;Cantoni, Antonio;Leung, Yee Hong</t>
  </si>
  <si>
    <t>Arrays A.</t>
  </si>
  <si>
    <t>Derivative Constrained Optimum Broadband</t>
  </si>
  <si>
    <t>10.1109/78.224247</t>
  </si>
  <si>
    <t>2-s2.0-0027629503</t>
  </si>
  <si>
    <t>['wall thickness', 'testing functions', 'rectangular waveguide', 'normalized resistance', 'measured data', 'infinite height', 'grating lobes', 'excellent agreement', 'described whereby']</t>
  </si>
  <si>
    <t>The characteristics of a radiating rectangular transverse slot in a rectangular waveguide have been studied. A moment method solution is used with entire basis expansion and testing functions (Galerkin) including the effect of wall thickness. The results are presented in terms of normalized resistance and reactance versus slot length and frequency. Excellent agreement with a previous pulse basis solution is found, as well as with measured data. An array of resonantly spaced transverse slots radiates large grating lobes. In the paper a spatial filter using baffles is described whereby the grating lobes are suppressed. The effect of the baffles on the transverse slot impedance is analyzed for the case of baffles with infinite height. ¬© 1993 IEEE</t>
  </si>
  <si>
    <t>845-850</t>
  </si>
  <si>
    <t>Josefsson, Lars</t>
  </si>
  <si>
    <t>Stockholm</t>
  </si>
  <si>
    <t>Ericsson Radio Systems AB</t>
  </si>
  <si>
    <t>Josefsson L.</t>
  </si>
  <si>
    <t>A Waveguide Transverse Slot for Array Applications</t>
  </si>
  <si>
    <t>10.1109/8.237613</t>
  </si>
  <si>
    <t>2-s2.0-0027629509</t>
  </si>
  <si>
    <t>['usable antennas', 'two methods', 'temperature superconductors', 'substrates compatible', 'substantial improvement', 'substantial amount', 'recent discovery', 'published models', 'normal metals', 'narrow bandwidths', 'high permittivity', 'directly coupled', 'antennas suffer']</t>
  </si>
  <si>
    <t>The recent discovery of high-temperature superconductors (HTS's) has generated a substantial amount of interest in microstrip antenna applications. However, the high permittivity of substrates compatible with HTS causes difficulty in feeding such antennas because of the high patch edge impedance. In this paper, two methods for feeding HTS microstrip antennas at K and Ka-band are examined. Superconducting microstrip antennas that are directly coupled and gap-coupled to a microstrip transmission line have been designed and fabricated on lanthanum aluminate substrates using Y-Ba-Cu-O superconducting thin films. Measurements from these antennas, including input impedance, bandwidth, efficiency, and patterns, are presented and compared with published models. The measured results demonstrate that usable antennas can be constructed using either of these architectures, although the antennas suffer from narrow bandwidths. In each case, the HTS antenna shows a substantial improvement over an identical antenna made with normal metals. ¬© 1993 IEEE</t>
  </si>
  <si>
    <t>967-974</t>
  </si>
  <si>
    <t>60026717;60026717;60000305</t>
  </si>
  <si>
    <t>7201417483;7006626132;6603757979</t>
  </si>
  <si>
    <t>Richard, M. A.;Bhasin, K. B.;Claspy, P. C.</t>
  </si>
  <si>
    <t>Cleveland;Cleveland</t>
  </si>
  <si>
    <t>NASA Glenn Research Center;Case Western Reserve University</t>
  </si>
  <si>
    <t>60026717;60000305</t>
  </si>
  <si>
    <t>Richard M.</t>
  </si>
  <si>
    <t>Superconducting Microstrip Antennas: An Experimental Comparison of Two Feeding Methods</t>
  </si>
  <si>
    <t>10.1109/8.237630</t>
  </si>
  <si>
    <t>2-s2.0-0027629552</t>
  </si>
  <si>
    <t>['wiley company', 'optimization systems', 'lms method', 'inc .,', 'guiding principles', 'guiding principle', 'general concept', 'feedback based', 'dcmp method', 'convergence speed', 'convergence characteristics', 'control methods', 'control characteristics', 'control algorithm', 'cma method', 'adaptive antenna']</t>
  </si>
  <si>
    <t>Adaptive antennas | convergence characteristics | intelligent antennas | optimization algorithms</t>
  </si>
  <si>
    <t>The problem of control methods as the basics of the adaptive antenna is discussed. First, the general concept of the guiding principle and control algorithm is introduced. Next, the relationships between the guiding principles and corresponding control algorithms are explained for the LMS method, H‚ÄêA method, DCMP method, and CMA method. With respect to the first three methods, the control characteristics of the optimization systems by the feedback based on the steepest descent method are analyzed. Several factors governing the convergence speed are pointed out. The use of several algorithms intended to improve the convergence characteristics, where they came from and where they will develop are discussed. Copyright ¬© 1993 Wiley Periodicals, Inc., A Wiley Company</t>
  </si>
  <si>
    <t>110-118</t>
  </si>
  <si>
    <t>Takao, Kazuaki</t>
  </si>
  <si>
    <t>Takao K.</t>
  </si>
  <si>
    <t>Overview of the theory of adaptive antennas</t>
  </si>
  <si>
    <t>10.1002/ecja.4410760712</t>
  </si>
  <si>
    <t>2-s2.0-0027629802</t>
  </si>
  <si>
    <t>['transient illumination', 'specific geometry', 'permeability tensors', 'necessary extension', 'method stems', 'harmonic analysis', 'fdtd equations', 'excellent agreement', 'either isotropic', 'direct solution', 'difference time', 'diagonal permittivity', 'constitutive parameters']</t>
  </si>
  <si>
    <t>The finite-difference time-domain (FDTD) method has received considerable attention recently. The popularity of this method stems from the fact that it is not limited to a specific geometry and it does not restrict the constitutive parameters of a scatterer. Furthermore, it provides a direct solution to problems with transient illumination, but can also be used for harmonic analysis. However, researchers have limited their investigations to materials that are either isotropic or that have diagonal permittivity, conductivity, and permeability tensors. In this paper, we derive the necessary extension to the FDTD equations to accommodate nondiagonal tensors. Excellent agreement between FDTD and exact analytic results is obtained for a one-dimensional anisotropic scatterer. ¬© 1993 IEEE</t>
  </si>
  <si>
    <t>994-999</t>
  </si>
  <si>
    <t>60018208;60018208</t>
  </si>
  <si>
    <t>7404422146;56838479400</t>
  </si>
  <si>
    <t>Schneider, John;Hudson, Scott</t>
  </si>
  <si>
    <t>Pullman</t>
  </si>
  <si>
    <t>Washington State University Pullman</t>
  </si>
  <si>
    <t>Schneider J.</t>
  </si>
  <si>
    <t>The Finite-Difference Time-Domain Method Applied to Anisotropic Material</t>
  </si>
  <si>
    <t>10.1109/8.237636</t>
  </si>
  <si>
    <t>2-s2.0-0027629836</t>
  </si>
  <si>
    <t>['¬© 1993', 'time domain', 'te770 mode', 'rights reserved', 'modelling domain', 'finite difference', 'electrical engineers', 'couple power']</t>
  </si>
  <si>
    <t>Antenna arrays | Helical antennas</t>
  </si>
  <si>
    <t>The design of an overmoded cavity backed helical array by using the FD-TD (finite difference-time domain) method is described. A resonant cavity designed to operate in the TE770 mode is used to couple power to a 16 element helical array. To reduce the computational requirements several approximations are used to characterise the helix in the 3-D modelling domain. ¬© 1993, The Institution of Electrical Engineers. All rights reserved.</t>
  </si>
  <si>
    <t>1378-1380</t>
  </si>
  <si>
    <t>118838998;60011520</t>
  </si>
  <si>
    <t>6602292347;7402366865</t>
  </si>
  <si>
    <t>Chana, S. S.;Turner, C. W.</t>
  </si>
  <si>
    <t>United Kingdom;United States</t>
  </si>
  <si>
    <t>London;</t>
  </si>
  <si>
    <t>King's College London;British Aerospace Defence (Dynamics)</t>
  </si>
  <si>
    <t>60011520;118838998</t>
  </si>
  <si>
    <t>Chana S.</t>
  </si>
  <si>
    <t>Computer aided design of an overmoded cavity-backed helical antenna array</t>
  </si>
  <si>
    <t>10.1049/el:19930923</t>
  </si>
  <si>
    <t>2-s2.0-0027629953</t>
  </si>
  <si>
    <t>['¬© 1993', 'tem modes', 'step junctions', 'simple structure', 'rights reserved', 'power dividers', 'numerical simulation', 'mode slot', 'known array', 'electrical engineers', 'directional couplers']</t>
  </si>
  <si>
    <t>Antenna arrays | Antenna radiation patterns</t>
  </si>
  <si>
    <t>The results of numerical simulation are presented for an array of two-mode slot-coupled parallel plate waveguides excited by TEM modes through dominant mode waveguides and two-step junctions. It is shown that flat-topped element patterns formed by this simple structure are no worse than those of a known array with power dividers and directional couplers. ¬© 1993, The Institution of Electrical Engineers. All rights reserved.</t>
  </si>
  <si>
    <t>1326-1327</t>
  </si>
  <si>
    <t>101435394;101435394</t>
  </si>
  <si>
    <t>7004164152;6507754010</t>
  </si>
  <si>
    <t>Skobelev, S. P.;Vyazigin, A. S.</t>
  </si>
  <si>
    <t>RadioPhysics RI</t>
  </si>
  <si>
    <t>Forming flat-topped element patterns in antenna arrays of two-mode waveguides</t>
  </si>
  <si>
    <t>10.1049/el:19930889</t>
  </si>
  <si>
    <t>2-s2.0-0027630066</t>
  </si>
  <si>
    <t>['wave coupled', 'spherical waves', 'section cavities', 'rectangular cross', 'parallel rays', 'modal analysis', 'method including', 'incoming wave', 'greater flexibility', 'go ).', 'geometrical optics', 'geometric modeling', 'dimensional problems', 'different bundle', 'computational cost', 'brief description', 'aperture discretization', 'agree well']</t>
  </si>
  <si>
    <t>The problem of electromagnetic (EM) scattering by metallic open cavities is addressed here using a generalized ray expansion (GRE) method. The wave coupled into the cavity is modeled as a combination of a number of spherical waves, the propagation of such waves being described in terms of geometrical optics (GO). A brief description of the method including some details about aperture discretization as well as results for three-dimensional problems such as circular and rectangular cross-section cavities are presented. The GRE method gives results that agree well with those of modal analysis and allow, like ray methods, for greater flexibility in geometric modeling. Furthermore, the ray-tracing process must be done only once for different incident waves, so its computational cost is lower than that of the classic ray methods, where the incoming wave is described as a different bundle of parallel rays for each direction of incidence. ¬© 1993 IEEE</t>
  </si>
  <si>
    <t>989-992</t>
  </si>
  <si>
    <t>60026134;60026134;60026134</t>
  </si>
  <si>
    <t>7006386299;7003784434;7404696540</t>
  </si>
  <si>
    <t>Garcia-Pino, Antonio;Obelleiro, Fernando;Rodriguez, Jose Luis</t>
  </si>
  <si>
    <t>Vigo</t>
  </si>
  <si>
    <t>Universidade de Vigo</t>
  </si>
  <si>
    <t>Garcia-Pino A.</t>
  </si>
  <si>
    <t>Scattering from Conducting Open Cavities by Generalized Ray Expansion (GRE)</t>
  </si>
  <si>
    <t>10.1109/8.237634</t>
  </si>
  <si>
    <t>2-s2.0-0027631995</t>
  </si>
  <si>
    <t>['ray optics', 'position predicted', 'plane waves', 'paraxial approximation', 'parallel polarizations', 'new method', 'lateral shift', 'ground plane', 'ferrite measurement', 'circuited slab', 'beam field', 'beam axis', 'approximate formulas']</t>
  </si>
  <si>
    <t>The plane wave spectrum analysis is extended to the study of three-dimensional Gaussian beam propagation and scattering. The reflection of a three-dimensional circular Gaussian beam from a parallel-sided ferrite slab, backed by a ground plane, is then investigated. The beam field is represented by an angular continuous spectrum of plane waves. Using the Fresnel reflection coefficients of the short-circuited slab for both perpendicular and parallel polarizations, a paraxial approximation for the reflected beam field is derived. It is found that after reflection from the short-circuited slab, the circular Gaussian beam becomes, in general, an elliptical Gaussian beam, in addition to a displacement of the beam axis from the position predicted by ray optics. For the thin slab case, approximate formulas for the phase center difference and the lateral shift are determined. The relevance of these results to a new method of ferrite measurement is explained. ¬© 1993 IEEE</t>
  </si>
  <si>
    <t>962-966</t>
  </si>
  <si>
    <t>60013983;60022148</t>
  </si>
  <si>
    <t>55510527400;7102518738</t>
  </si>
  <si>
    <t>Luk, K. M.;Cullen, A. L.</t>
  </si>
  <si>
    <t>United Kingdom;Hong Kong</t>
  </si>
  <si>
    <t>London;Kowloon</t>
  </si>
  <si>
    <t>University College London;City University of Hong Kong</t>
  </si>
  <si>
    <t>60022148;60013983</t>
  </si>
  <si>
    <t>Luk K.</t>
  </si>
  <si>
    <t>Three-Dimensional Gaussian Beam Reflection from Short-Circuited Isotropic Ferrite Slab</t>
  </si>
  <si>
    <t>10.1109/8.237629</t>
  </si>
  <si>
    <t>2-s2.0-0027632062</t>
  </si>
  <si>
    <t>['¬© 1993', 'voice quality', 'viterbi decoding', 'technical journal', 'interference randomization', 'important role', 'first generation', 'coded modulation', 'already part']</t>
  </si>
  <si>
    <t>Signal processing techniques play an important role in creating and maintaining reliable wireless digital communications. Many of these, such as low‚Äêbit‚Äêrate speech coding, convolutional channel coding with Viterbi decoding, and equalization, are already part of the first generation of digital cellular systems. Other techniques that can enhance the voice quality and system capacity include transmit and receive antenna diversity techniques, coded modulation, interference randomization and reduction, and advanced channel‚Äêdecoding techniques. ¬© 1993 AT&amp;T Technical Journal</t>
  </si>
  <si>
    <t>48-63</t>
  </si>
  <si>
    <t>AT&amp;T Technical Journal</t>
  </si>
  <si>
    <t>July‚ÄêAugust 1993</t>
  </si>
  <si>
    <t>55410111400;55410535700;35588765300</t>
  </si>
  <si>
    <t>Seshadri, Nambi;Sundberg, Carl‚ÄêErik W.;Weerackody, Vijitha</t>
  </si>
  <si>
    <t>Seshadri N.</t>
  </si>
  <si>
    <t>Advanced Techniques for Modulation, Error Correction, Channel Equalization, and Diversity</t>
  </si>
  <si>
    <t>10.1002/j.1538-7305.1993.tb00550.x</t>
  </si>
  <si>
    <t>2-s2.0-0027632343</t>
  </si>
  <si>
    <t>['symmetrical property', 'surrounding media', 'reflection side', 'polarization signatures', 'mueller matrix', 'backscattering direction']</t>
  </si>
  <si>
    <t>The Mueller matrix which characterizes a slab of random medium containing spherical particles is calculated by using the vector radiative transfer theory. The vector radiative transfer equation is solved for arbitrarily polarized incident waves. The background refractive index of the slab is allowed to be different from the surrounding media. The scattering specific intensities for four independent polarized incident waves are calculated and used to construct the Mueller matrix. The Mueller matrix contains multiple scattering due to the randomly distributed particles governed by the vector radiative transfer theory. The calculated Mueller matrices are found to have symmetrical property and there are eight nonvanishing matrix elements. Polarization signatures are obtained at the backscattering direction from the Mueller matrix of the reflection side. ¬© 1993 IEEE</t>
  </si>
  <si>
    <t>851-862</t>
  </si>
  <si>
    <t>60015481;60015481</t>
  </si>
  <si>
    <t>7402989856;7005122046</t>
  </si>
  <si>
    <t>Lam, Chi M.;Ishimaru, Akira</t>
  </si>
  <si>
    <t>Seattle</t>
  </si>
  <si>
    <t>University of Washington</t>
  </si>
  <si>
    <t>Lam C.</t>
  </si>
  <si>
    <t>Calculation of Mueller Matrices and Polarization Signatures for a Slab of Random Medium Using Vector Radiative Transfer</t>
  </si>
  <si>
    <t>10.1109/8.237614</t>
  </si>
  <si>
    <t>2-s2.0-0027632616</t>
  </si>
  <si>
    <t>['significant effect', 'partially cancel', 'operating band', 'focal length', 'dipole contribution', 'computed using']</t>
  </si>
  <si>
    <t>The monostatic radar cross section (RCS) of a symmetric parabolic reflector antenna with a cavity-backed dipole feed is computed using the method of moments. At frequencies below the operating frequency band of the antenna the dipole contribution is not significant; in the operating band the dipole terminal load condition only affects the RCS near boresight. The f/D ratio of the antenna is shown to have a significant effect on the RCS. By adjusting the focal length, the cavity and paraboloid scattering contributions can be made to partially cancel, yielding a reduction in RCS near boresight. ¬© 1993 IEEE</t>
  </si>
  <si>
    <t>992-994</t>
  </si>
  <si>
    <t>60033012;60032291;60029311</t>
  </si>
  <si>
    <t>7004276659;55701249000;36884351500</t>
  </si>
  <si>
    <t>Jenn, D. C.;Fletcher, J. E.;Prata, A.</t>
  </si>
  <si>
    <t>Monterey;Annapolis;Los Angeles</t>
  </si>
  <si>
    <t>Naval Postgraduate School;US Naval Academy;University of Southern California</t>
  </si>
  <si>
    <t>Radar Cross Section of Symmetric Parabolic Reflectors with Cavity-Backed Dipole Feeds</t>
  </si>
  <si>
    <t>10.1109/8.237635</t>
  </si>
  <si>
    <t>2-s2.0-0027632617</t>
  </si>
  <si>
    <t>['varying permittivities', 'step technique', 'reciprocity theorem', 'presented along', 'numerical results', 'mesh truncation', 'first step', 'field pattern', 'distant source', 'current distribution', 'axisymmetric radomes', 'antenna encased']</t>
  </si>
  <si>
    <t>A two-step technique for the analysis of axisymmetric radomes is presented in this paper. Initially, an axisymmetric finite element approach is employed, together with an absorbing boundary condition for mesh truncation, to determine the near fields scattered by an empty radome illuminated by a distant source. Next, the reciprocity theorem is invoked to determine the far-field pattern of an antenna encased by the radome, by computing the reaction between the current distribution on the antenna and the near-field data determined in the first step. The details of the formulation are presented along with numerical results for two different arrays enclosed by radomes of varying permittivities. ¬© 1993 IEEE</t>
  </si>
  <si>
    <t>975-981</t>
  </si>
  <si>
    <t>60010491;60000745</t>
  </si>
  <si>
    <t>56133428500;55197051100</t>
  </si>
  <si>
    <t>Gordon, Richard K.;Mittra, Raj</t>
  </si>
  <si>
    <t>University;Urbana</t>
  </si>
  <si>
    <t>University of Mississippi;University of Illinois Urbana-Champaign</t>
  </si>
  <si>
    <t>Gordon R.</t>
  </si>
  <si>
    <t>Finite Element Analysis of Axisymmetric Radomes</t>
  </si>
  <si>
    <t>10.1109/8.237631</t>
  </si>
  <si>
    <t>2-s2.0-0027632651</t>
  </si>
  <si>
    <t>Government of Canada</t>
  </si>
  <si>
    <t>['wave information', 'transmit antenna', 'test result', 'technique applied', 'stationary ship', 'radar woul', 'rada observations', 'paper describes', 'omnidirectional receive', 'numerically inverting', 'high degree', 'drill ri', 'backscatter return']</t>
  </si>
  <si>
    <t>This paper describes an inversion algorithm fo HF radar measurement of nondirectional wave spectra using a omnidirectional receive/transmit antenna.Such a radar woul be suitable for deployment on a stationary ship or drill ri; In this approach, wave information is extracted from the rada observations by numerically inverting the integral equation rep resenting the backscatter return from the ocean.Test result of this technique applied to data collected using a 25.4 MH radar installed on a ship have been very positive.For the tw measurements collected, there is a high degree of correlatio between the radar wave estimates and those of a WAVE-TRAC1 buoy.¬© 1993 IEEE</t>
  </si>
  <si>
    <t>306-310</t>
  </si>
  <si>
    <t>Measurement of Ocean Wave Spectra Using a Ship-Mounted HF Radar</t>
  </si>
  <si>
    <t>10.1109/JOE.1993.236369</t>
  </si>
  <si>
    <t>2-s2.0-0027632690</t>
  </si>
  <si>
    <t>['three dimensions', 'readily employed', 'ray parameters', 'parameter form', 'gpor arbitrarily', 'geometry parameters', 'general paraboloid', 'analytical expressions']</t>
  </si>
  <si>
    <t>Analytical expressions have been obtained for the ray-geometry parameters on the general paraboloid of revolution (GPOR) using a novel technique known as the geodesic constant method. These ray parameters are in a one-parameter form and can be readily employed in high-frequency EM antenna scattering problems. As an example, the UTD mutual admittance results are presented for two antennas located on the GPOR arbitrarily, in three dimensions. ¬© 1993 IEEE</t>
  </si>
  <si>
    <t>934-939</t>
  </si>
  <si>
    <t>60029428;60029428;60028186</t>
  </si>
  <si>
    <t>7101680121;7006898765;7006593766</t>
  </si>
  <si>
    <t>Jha, R. M.;Bokhari, S. A.;Wiesbeck, W.</t>
  </si>
  <si>
    <t>Germany;Switzerland</t>
  </si>
  <si>
    <t>Karlsruhe;Lausanne</t>
  </si>
  <si>
    <t>Karlsruhe Institute of Technology, Campus South;Swiss Federal Institute of Technology Lausanne</t>
  </si>
  <si>
    <t>60029428;60028186</t>
  </si>
  <si>
    <t>Jha R.</t>
  </si>
  <si>
    <t>A Novel Ray Tracing on General Paraboloids of Revolution for UTD Applications</t>
  </si>
  <si>
    <t>10.1109/8.237625</t>
  </si>
  <si>
    <t>2-s2.0-0027632723</t>
  </si>
  <si>
    <t>['¬© 1993', 'vehicles operating', 'two modes', 'tm41 modes', 'rights reserved', 'electrical engineers']</t>
  </si>
  <si>
    <t>Antennas | Microstrip patch antennas</t>
  </si>
  <si>
    <t>A dual mode concentric ring patch antenna is discussed which is suitable for vehicles operating with mobile satellite communication systems. It is operated at two modes, the TM2l and TM41 modes, which possess conical radiated beams. Switching between these modes provides omnidirectional azimuth coverage with elevation beam steering. ¬© 1993, The Institution of Electrical Engineers. All rights reserved.</t>
  </si>
  <si>
    <t>1319-1320</t>
  </si>
  <si>
    <t>7102439597;12789877100;56020461500</t>
  </si>
  <si>
    <t>Batchelor, J. C.;Voudouris, K.;Langley, R. J.</t>
  </si>
  <si>
    <t>Batchelor J.</t>
  </si>
  <si>
    <t>Dual mode and stacked concentric ring patch antenna arrays</t>
  </si>
  <si>
    <t>10.1049/el:19930884</t>
  </si>
  <si>
    <t>2-s2.0-0027632915</t>
  </si>
  <si>
    <t>['transient radiation', 'theoretical calculations', 'temporally short', 'resistive loading', 'reflected voltage', 'pulse radiation', 'pulse excitation', 'physical processes', 'much smaller', 'internal reflections', 'graphical displays', 'give insight', 'geometrical details', 'field surrounding', 'feed line', 'experimental models', 'excellent agreement', 'coaxial feed', 'broadbandwidth pulses', 'better reproduction']</t>
  </si>
  <si>
    <t>The conical monopole antenna with a section of continuous resistive loading is considered as a radiator for temporally short, broadbandwidth pulses. The geometrical details of the coaxial feed and the resistive loading are varied to ‚Äúoptimize‚Äù this structure for pulse radiation. Compared with the perfectly conducting cone, the optimized resistive cone radiates a better reproduction of the pulse excitation with no loss in amplitude, and has internal reflections that are much smaller in amplitude. Graphical displays of the field surrounding the antenna are used to give insight into the physical processes for transient radiation from this antenna. Experimental models were constructed to verify the optimization and demonstrate the practicality of the design. Measurements of both the reflected voltage in the feed line and the time-varying radiated field are in excellent agreement with the theoretical calculations. ¬© 1993 IEEE</t>
  </si>
  <si>
    <t>940-947</t>
  </si>
  <si>
    <t>60015099;60021032</t>
  </si>
  <si>
    <t>Atlanta;Atlanta</t>
  </si>
  <si>
    <t>Georgia Institute of Technology;Georgia Tech Research Institute</t>
  </si>
  <si>
    <t>60021032;60015099</t>
  </si>
  <si>
    <t>Optimization of a Conical Antenna for Pulse Radiation: An Efficient Design Using Resistive Loading</t>
  </si>
  <si>
    <t>10.1109/8.237626</t>
  </si>
  <si>
    <t>2-s2.0-0027634077</t>
  </si>
  <si>
    <t>['¬© 1993', 'would use', 'turned around', 'transmitted back', 'tempareture superconductivity', 'telemetry signal', 'proposed experiment', 'properly phased', 'payload bay', 'noise amplifier', 'link analyses', 'joint project', 'interface problems', 'flight experiment', 'etc .,', 'end electronics', 'communication link', 'boresight gain', 'band receiver', '20 ghz']</t>
  </si>
  <si>
    <t>A high-tempareture superconductivity (HTSC) flight experiment from the payload bay of the Space Shuttle Orbiter to the Advanced Communications Technology Satellite (ACTS) is being breadboarded. This proposed experiment, a joint project between the Johnson Space Center and the Lewis Research Center, would use a Ka-band (20 GHz) HTSC phased array antenna and front-end electronics (low-noise amplifier) to receive a downlink communications signal from the ACTS. A conventional receiver demodulates the encoded. telemetry signal which is then turned around and transmitted back to ACTS and the ground. The HTSC phased array has nine 4 √ó 4 microstrip patch antenna subarrays which when properly phased, provide approximately 24 dB of boresight gain. A 2 √ó 2 HTSC microstrip patch has been built and tested. A Ka-band receiver, transmitter, modem, encoder, decoder, etc., are now being built and tested. Link analyses and interface problems with the Orbiter are addressed in the paper in addition to the design, fabrication, and testing of various subsystems used in the communication link. ¬© 1993.</t>
  </si>
  <si>
    <t>1349-1361</t>
  </si>
  <si>
    <t>Applied Superconductivity</t>
  </si>
  <si>
    <t>July 1993/September 1993</t>
  </si>
  <si>
    <t>60006711;60006711;60006711;105782388;105782388;60026717;60026717</t>
  </si>
  <si>
    <t>57196576569;6701457404;7004941121;6603195081;6505732133;7006626132;22976148500</t>
  </si>
  <si>
    <t>Ngo, P.;Krishen, K.;Arndt, D.;Raffoul, G.;Karasak, V.;Bhasin, K.;Leonard, R.</t>
  </si>
  <si>
    <t>Cleveland;Houston;Houston</t>
  </si>
  <si>
    <t>NASA Glenn Research Center;NASA Johnson Space Center;Lockheed Houston</t>
  </si>
  <si>
    <t>60026717;60006711;105782388</t>
  </si>
  <si>
    <t>Ngo P.</t>
  </si>
  <si>
    <t>A high temperature superconductivity communications flight experiment</t>
  </si>
  <si>
    <t>0964-1807(93)90442-5</t>
  </si>
  <si>
    <t>10.1016/0964-1807(93)90442-5</t>
  </si>
  <si>
    <t>2-s2.0-0027634349</t>
  </si>
  <si>
    <t>['three links', 'terrain scattering', 'substantial differences', 'study shows', 'strong function', 'simulation results', 'signal fading', 'signal characteristics', 'scaling factor', 'propagation condition', 'probability distribution', 'multipath fading', 'microwave links', 'microwave link', 'fading distributions', 'directly applicable', 'digital radio', 'bexr links', 'bexr application', 'atmospheric refraction', 'antenna height', 'antenna beamwidth', '2 ghz']</t>
  </si>
  <si>
    <t>Advances in microelectronics, digital radio, and voice coding technologies make basic exchange radio (BEXR) systems economically attractive for rural telecommunications services. The performance and reliability of a BEXR can be affected by multipath fading. Although empirical multipath fading models are available for microwave links above 2 GHz, these models are not directly applicable to the BEXR links because of the substantial differences in frequency, antenna beamwidth, and radio path clearance. In this paper, we present a method to obtain a scaling factor which accounts for the differences between BEXR and microwave links. First, we study the terrain scattering by using a rough surface model and the atmospheric refraction by using a ray tracing approach. Then, we calculate the received signal powers of a microwave link and two BEXR links on the same path under the same propagation condition. The signal characteristics are investigated and used to simulate the fading distributions for all three links. From the simulation results, we derive a scaling factor to modify the existing microwave multipath fading models for BEXR application. The predictions by the modified model agree well with measured BEXR data. This study shows that probability distribution of signal fading on BEXR links is a strong function of antenna height and beamwidth. ¬© 1993 IEEE</t>
  </si>
  <si>
    <t>863-870</t>
  </si>
  <si>
    <t>60023456;60023456</t>
  </si>
  <si>
    <t>7005862569;7407160130</t>
  </si>
  <si>
    <t>Kiang, Jean Fu;Lin, Sing H.</t>
  </si>
  <si>
    <t>Telcordia Technologies, Inc.</t>
  </si>
  <si>
    <t>Kiang J.</t>
  </si>
  <si>
    <t>Propagation Analysis of Signal Fading for Basic Exchange Radios</t>
  </si>
  <si>
    <t>10.1109/8.237615</t>
  </si>
  <si>
    <t>2-s2.0-0027634690</t>
  </si>
  <si>
    <t>['œª 50', 'previous calculations', 'plane flare', 'large values', 'large apertures', 'gives rise', 'e plane', 'classical method', 'axis gain', 'approximate expression', '6 db', '2 ).']</t>
  </si>
  <si>
    <t>Previously published methods for pyramidal horn gain calculation have used an approximate expression for the path length error that gives rise to aperture quadratic phase error. In this paper pyramidal horn gain is calculated without approximating the path length error. These improved accuracy gain calculations give results equal to the previous approximate calculations for large apertures (A or B &gt;Œª 50) or small peak aperture phase error in wavelengths (5 or T &lt; 0.2). For intermediate aperture size (5A Óê• A Óê• 8Œª or 5Œª Óê• B Óê• 8A) and intermediate peak aperture errors in wavelengths (0.2 Óê• S Óê• 0.6 or 0.2 Óê• T Óê• 0.6) the improved accuracy calculations will always yield higher gain than the previous approximate calculations by as much as a few tenths of a dB, and by as much as 0.6 dB in the E plane. For large values of peak phase error in wavelengths (S or T &gt; 0.6) the improved accuracy method can yield lower gain than the previous calculations, especially for an E-plane flare. For example, the on-axis gain of an E-plane sectoral horn with B = 5Œª and S = 1 wavelength peak phase error is reduced by 2.6 dB compared with the classical method. ¬© 1993 IEEE</t>
  </si>
  <si>
    <t>884-889</t>
  </si>
  <si>
    <t>6506221072;55312516300</t>
  </si>
  <si>
    <t>Maybell, Michael J.;Simon, Peter S.</t>
  </si>
  <si>
    <t>Maybell M.</t>
  </si>
  <si>
    <t>Pyramidal Horn Gain Calculation with Improved Accuracy</t>
  </si>
  <si>
    <t>10.1109/8.237618</t>
  </si>
  <si>
    <t>2-s2.0-0027634691</t>
  </si>
  <si>
    <t>['two areas', 'time mfp', 'spatial characteristics', 'source location', 'put forward', 'platform motion', 'new processor', 'frequency processing', 'airborne mti', 'acoustic field']</t>
  </si>
  <si>
    <t>Doppler estimation | Matched field processing | moving target detection | space-time processing | target classification</t>
  </si>
  <si>
    <t>In matched field processing (MFP) the spatial characteristics of a dispersive wave field are exploited to estimate certain parameters of the acoustic field, such as source location or characteristics of the acoustic channel including environmental parameters.In airborne MTI (AMTI) radar interfering echoes (clutter) are Doppler colored due to the platform motion.Optimum clutter suppression requires space-time or space-frequency processing.In this paper some thoughts concerning cross-fertilization between these two areas are put forward.In particular the idea of space-time MFP is stressed.A new processor for space-time power estimation is proposed.¬© 1993 IEEE</t>
  </si>
  <si>
    <t>168-180</t>
  </si>
  <si>
    <t>Klemm, Richard</t>
  </si>
  <si>
    <t>Munich</t>
  </si>
  <si>
    <t>Fraunhofer-Gesellschaft</t>
  </si>
  <si>
    <t>Klemm R.</t>
  </si>
  <si>
    <t>Interrelations Between Matched-Field Processing and Airborne MTI Radar</t>
  </si>
  <si>
    <t>10.1109/JOE.1993.236355</t>
  </si>
  <si>
    <t>2-s2.0-0027634742</t>
  </si>
  <si>
    <t>['wiley company', 'two orthogonally', 'transient coupling', 'predict accurately', 'optimum values', 'moment method', 'inc .,', 'free space', 'fourier transform', 'coverage method']</t>
  </si>
  <si>
    <t>esistively loaded dipole | Fourier transform | moment method | subsurface radar | transient response</t>
  </si>
  <si>
    <t>To improve the coverage and the resolution of the baseband pulse radar system, it is important to predict accurately the characteristics of the transmitting and receiving antennas due to a pulse and the electromagnetic transient field scattered by a target. In this paper, a moment method and Fourier transform are presented to solve the problem of transient coupling between two orthogonally and resistively loaded dipole antennas and a thin‚Äêwire target, both placed in free space. Numerical results show that if resistances with optimum values are loaded in both arms of the dipoles, the multiple reflections arising between their ends and their feeder can greatly be suppressed. Based on these results, the coverage method for such a pulse radar system using resistively loaded dipoles as well as the near field patterns at the first resonant frequency are examined. Copyright ¬© 1993 Wiley Periodicals, Inc., A Wiley Company</t>
  </si>
  <si>
    <t>54-62</t>
  </si>
  <si>
    <t>60008107;60008107;60008107;60032042</t>
  </si>
  <si>
    <t>7003938202;35475185200;35608829900;7005886638</t>
  </si>
  <si>
    <t>Kominami, Masanobu;Takagi, Tohru;Sawa, Shinnosuke;Kikuta, Takashi</t>
  </si>
  <si>
    <t>Chuo-ku;Sakai</t>
  </si>
  <si>
    <t>Osaka Gas Co., Ltd.;Osaka Prefecture University</t>
  </si>
  <si>
    <t>60032042;60008107</t>
  </si>
  <si>
    <t>Kominami M.</t>
  </si>
  <si>
    <t>Transient response of resistively loaded dipole antennas for pulse radar</t>
  </si>
  <si>
    <t>10.1002/ecja.4410760706</t>
  </si>
  <si>
    <t>2-s2.0-0027634839</t>
  </si>
  <si>
    <t>['wiley company', 'use streamlines', 'thin conductor', 'radiation mechanism', 'radiation characteristics', 'poynting vector', 'linear antennas', 'inc .,', 'fundamental example']</t>
  </si>
  <si>
    <t>Circularly polarized antenna | delta‚Äêgap generator | electromagnetic energy flux density</t>
  </si>
  <si>
    <t>As one of the methods to understand electromagnetic wave propagation and radiation mechanism of antennas, it is useful to use streamlines of electromagnetic energy flux densities. However, the Poynting vector, as an electromagnetic energy flux density, does not include any information about polarization. In this paper, the circularly polarized energy flow is explained in light of the circularly polarized electromagnetic energy flux densities proposed recently. As the most fundamental example, fields of circularly polarized cross dipoles are drawn by using the circularly polarized electromagnetic energy flux densities. Then, radiation characteristics of circularly polarized antennas are explained by newly defined circularly polarized radiation efficiency and directivity. Moreover, the conventional delta source excitation model for linear antennas is unable to explain the circularly polarized wave radiation from a conical spiral antenna composed of thin conductor. Copyright ¬© 1993 Wiley Periodicals, Inc., A Wiley Company</t>
  </si>
  <si>
    <t>100-109</t>
  </si>
  <si>
    <t>60025997;60025997</t>
  </si>
  <si>
    <t>7005495467;36908007900</t>
  </si>
  <si>
    <t>Tokumaru, Shinobu;Tanaka, Rie</t>
  </si>
  <si>
    <t>Keio University</t>
  </si>
  <si>
    <t>Tokumaru S.</t>
  </si>
  <si>
    <t>Circularly polarized energy flux densities</t>
  </si>
  <si>
    <t>10.1002/ecja.4410760711</t>
  </si>
  <si>
    <t>2-s2.0-0027634892</t>
  </si>
  <si>
    <t>['system matrix', 'study explore', 'several values', 'semicircular shape', 'reflector antenna', 'radiation pattern', 'permeable media', 'numerically calculated', 'numerical solution', 'noticeably influence', 'isotropic dielectric', 'investigated due', 'francis group', 'first time', 'field radiation', 'equivalent currents', 'edge effects', 'correctly choosing', 'composite structure', 'coating thickness', 'coated reflector', 'appropriate thickness', 'antenna surface', 'anisotropic materials']</t>
  </si>
  <si>
    <t>The combined-field surface integral equations are applied to analyse practical cylindrical parabolic reflector antennas rim-loaded with homogeneous anisotropic material of semicircular shape. The response of the coated reflector to the TM polarized excitation is examined, since under such conditions the edge effects can noticeably influence its radiation pattern. The change in far-field radiation is investigated due to different coating material properties ranging from isotropic dielectric and permeable media to anisotropic materials for several values of the coating thickness. For the numerical solution, the system matrix for the composite structure is assembled so that its sparsity is reduced by correctly choosing the path of the integration. The equivalent currents on the antenna surface and the surface of the jacket are obtained, from which far-fields are then numerically calculated. The results of this study explore for the first time the possibility of improving the performance of the reflector antenna by using an appropriate thickness and material for the anisotropic coating structure. ¬© 1993 Taylor &amp; Francis Group, LLC.</t>
  </si>
  <si>
    <t>149-162</t>
  </si>
  <si>
    <t>60018179;60018179</t>
  </si>
  <si>
    <t>7601449620;7005879718</t>
  </si>
  <si>
    <t>Chen, Yinchao;Beker, Benjamin</t>
  </si>
  <si>
    <t>Columbia</t>
  </si>
  <si>
    <t>University of South Carolina</t>
  </si>
  <si>
    <t>Chen Y.</t>
  </si>
  <si>
    <t>TM analysis of parabolic reflectors rim-loaded with a semicircular anisotropic jacket</t>
  </si>
  <si>
    <t>10.1080/00207219308907096</t>
  </si>
  <si>
    <t>2-s2.0-0027635055</t>
  </si>
  <si>
    <t>['widely discussed', 'small changes', 'scattering object', 'resonance phenomenon', 'operating frequency', 'one wishes', 'magnetic properties', 'lie close', 'failed despite', 'domain codes', 'difference time', 'calculated scattering', 'analytical solutions']</t>
  </si>
  <si>
    <t>Calculated scattering from a nonconducting cylindrical ring shows great variability to small changes in the material or geometric parameters within certain ranges of these parameters. The observations are explained by a resonance phenomenon in which the operating frequency is found to lie close to a complex natural frequency of the scattering object. Note that this resonance is a real, observable effect predicted by analytical solutions and not the ‚Äúspurious‚Äù numerical resonances which have been widely discussed and which one wishes to suppress. Attempts have been made to reproduce near resonance scattering results using the method of moments and finite-difference time-domain codes. These have failed despite the use of widely accepted discretization densities. Thus, the existence of such resonances requires additional care when interpreting computed results for scattering from similar nonconducting objects having electric and/or magnetic properties. ¬© 1993 IEEE</t>
  </si>
  <si>
    <t>982-986</t>
  </si>
  <si>
    <t>60018208;60018208;60018208;60018208</t>
  </si>
  <si>
    <t>6602609909;7402077896;7006347693;7404422146</t>
  </si>
  <si>
    <t>Hower, G. L.;Olsen, R. G.;Earls, J. D.;Schneider, J. B.</t>
  </si>
  <si>
    <t>Hower G.L.</t>
  </si>
  <si>
    <t>Inaccuracies in Numerical Calculation of Scattering near Natural Frequencies of Penetrable Objects</t>
  </si>
  <si>
    <t>10.1109/8.237632</t>
  </si>
  <si>
    <t>2-s2.0-0027635351</t>
  </si>
  <si>
    <t>ECS- 91 13953</t>
  </si>
  <si>
    <t>['useful tool', 'technique may', 'switched photoconductively', 'study short', 'issues associated', 'electromagnetic radiation', 'domain results']</t>
  </si>
  <si>
    <t>Picosecond duration bursts of electromagnetic radiation are used to study short-pulse wave propagation in layered dielectric materials. The radiation is generated using planar antennas that are switched photoconductively. The measurements are compared with time- and frequency-domain theoretical data. Issues associated with the windowing of time-domain results for highly resonant structures are addressed, as well as how the derived frequency domain data are influenced by the windowed Fourier transform. The accuracy of the time-domain results suggest that this technique may be a useful tool for characterizing layered materials. ¬© 1993 IEEE</t>
  </si>
  <si>
    <t>2141-2144</t>
  </si>
  <si>
    <t>IEEE Journal of Quantum Electronics</t>
  </si>
  <si>
    <t>60108318;60108318;60108318;60108318;60108318</t>
  </si>
  <si>
    <t>7004561693;6602354287;7003737313;8656142100;7004765399</t>
  </si>
  <si>
    <t>Carin, L.;Agi, K.;Kralj, D.;Leung, K. M.;Garetz, B. A.</t>
  </si>
  <si>
    <t>Characterization of Layered Dielectrics with Short Electromagnetic Pulses</t>
  </si>
  <si>
    <t>10.1109/3.237487</t>
  </si>
  <si>
    <t>2-s2.0-0027635394</t>
  </si>
  <si>
    <t>['zenith direction', 'wave distribution', 'radiation patterns', 'quarter wavelength', 'previously dissipated', 'plane orthogonal', 'nec ).', 'matching resistor', 'linear antenna', 'integral number', 'inserted antenna', 'input section', 'input impedance', 'horizontal dipole', 'half wavelengths', 'ground plane', 'folded element', 'current distribution', 'computed using', 'also radiated', 'also obtained', 'also measured', '2 ghz', '0 wavelengths']</t>
  </si>
  <si>
    <t>A traveling-wave distribution of current can be produced on a linear antenna by inserting a resistance of suitable magnitude one-quarter wavelength from its end. In this paper the resistor is replaced with a modified folded dipole which has a radiation resistance approximately equal to that of the matching resistor. Thus the input section has a traveling wave distribution up to the inserted antenna, as before, but now the power that was previously dissipated in the resistor is also radiated. Input impedance, current distribution, and radiation patterns of this antenna are computed using the Numerical Electromagnetics Code (NEC). Input impedance and radiation patterns are also measured. Results are obtained for half lengths varying from 0.35 to 2.0 wavelengths at a frequency of 1.2 GHz. Horizontally polarized patterns are similar to those of a horizontal dipole over a ground plane, and vertically polarized patterns in a plane orthogonal to the folded element are similar to those of a monopole over a ground plane. In addition, coverage is also obtained in the zenith direction in the plane of the folded element, as long as it is not an integral number of half wavelengths above the ground plane. The peaks and nulls can be controlled by adjusting the monopole height accordingly and it is possible to achieve near hemispherical coverage. ¬© 1993 IEEE</t>
  </si>
  <si>
    <t>871-876</t>
  </si>
  <si>
    <t>Altshuler, Edward E.</t>
  </si>
  <si>
    <t>Altshuler E.</t>
  </si>
  <si>
    <t>A Monopole Antenna Loaded with a Modified Folded Dipole</t>
  </si>
  <si>
    <t>10.1109/8.237616</t>
  </si>
  <si>
    <t>2-s2.0-0027635397</t>
  </si>
  <si>
    <t>DAAL03-91-C-0022</t>
  </si>
  <si>
    <t>['snr ).', 'signal estimation', 'sensitive arrays', 'sensitive array', 'polarization parameters', 'performance improvement', 'output sir', 'output signal', 'noise ratio', 'linear combination', 'interference ratio', 'form expressions', 'estimated signal', 'estimated direction', 'especially significant', 'array outputs']</t>
  </si>
  <si>
    <t>We consider the problem of separating and estimating the waveforms of superimposed signals received by a polarization-sensitive array. Signal estimation is accomplished by a two-step maximum likelihood procedure: (i) The directions of arrival and polarization parameters of all the signals are estimated, (ii) The estimated signal is obtained as a linear combination of the array outputs, with weights which are computed from the estimated direction/polarization parameters. The objective of this paper is to analyze the quality of the estimated signal in terms of the output signal-to-interference ratio (SIR) and output signal-to-noise ratio (SNR). Closed-form expressions are derived for the output SIR and SNR of a general diversely polarized array. By evaluating these expressions for selected test cases it is shown that polarization-sensitive arrays can provide significantly higher output SIR and SNR than uniformly polarized arrays. The performance improvement is especially significant for closely spaced sources with sufficiently different polarization characteristics. ¬© 1993 IEEE</t>
  </si>
  <si>
    <t>918-925</t>
  </si>
  <si>
    <t>60005681;60014439</t>
  </si>
  <si>
    <t>7402247592;7102972288</t>
  </si>
  <si>
    <t>Weiss, Anthony J.;Friedlander, Benjamin</t>
  </si>
  <si>
    <t>Davis;Tel Aviv-Yafo</t>
  </si>
  <si>
    <t>University of California, Davis;Tel Aviv University</t>
  </si>
  <si>
    <t>60014439;60005681</t>
  </si>
  <si>
    <t>Weiss A.</t>
  </si>
  <si>
    <t>Maximum Likelihood Signal Estimation for Polarization Sensitive Arrays</t>
  </si>
  <si>
    <t>10.1109/8.237623</t>
  </si>
  <si>
    <t>2-s2.0-0027635398</t>
  </si>
  <si>
    <t>['small aperture', 'paper describes', 'optimization techniques', 'numerically efficient', 'layer configuration', 'experimental results', 'analysis takes', 'analysis results', 'analysis program', 'aided design']</t>
  </si>
  <si>
    <t>This paper describes a method for the analysis and design of rectangular microstrip antennas coupled through a small aperture to a microstrip feed line in a two-layer configuration. The technique is numerically efficient, making it suitable for computer-aided design. The analysis takes into account higher order modes excited underneath the patch. Analysis results were implemented in two computer programs: an analysis program and a design program based on optimization techniques. Experimental results are presented to validate this method. ¬© 1993 IEEE</t>
  </si>
  <si>
    <t>986-988</t>
  </si>
  <si>
    <t>Saed, Mohammad A.</t>
  </si>
  <si>
    <t>New Paltz</t>
  </si>
  <si>
    <t>SUNY New Paltz</t>
  </si>
  <si>
    <t>Saed M.A.</t>
  </si>
  <si>
    <t>Efficient Method for Analysis and Design of Aperture-Coupled Rectangular Microstrip Antennas</t>
  </si>
  <si>
    <t>10.1109/8.237633</t>
  </si>
  <si>
    <t>2-s2.0-0027635399</t>
  </si>
  <si>
    <t>['wild type', 'trichoid sensilla', 'temperature shifts', 'single cistron', 'rights reserved', 'pupal life', 'previous work', 'period results', 'partially dominant', 'overall number', 'maxillary palps', 'late pulse', 'intermediate phenotype', 'intermediate mutants', 'intermediate alleles', 'gene complex', 'gene activity', 'dramatic decrease', 'data suggest', 'compound eye', 'complementation data', 'coeloconic sensilla', 'basiconic sensilla', 'antennal sensilla', 'antennal phenotype', '3 types']</t>
  </si>
  <si>
    <t>Antennal sensilla | Complementation | D. melanogaster | Determination | Phenocritical period | Sensillum pattern</t>
  </si>
  <si>
    <t>Previous work on the lozenge (lz) gene complex of D. melanogaster has focused on the compound eye. Here we study the effects of 22 lz mutations on the antennal sensilla. The antenna of strong lz alleles is characterized by a lack of basiconic sensilla and by a significantly increased density of coeloconic sensilla. Intermediate alleles have few basiconic sensilla, they exhibit a highly increased density of trichoid sensilla, but a normal coeloconic density. Basiconic sensilla on the maxillary palps are weakly affected even by strong lz alleles. The antennal phenotype for most of the strong and intermediate mutants is partially dominant over wild type. Although this complicates the interpretation of complementation data, 12 selected mutants that were studied in heteroallelic combinations seem to define a single cistron. Temperature shifts of the lz1st allele showed that gene activity is crucial from about 87% of the third larval instar up to 7% of pupal life. Applying restrictive temperature early during this period results in a 'novel' phenotype that is characterized by a dramatic decrease in the density of trichoid sensilla, whereas a late pulse of restrictive temperature leads to a 'normal' intermediate phenotype. Our data suggest that the lz gene controls at least five different functions in the antenna: the size of the third antennal segment, the overall number and density of sensilla, the proportions of the 3 types of sensilla, and the generation of basiconic sensilla. ¬© 1993 Informa UK Ltd All rights reserved: reproduction in whole or part not permitted.</t>
  </si>
  <si>
    <t>29-53</t>
  </si>
  <si>
    <t>Journal of Neurogenetics</t>
  </si>
  <si>
    <t>60024631;60024631;60026553</t>
  </si>
  <si>
    <t>7103138484;6603451742;6603898905</t>
  </si>
  <si>
    <t>Stocker, Reinhard F.;Gendre, Nana√´;Batterham, Philip</t>
  </si>
  <si>
    <t>Australia;Switzerland</t>
  </si>
  <si>
    <t>Parkville;Fribourg</t>
  </si>
  <si>
    <t>University of Melbourne;University of Fribourg</t>
  </si>
  <si>
    <t>60026553;60024631</t>
  </si>
  <si>
    <t>Stocker R.</t>
  </si>
  <si>
    <t>Analysis of the antennal phenotype in the drosophila mutant lozenge</t>
  </si>
  <si>
    <t>10.3109/01677069309167274</t>
  </si>
  <si>
    <t>2-s2.0-0027639630</t>
  </si>
  <si>
    <t>['wave analysis', 'radiation patterns', 'obtained results', 'numerical solution', 'good agreement', 'coupling coefficient']</t>
  </si>
  <si>
    <t>A method is proposed for calculating the coupling coefficient between two dielectric antennas. The numerical solution is carried out by means of the full-wave analysis of the cascaded dielectric waveguides which represent the antenna. The obtained results for the coupling coefficient are in good agreement with the available experimental data. Moreover, the radiation patterns are calculated and presented. ¬© 1993 IEEE</t>
  </si>
  <si>
    <t>276-277</t>
  </si>
  <si>
    <t>60028112;60028112;60012696;60028112</t>
  </si>
  <si>
    <t>6507506475;6503887735;7201530777;7007171277</t>
  </si>
  <si>
    <t>Aubrion, M.;Larminat, A.;Chan, B.;Baudrand, H.</t>
  </si>
  <si>
    <t>Toulouse;Toulouse</t>
  </si>
  <si>
    <t>ENSEEIHT Ecole Nationale Sup√©rieure d'Electrotechnique, d'Electronique, d'Informatique, d'Hydraulique et des T√©l√©communications;ONERA Centre de Toulouse</t>
  </si>
  <si>
    <t>60028112;60012696</t>
  </si>
  <si>
    <t>Aubrion M.</t>
  </si>
  <si>
    <t>Design of a Dual Dielectric Rod-Antenna System</t>
  </si>
  <si>
    <t>10.1109/75.242216</t>
  </si>
  <si>
    <t>2-s2.0-0027640718</t>
  </si>
  <si>
    <t>['unit cell', 'several examples', 'presently limited', 'periodic structure', 'periodic scatterers', 'method allows', 'longitudinal inhomogeneities', 'difference time', 'computational point', 'complete treatment', 'broadside incidence']</t>
  </si>
  <si>
    <t>The finite-difference time-domain (FDTD) technique is applied to two-dimensional periodic problems in scattering and radiation. This method allows the direct and complete treatment of periodic scatterers and array having transverse or longitudinal inhomogeneities, and several examples are presented to illustrate the versatility of the technique. The FDTD grid needs only to be applied to a unit cell of the periodic structure, making the analysis very efficient from a computational point of view. The method is presently limited to broadside incidence, however. ¬© 1993 IEEE</t>
  </si>
  <si>
    <t>250-252</t>
  </si>
  <si>
    <t>36897180600;7006061921</t>
  </si>
  <si>
    <t>Tsay, Wen Jiunn;Pozar, David M.</t>
  </si>
  <si>
    <t>Tsay W.</t>
  </si>
  <si>
    <t>Application of the FDTD Technique to Periodic Problems in Scattering and Radiation</t>
  </si>
  <si>
    <t>10.1109/75.242225</t>
  </si>
  <si>
    <t>2-s2.0-0027640831</t>
  </si>
  <si>
    <t>['phased array']</t>
  </si>
  <si>
    <t>A new MESFET push‚Äîpull oscillator at Ku-band has been designed and tested. This configuration demonstrated 1) a larger subharmonic injection locking range and 2) lower FM noise without using a frequency stabilized dielectric resonator. This new oscillator demonstrated significant potential for use in subharmonic optically synchronized local oscillators in phased array. ¬© 1993 IEEE</t>
  </si>
  <si>
    <t>244-246</t>
  </si>
  <si>
    <t>56463134200;7006552817</t>
  </si>
  <si>
    <t>Zhou, Xuesong;Daryoush, Afshin S.</t>
  </si>
  <si>
    <t>Zhou X.</t>
  </si>
  <si>
    <t>An Injection Locked Push-Pull Oscillator at Ku-Band</t>
  </si>
  <si>
    <t>10.1109/75.242227</t>
  </si>
  <si>
    <t>2-s2.0-0027641455</t>
  </si>
  <si>
    <t>['transmission response', 'transmission function', 'schon 1993', 'matrix model', 'loop transmission', 'frequency stabilization', 'fiber loop', 'fiber coupler', 'fachverlag schiele', 'coupling loss', 'coupling coefficient', 'also analyzed']</t>
  </si>
  <si>
    <t>A new device‚ÄîAttenuated Fiber Loop Resonator (AFLR)‚Äîfor frequency stabilization is proposed. The AFLR simply includes a variable intensity attenuator in a fiber loop which can be tuned to achieve the best frequency stabilization condition. We derive the transmission function of AFLR by improving the matrix model which now includes intrinsic fiber loss in the fiber loop and coupling loss in the fiber coupler. The relation between coupling coefficient and loop transmission is also analyzed. Two new laser diode frequency stabilization schemes using AFLR are proposed and the optimum operating conditions are obtained. Simulation results also show that the coupling loss which degrades the transmission response of AFLR is detrimental to frequency stabilization. ¬© by Fachverlag Schiele &amp; Schon 1993</t>
  </si>
  <si>
    <t>149-155</t>
  </si>
  <si>
    <t>Journal of Optical Communications</t>
  </si>
  <si>
    <t>60005429;60005429</t>
  </si>
  <si>
    <t>7102813088;7202328115</t>
  </si>
  <si>
    <t>Tsao, Shyh Lin;Tao, Hen Wai</t>
  </si>
  <si>
    <t>Tsao S.</t>
  </si>
  <si>
    <t>Frequency stabilization based on attenuated fiber loop resonator (AFLR)</t>
  </si>
  <si>
    <t>10.1515/JOC.1993.14.4.149</t>
  </si>
  <si>
    <t>2-s2.0-0027641627</t>
  </si>
  <si>
    <t>['usually cited', 'uncharged capacitor', 'radiates energy', 'perfectly conducting', 'loop antenna', 'heat due', 'examples illustrate', 'equilibrium states', 'energy loss', 'emr considerations', 'electrical resistance', 'connecting wires', 'charged capacitor']</t>
  </si>
  <si>
    <t>The two-capacitor problem involves connecting a charged capacitor to an uncharged capacitor and accounting for the difference in energy between the initial and equilibrium states. Heat due to electrical resistance in the connecting wires is usually cited for the energy loss. In this paper, the wires are assumed to be perfectly conducting and without electrical resistance. The circuit then behaves as a loop antenna and radiates energy in the form of EMR. All loss of energy in the system can be accounted for through EMR considerations. Examples illustrate the rate of decay of the current in the circuit. ¬© 1993 IEEE</t>
  </si>
  <si>
    <t>307-309</t>
  </si>
  <si>
    <t>;;60024324</t>
  </si>
  <si>
    <t>57213309938;7005298839;6507892627</t>
  </si>
  <si>
    <t>Mayer, Raymond P.;Jeffries, John R.;Paulik, George F.</t>
  </si>
  <si>
    <t>Iowa City</t>
  </si>
  <si>
    <t>University of Iowa</t>
  </si>
  <si>
    <t>Mayer R.</t>
  </si>
  <si>
    <t>The Two-Capacitor Problem Reconsidered</t>
  </si>
  <si>
    <t>10.1109/13.231509</t>
  </si>
  <si>
    <t>2-s2.0-0027641631</t>
  </si>
  <si>
    <t>['wet antennas', 'vsat environment', 'theoretical treatment', 'radome surfaces', 'propagation loss', 'precaution relieves', 'paper describes', 'link budget', 'hydrophobic materials', 'either c', 'becoming wet', 'band generally', 'antenna reflector']</t>
  </si>
  <si>
    <t>This paper describes a theoretical treatment of the contribution of wet antennas to the antenna signal path losses in a VSAT environment. The current commercial VSAT systems operating in either C-band or Ku-band generally have their remote terminal antenna reflectors and the antenna feed horn radomes coated with hydrophobic materials. The aim is to prevent the antenna and radome surfaces from becoming wet during a rainfall. This precaution relieves the burden of added rain margin necessary on the link budget. The objective of this paper is to determine the magnitude of the propagation loss when the antenna reflector and the antenna feed horn radome surfaces are wet. The results can provide a guideline on whether the expense of applying and maintaining the hydrophobic materials on the VSAT remote antennas and radomes is justified under specific loss conditions. ¬© 1993 IEEE</t>
  </si>
  <si>
    <t>1238-1244</t>
  </si>
  <si>
    <t>Cheah, Jonathon Y.C.</t>
  </si>
  <si>
    <t>Germantown</t>
  </si>
  <si>
    <t>Hughes Network Systems, LLC</t>
  </si>
  <si>
    <t>Cheah J.Y.C.</t>
  </si>
  <si>
    <t>Wet Antenna Effect on VSAT Rain Margin</t>
  </si>
  <si>
    <t>10.1109/26.231968</t>
  </si>
  <si>
    <t>2-s2.0-0027642340</t>
  </si>
  <si>
    <t>['whitcomb avenue', 'readers wishing', 'original approach', 'often made', 'novel application', 'naftali herscovici', 'microstrip array', 'limited budget', 'interesting article', 'first time', 'conformal applications', 'computed predictions', 'computed patterns', 'compare measurements', 'chu technology', 'chu associates', 'achieve cosecant', '456 8455', '456 3282']</t>
  </si>
  <si>
    <t>This interesting article by Naftali Herscovici, of D&amp;M/Chu Associates (formerly Chu Associates) presents a novel application of a microstrip array. Although microstrip arrays are often made on mechanically flexible substrates for conformal applications, this original approach is the first time such flexibility is used to achieve cosecant-squared beam shaping. For readers wishing to contact the author, his address is Dr. Naftali Herscovici, D&amp;M Chu Technology, Whitcomb Avenue, Littleton, MA 01460; Tel: (508) 456 3282; Fax: (508) 456 8455. All the figures in this article are computed patterns. Unfortunately, the limited budget for this program did not allow the author to build such an array to compare measurements with the computed predictions. ¬© 1993 IEEE</t>
  </si>
  <si>
    <t>42-44</t>
  </si>
  <si>
    <t>57189501138;56039602600</t>
  </si>
  <si>
    <t>Schrank, Hal;Herscovici, Naftali</t>
  </si>
  <si>
    <t>A Simple Cosec2-Microstrip Array: The Shovel-Microstrip Array</t>
  </si>
  <si>
    <t>10.1109/74.229851</t>
  </si>
  <si>
    <t>2-s2.0-0027642429</t>
  </si>
  <si>
    <t>['weight optimizing', 'successful implementation', 'signal processed', 'results certify', 'reaches 22', 'mobile communications', 'hardware implementation', 'density ratio', 'array weights', 'antenna system', 'antenna elements', 'adaptive array', '3 db']</t>
  </si>
  <si>
    <t>The hardware implementation of an adaptive array as a technique for compensating multipath fading in mobile communications is described. The number of the antenna elements is four. The target communication system is modulated by 256 kbps Gaussian-filtered minimum shift keying and has a time-division multiplexing architecture with 24 time slots. Based on the digital beam forming concept, all of the signals and the array weights are digital-signal processed. The constant modulus algorithm (CMA) is employed for weight optimizing. In an additive white Gaussian noise channel, this system has 5.6 dB gain in an energy-per-bit-to-noise-density ratio (E&lt;inf&gt;b&lt;/inf&gt;/N &lt;inf&gt;0&lt;/inf&gt;), at a bit error rate (BER) of 1.0 √ó 10&lt;sup&gt;-3&lt;/sup&gt;, compared with a single-antenna system. The result of the basic field test shows that the gain at a BER of 1.0 √ó 10&lt;sup&gt;‚Äì3&lt;/sup&gt; reaches 22.3 dB in a nonselective, slow Rayleigh fading channel given a 5 Hz maximum Doppler shift. These results certify our successful implementation. ¬© 1993 IEEE</t>
  </si>
  <si>
    <t>282-288</t>
  </si>
  <si>
    <t>60092258;60003381;60003381;60092258</t>
  </si>
  <si>
    <t>7003280529;36875603400;7003487135;35494390400</t>
  </si>
  <si>
    <t>Ohgane, Takeo;Shimura, Takanori;Matsuzawa, Naoto;Sasaoka, Hideichi</t>
  </si>
  <si>
    <t>Koganei;Tokyo</t>
  </si>
  <si>
    <t>Ministry of Posts and Telecommunications, Japan;Hitachi, Ltd.</t>
  </si>
  <si>
    <t>60092258;60003381</t>
  </si>
  <si>
    <t>Ohgane T.</t>
  </si>
  <si>
    <t>An Implementation of a CMA Adaptive Array for High Speed GMSK Transmission in Mobile Communications</t>
  </si>
  <si>
    <t>10.1109/25.231879</t>
  </si>
  <si>
    <t>2-s2.0-0027642555</t>
  </si>
  <si>
    <t>['used advantageously', 'tunable nd', 'synchronizing frequency', 'several parallel', 'schon 1993', 'scheme lies', 'optical phase', 'one application', 'laser sources', 'fachverlag schiele', 'concept provides', 'arrays could']</t>
  </si>
  <si>
    <t>We present a technique for synchronizing frequency and phase of several parallel, non-overlapping laser beams. The concept provides for a so-called pilot beam whose phase front serves as a reference. Optical phase-locked loops control the frequency of the laser sources. An experiment using diode-pumped, tunable Nd:YAG ring lasers verifies the concept. One application of the scheme lies in the field of optical phased arrays, leading to sources with non-mechanically steerable output beams and high brightness due to coherent power combination. Such arrays could be used advantageously as antennas in free-space laser communications systems. ¬© by Fachverlag Schiele &amp; Schon 1993</t>
  </si>
  <si>
    <t>138-141</t>
  </si>
  <si>
    <t>60018163;60018163;60018163;60018163;60018163</t>
  </si>
  <si>
    <t>7004992342;57198166951;7004314808;57225334744;7006707474</t>
  </si>
  <si>
    <t>Neubert, W. M.;Klaus, W.;Leeb, W. R.;Popescu, A. F.;Scholtz, A. L.</t>
  </si>
  <si>
    <t>Technische Universit√§t Wien</t>
  </si>
  <si>
    <t>Neubert W.M.</t>
  </si>
  <si>
    <t>Synchronizing frequency and phase of non-overlapping laser beams</t>
  </si>
  <si>
    <t>10.1515/JOC.1993.14.4.138</t>
  </si>
  <si>
    <t>2-s2.0-0027642717</t>
  </si>
  <si>
    <t>DAAL03-89-D-0030</t>
  </si>
  <si>
    <t>['theoretical predictions', 'port measurements', 'optical resonator', 'losses due', 'experimental one']</t>
  </si>
  <si>
    <t>An approximate dyadic Green's function is derived for a quasi-optical resonator. The Green's function is comprised of resonant and nonresonant terms corresponding to coupling to the modal and nonmodal resonator fields. The effect of losses due to diffraction, finite reflector conductivity and radiation are included. Experimental one-and two-port measurements of antennas in an X-band cavity compare favorably with theoretical predictions. ¬© 1993 IEEE</t>
  </si>
  <si>
    <t>256-258</t>
  </si>
  <si>
    <t>60004923;60011199;60004923;60002059;60004923</t>
  </si>
  <si>
    <t>7003552691;7003541666;7004174770;7102090054;7103146832</t>
  </si>
  <si>
    <t>Heron, P. L.;Schwering, F. K.;Monahan, G. P.;Mink, J. W.;Steer, M. B.</t>
  </si>
  <si>
    <t>Fort Monmouth;Raleigh;Research Triangle Park</t>
  </si>
  <si>
    <t>U.S. Army Communications and Electronics Command;NC State University;U.S. Army Research Office</t>
  </si>
  <si>
    <t>60011199;60004923;60002059</t>
  </si>
  <si>
    <t>Heron P.</t>
  </si>
  <si>
    <t>A Dyadic Green's Function for the Plano-Concave Quasi-Optical Resonator</t>
  </si>
  <si>
    <t>10.1109/75.242223</t>
  </si>
  <si>
    <t>2-s2.0-0027642761</t>
  </si>
  <si>
    <t>['temperature superconductors', 'stealth applications', 'significant transition', 'section occurs', 'scattering efficiencies', 'radar cross']</t>
  </si>
  <si>
    <t>A technique to reduce unwanted scattering by antennas is demonstrated which exploits the inefficiency of high-temperature superconductors above Tc. Electrically small dipole and loop antennas made of superconductors are modelled above and below Tc to predict their scattering efficiencies, and it is shown that a significant transition in radar cross-section occurs which justifies the use of superconductors over copper in stealth applications.</t>
  </si>
  <si>
    <t>326-328</t>
  </si>
  <si>
    <t>Aug</t>
  </si>
  <si>
    <t>Temperature control of radar cross-section using electrically small high T&lt;inf&gt;c&lt;/inf&gt; superconducting antenna elements for stealth applications</t>
  </si>
  <si>
    <t>10.1049/ip-h-2.1993.0050</t>
  </si>
  <si>
    <t>2-s2.0-0027643745</t>
  </si>
  <si>
    <t>['radiation patterns', 'normal mode', 'modified form', 'integral equation', 'input impedance']</t>
  </si>
  <si>
    <t>On the basis of a modified form of Mei's integral equation, which includes dielectric effects using the quasistatic approximation theory proposed by Popovic, the input impedance and the radiation patterns of several quadrifilar helical antennas with axial or normal mode are investigated. The theoretical results agree quite well with experiment.</t>
  </si>
  <si>
    <t>269-273</t>
  </si>
  <si>
    <t>100686397;100686397</t>
  </si>
  <si>
    <t>24722105800;7006272544</t>
  </si>
  <si>
    <t>Sharaiha, A.;Terret, C.</t>
  </si>
  <si>
    <t>Universit√© de Rennes</t>
  </si>
  <si>
    <t>Sharaiha A.</t>
  </si>
  <si>
    <t>Analysis of quadrifilar printed helical antenna for mobile communications</t>
  </si>
  <si>
    <t>10.1049/ip-h-2.1993.0040</t>
  </si>
  <si>
    <t>2-s2.0-0027643792</t>
  </si>
  <si>
    <t>['rcs calculated', 'radar cross', 'paper describes', 'minimizing sources', 'also provided', '1 data']</t>
  </si>
  <si>
    <t>This paper describes the design and construction of corner reflectors used in ERS-1 SAR calibration experiments. The emphasis is on minimizing sources of error in both construction and deployment so that the radar cross-section (RCS) is known as accurately as possible. A comparison of the RCS calculated from mechanical assembly measurements with both photogrammetric and antenna range methods is also provided. The use of radomes to maintain target stability is described, and results from ERS-1 data are presented.</t>
  </si>
  <si>
    <t>218-224</t>
  </si>
  <si>
    <t>Canadian Journal of Remote Sensing</t>
  </si>
  <si>
    <t>Kenward, D. R.D.</t>
  </si>
  <si>
    <t>Kenward D.</t>
  </si>
  <si>
    <t>Precision corner reflector for ERS-1 SAR calibration</t>
  </si>
  <si>
    <t>10.1080/07038992.1993.10874552</t>
  </si>
  <si>
    <t>2-s2.0-0027643842</t>
  </si>
  <si>
    <t>['√© tection', 'transponder unique', 'transponder portability', 'small size', 'sar systems', 'remote terminal', 'remote sensing', 'radar sat', 'paper describes', 'multiple built', 'intelligence makes', 'calibration cycles', 'broad range', '1 db']</t>
  </si>
  <si>
    <t>This paper describes the design for an Intelligent Active Radar Transponder (ART) to be used as a ground calibration reference standard and a remote terminal for data transmission Synthetic Aperture Radar (SAR) systems such as Radar sat and ERS-1. The wide adjustable range of the ART Radar Cross-Section (ACS) makes it compatible with practically all SAR systems. The built-in intelligence makes this transponder unique. The ART has been designed to maximize ACS stability 1o¬± 0.1 dB over the operating temperature range of¬± 30¬∞C. Multiple built-in calibration cycles (CALCYCLE) controlled by an iterative algorithm help to achieve a low absolute calibration error. Transponder portability and compactness, enhanced through the use of flat microstrip antenna panels, result in a small size and low cost suitable for a broad range of applications. ¬© Canadian Journal of Remote Sensing/Journal canadien de t√©l√©d√©tection.</t>
  </si>
  <si>
    <t>225-231</t>
  </si>
  <si>
    <t>116212170;60028897</t>
  </si>
  <si>
    <t>6507273296;7404812816</t>
  </si>
  <si>
    <t>Tchaplia, Ilya;Rao, K.</t>
  </si>
  <si>
    <t>Ottawa;</t>
  </si>
  <si>
    <t>University of Ottawa;is with I.T.S. Electronics Inc.</t>
  </si>
  <si>
    <t>60028897;116212170</t>
  </si>
  <si>
    <t>Tchaplia I.</t>
  </si>
  <si>
    <t>On the design and implementation of an intelligent active radar transponder for radarsat and ers-1 calibration</t>
  </si>
  <si>
    <t>10.1080/07038992.1993.10874553</t>
  </si>
  <si>
    <t>2-s2.0-0027643973</t>
  </si>
  <si>
    <t>['radio frequency', 'quadrature receiver', 'principle allows', 'intermediate frequency', 'extensive integration', 'done within', 'digital domain', 'digital converters']</t>
  </si>
  <si>
    <t>A TV receiver design is presented, which uses the principle of the quadrature receiver. Due to a low IF (intermediate frequency) of 2.6MHz, normal video analog to digital converters are sufficient to digitize the complete modulated signal. A lot of RF (radio frequency) processing is done within the digital domain. This processing includes fine selection, separation of picture and sound, and demodulation of picture and sound. The application of this principle allows an extensive integration of usual RF components and brings the digital signal processing closer to the antenna. ¬© 1993 IEEE</t>
  </si>
  <si>
    <t>331-339</t>
  </si>
  <si>
    <t>60024260;60024260</t>
  </si>
  <si>
    <t>7004213627;6507970925</t>
  </si>
  <si>
    <t>Ehrhardt, Dietmar;Benkner, Thorsten</t>
  </si>
  <si>
    <t>Siegen</t>
  </si>
  <si>
    <t>Universit√§t Siegen</t>
  </si>
  <si>
    <t>Ehrhardt D.</t>
  </si>
  <si>
    <t>Digital TV receiver with a low IF</t>
  </si>
  <si>
    <t>10.1109/30.234602</t>
  </si>
  <si>
    <t>2-s2.0-0027644044</t>
  </si>
  <si>
    <t>['three reflectors', 'special algorithm', 'results obtained', 'reflector feed', 'radiation pattern', 'power 4', 'po integration', 'po calculations', 'physical optics', 'high frequencies', 'gregorian dual', 'good agreement', 'factor proportional', 'computer programs', 'cluster feed', 'aperture integration', 'analysis method']</t>
  </si>
  <si>
    <t>A cluster feed for the Gregorian dual-reflector feed of the Arecibo radio telescope is studied. The system is analyzed by forward ray tracing from each individual feed horn via the three reflectors to the aperture. The radiation pattern is determined by aperture integration. The analysis method is very time efficient compared with physical optics (PO) integration, the latter being unusable at high frequencies because the computer time increases by a factor proportional to the frequency to the power 4. Results obtained by the ray tracing method and PO integration are in very good agreement at frequencies low enough to be used for PO calculations. A special algorithm is developed to determine the squint and directivity of an individual main beam without computing the radiation pattern. This makes it possible to use the program very efficiently when searching for optimum cluster feed geometries. The computer programs are used to design a seven-element cluster feed for the Arecibo trireflector system. ¬© 1993 IEEE</t>
  </si>
  <si>
    <t>1019-1025</t>
  </si>
  <si>
    <t>60000990;60000990-60000502;60017695-60019493;60019493</t>
  </si>
  <si>
    <t>7101988263;8380618500;7003641531;8502067100</t>
  </si>
  <si>
    <t>Kildal, Per Simon;Johansson, Martin;Hagfors, Tor;Giovanelli, Riccardo</t>
  </si>
  <si>
    <t>United States;Germany;Sweden;Sweden</t>
  </si>
  <si>
    <t>Ithaca;Gottingen;Gothenburg;Stockholm</t>
  </si>
  <si>
    <t>National Astronomy and Ionosphere Center, New York;Max Planck Institute for Solar System Research;Chalmers University of Technology;Ericsson Radio Systems AB</t>
  </si>
  <si>
    <t>60019493;60017695;60000990;60000502</t>
  </si>
  <si>
    <t>Kildal P.</t>
  </si>
  <si>
    <t>Analysis Of A Cluster Feed For The Arecibo Trireflector System Using Forward Ray Tracing And Aperture Integration</t>
  </si>
  <si>
    <t>10.1109/8.244642</t>
  </si>
  <si>
    <t>2-s2.0-0027644150</t>
  </si>
  <si>
    <t>['used successfully', 'substantial improvements', 'studied extensively', 'partial convolution', 'output signal', 'noise ratio', 'negligible loss', 'fresnel region', 'frequency domain', 'desired signal', 'data processing', 'becomes unacceptable', 'beam toward', 'applebaum type', 'applebaum array', 'also demonstrated']</t>
  </si>
  <si>
    <t>The effect of a finite-distance signal source on the performance of an Applebaum array has been studied extensively in the literature. It has been concluded that unless the Applebaum array is focused at the exact source location, the degradation of the output signal-to-noise ratio (SNR) becomes unacceptable. The automatic focusing technique (AFT), developed for longwavelength imaging systems using nonadaptive linear arrays, is extended to focus adaptive arrays such as the Applebaum type. Thereafter, the far-field steering vector is used successfully to form a beam toward the desired signal while suppressing the interferences. In addition, substantial improvements in data processing have been achieved through the use of a partial convolution in the frequency domain. It is also demonstrated that the AFT can be used when the signal source range lies in the beginning of the Fresnel region of a nonadaptive linear array with negligible loss in the output signal-to-noise ratio. ¬© 1993 IEEE</t>
  </si>
  <si>
    <t>1038-1044</t>
  </si>
  <si>
    <t>60009506;60029671</t>
  </si>
  <si>
    <t>55989912500;6506793257</t>
  </si>
  <si>
    <t>Yamani, Ahmed;Hamiane, Madina</t>
  </si>
  <si>
    <t>Saudi Arabia;Saudi Arabia</t>
  </si>
  <si>
    <t>Dammam;Dhahran</t>
  </si>
  <si>
    <t>Imam Abdulrahman bin Faisal University, College of Science;King Fahd University of Petroleum and Minerals</t>
  </si>
  <si>
    <t>60029671;60009506</t>
  </si>
  <si>
    <t>Yamani A.</t>
  </si>
  <si>
    <t>Removal Of The Finite-Distance Source Effect On The Applebaum Array</t>
  </si>
  <si>
    <t>10.1109/8.244644</t>
  </si>
  <si>
    <t>2-s2.0-0027644264</t>
  </si>
  <si>
    <t>NSC 82-0404-E-002-073</t>
  </si>
  <si>
    <t>1045-1056</t>
  </si>
  <si>
    <t>60023529;60005429</t>
  </si>
  <si>
    <t>7404274990;7401672122</t>
  </si>
  <si>
    <t>Chang, Lena;Yeh, Chien Chung</t>
  </si>
  <si>
    <t>Taiwan;Taiwan</t>
  </si>
  <si>
    <t>Keelung;Taipei</t>
  </si>
  <si>
    <t>National Taiwan Ocean University;National Taiwan University</t>
  </si>
  <si>
    <t>Chang L.</t>
  </si>
  <si>
    <t>Effect Of Pointing Errors On The Performance Of The Projection Beamformer</t>
  </si>
  <si>
    <t>10.1109/8.244645</t>
  </si>
  <si>
    <t>2-s2.0-0027644328</t>
  </si>
  <si>
    <t>['results show', 'interline coupling', 'formulation based', 'decrease monotonically', 'coupling effect']</t>
  </si>
  <si>
    <t>high-speed pulse | Interline coupling</t>
  </si>
  <si>
    <t>Interline coupling of ultra-high-speed pulse propagating on PCB was investigated parametrically using a formulation based on the difference in the odd-mode and even-mode propagation speeds. Results show that the coupling effect does not decrease monotonically with increasing line spacing. ¬© 1993 IEEE</t>
  </si>
  <si>
    <t>401-404</t>
  </si>
  <si>
    <t>60017161;60017161;60017161;60017161</t>
  </si>
  <si>
    <t>7102523120;7401705695;56003101900;56002805800</t>
  </si>
  <si>
    <t>Yeo, T. S.;Ng, C. S.;Leong, M. S.;Kooi, P. S.</t>
  </si>
  <si>
    <t>Yeo T.S.</t>
  </si>
  <si>
    <t>Interline Coupling of Ultra-High-Speed Pulse Propagating on PCB</t>
  </si>
  <si>
    <t>10.1109/15.277315</t>
  </si>
  <si>
    <t>2-s2.0-0027644402</t>
  </si>
  <si>
    <t>['surface formulation', 'mfie ),', 'matrix equation', 'integrodifferential operators', 'integral equations', 'fourier transform', 'electromagnetic scattering', 'different excitations']</t>
  </si>
  <si>
    <t>A set of integral equations based on the surface/surface formulation have been developed in this paper for analyzing the electromagnetic scattering by one-dimensional periodic structures. To compare the accuracy, efficiency, and robustness of the formulation, the electric field integral equation (EFIE), magnetic field integral equation (MFIE), and combined field integral equation (CFIE) have been developed to analyze the same structure for different excitations. Due to the periodicity of the structure, the integral equations have been formulated in the spectral domain using the Fourier transform of the integrodifferential operators. The generalized biconjugate gradient-fast Fourier transform (BiCG-FFT) method with subdomain basis functions has been applied to solve the matrix equation. ¬© 1993 IEEE</t>
  </si>
  <si>
    <t>1069-1080</t>
  </si>
  <si>
    <t>60030551;60030551;60021293;60030035</t>
  </si>
  <si>
    <t>7003762585;7103353366;56838732000;55650323300</t>
  </si>
  <si>
    <t>Petre, Peter;Swaminathan, Madhavan;Yeszely, Gyula;Sarkar, Tapan K.</t>
  </si>
  <si>
    <t>United States;Hungary;United States</t>
  </si>
  <si>
    <t>Syracuse;Budapest;Armonk</t>
  </si>
  <si>
    <t>Syracuse University;Budapest University of Technology and Economics;International Business Machines</t>
  </si>
  <si>
    <t>60030551;60030035;60021293</t>
  </si>
  <si>
    <t>Petre P.</t>
  </si>
  <si>
    <t>Integral Equation Solution For Analyzing Scattering From One-Dimensional Periodic Coated Strips</t>
  </si>
  <si>
    <t>10.1109/8.244648</t>
  </si>
  <si>
    <t>2-s2.0-0027644437</t>
  </si>
  <si>
    <t>['unified treatment', 'superquadric aperture', 'superior parameterization', 'representative results', 'reflector antennas', 'properly implement', 'physical optics', 'parametric representations', 'paper presents', 'main feature', 'key features', 'generally applicable', 'form expression', 'effective applications', 'diffraction integrals', 'aperture boundaries']</t>
  </si>
  <si>
    <t>There are many practical applications for reflector antennas with elliptical (circular) or rounded-rectangular (rounded-square) aperture boundaries. This paper presents a novel and unified treatment of these boundaries by utilizing superquadric functions. Reflector antennas with superquadric aperture boundaries possess unique properties. To reveal these properties and properly implement them in diffraction analysis formulation, important geometrical features of the superquadric aperture, including a closed-form expression for the area, are presented. Parametric representations of the superquadric aperture are investigated, and a superior parameterization is introduced for its effective applications in the process of evaluating the diffraction integrals. Representative results of physical optics (PO) analysis for superquadric reflector antennas are presented, and key features of the radiation pattern characteristics are summarized. Although the focus of this paper is on reflector antennas, the main feature of superquadric aperture characteristics and its parametric representations are generally applicable to any aperture type antennas. ¬© 1993 IEEE</t>
  </si>
  <si>
    <t>1164-1167</t>
  </si>
  <si>
    <t>7007026217;7102110120</t>
  </si>
  <si>
    <t>Duan, D. W.;Rahmat-Samii, Y.</t>
  </si>
  <si>
    <t>Duan D.</t>
  </si>
  <si>
    <t>Reflector Antennas With Superquadric Aperture Boundaries</t>
  </si>
  <si>
    <t>10.1109/8.244663</t>
  </si>
  <si>
    <t>2-s2.0-0027644438</t>
  </si>
  <si>
    <t>DAAL03-91-G-0115</t>
  </si>
  <si>
    <t>1026-1037</t>
  </si>
  <si>
    <t>60005837;60005837;60005837;60005837;60005837;60015186</t>
  </si>
  <si>
    <t>7404289310;57218985569;7402673635;57191378936;55402720600;7402507033</t>
  </si>
  <si>
    <t>Jackson, D. R.;Williams, J. T.;Bhattacharyya, Arun K.;Smith, Richard L.;Buchheit, Stephen J.;Long, S. A.</t>
  </si>
  <si>
    <t>Saskatoon;Houston</t>
  </si>
  <si>
    <t>University of Saskatchewan;University of Houston</t>
  </si>
  <si>
    <t>60015186;60005837</t>
  </si>
  <si>
    <t>Jackson D.R.</t>
  </si>
  <si>
    <t>Microstrip Patch Designs That Do Not Excite Surface Waves</t>
  </si>
  <si>
    <t>10.1109/8.244643</t>
  </si>
  <si>
    <t>2-s2.0-0027644554</t>
  </si>
  <si>
    <t>['synthesis technique', 'paper explores', 'new field', 'new feature', 'field synthesis']</t>
  </si>
  <si>
    <t>This paper explores the possibility of achieving low side lobes in a circular ring array by adopting a new field-synthesis technique. A new feature is the control of the unit (or element) pattern to overcome the phase problem associated with the field synthesis of circular ring array described in the text. ¬© 1993 IEEE</t>
  </si>
  <si>
    <t>1143-1145</t>
  </si>
  <si>
    <t>Vu, T. B.</t>
  </si>
  <si>
    <t>UNSW Sydney</t>
  </si>
  <si>
    <t>Vu T.</t>
  </si>
  <si>
    <t>Sidelobe Control In Circular Ring Array</t>
  </si>
  <si>
    <t>10.1109/8.244657</t>
  </si>
  <si>
    <t>2-s2.0-0027644556</t>
  </si>
  <si>
    <t>NSC81-0404-E110-544</t>
  </si>
  <si>
    <t>['substrate layer', 'spectral domain', 'rigorous green', 'resonance problem', 'power bandwidth', 'numerical results', 'microstrip structures', 'function formulation', 'considerably increased', 'bandwidth characteristics']</t>
  </si>
  <si>
    <t>The resonance problem of the spherical-circular microstrip structure with an airgap between the substrate layer and the ground conducting sphere is studied by using a rigorous Green's function formulation in the spectral domain and Galerkin's moment method calculation. Cc mplex resonant frequencies are obtained in this study, which provide thek resonant frequencies and half-power bandwidth of the structure. From the numerical results, it is found that with the increasing of the airgap 3 thickness, the half-power bandwidth of the structure is considerably increased. This improves the low-bandwidth characteristics of microstrip structures. Details of the numerical results are presented and discussed. ¬© 1993 IEEE</t>
  </si>
  <si>
    <t>1466-1468</t>
  </si>
  <si>
    <t>35460663000;56838718800</t>
  </si>
  <si>
    <t>Kin-Lu, Wong;Hong-Twu, Chen</t>
  </si>
  <si>
    <t>Kin-Lu W.</t>
  </si>
  <si>
    <t>Resonance in a Spherical-Circular Microstrip Structure with an Airgap</t>
  </si>
  <si>
    <t>10.1109/22.241692</t>
  </si>
  <si>
    <t>2-s2.0-0027644718</t>
  </si>
  <si>
    <t>['tm decomposition', 'thin slot', 'space problems', 'perturbation current', 'paper presents', 'microstrip line', 'measured data', 'infinite microstrip', 'ground plane', 'frequency regime', 'equivalent half', 'equivalent circuit', 'electric field', 'discontinuity problem', 'computed results']</t>
  </si>
  <si>
    <t>This paper presents a perturbational approach based u Jon the spectral domain technique for the analysis of the discontinuity effects introduced by a thin slot in the ground plane of a microstrip line. The discontinuity problem is formulated in terms of the unknown slot field by using the notion of equivalent half-space problems, using a new rigorous procedure for deriving the IE-TM decomposition of the fields and equivalent transmission line models. The perturbation current on the infinite microstrip is computed once the electric field in the slot has been derived, and an equivalent circuit for the discontinuity is obtained from this perturbation current for the low-frequency regime. Computed results are presented and compared to the measured data. ¬© 1993 IEEE</t>
  </si>
  <si>
    <t>1356-1362</t>
  </si>
  <si>
    <t>60019141;60000745;60015481</t>
  </si>
  <si>
    <t>7004425647;55197051100;55511318500</t>
  </si>
  <si>
    <t>Kouki, Ammar B.;Mittra, Raj;Chan, Chi Hou</t>
  </si>
  <si>
    <t>Canada;United States;United States</t>
  </si>
  <si>
    <t>Montreal;Seattle;Urbana</t>
  </si>
  <si>
    <t>Polytechnique Montr√©al;University of Washington;University of Illinois Urbana-Champaign</t>
  </si>
  <si>
    <t>60019141;60015481;60000745</t>
  </si>
  <si>
    <t>Kouki A.</t>
  </si>
  <si>
    <t>Analysis of a Thin Slot Discontinuity in the Reference Plane of a Microstrip Structure</t>
  </si>
  <si>
    <t>10.1109/22.241675</t>
  </si>
  <si>
    <t>2-s2.0-0027644743</t>
  </si>
  <si>
    <t>['tht millimeter', 'theoretical predictions', 'test model', 'paper presents', 'mode operation', 'low return', 'band single', 'agreed well', '1 ].']</t>
  </si>
  <si>
    <t>This paper presents a new analytical procedure for the design of the conical corrugated feed horns used in tht millimeter and submillimeter wavelength range, which could achieve wide-band single-mode operation and wide-band, low return-loss impedance matching simultaneously. A test model of the feed horn designed using this procedure displayed excellent peformance, and agreed well with the theoretical predictions [1]. ¬© 1993 IEEE</t>
  </si>
  <si>
    <t>1263-1274</t>
  </si>
  <si>
    <t>Zhang, Xiaolei</t>
  </si>
  <si>
    <t>Design of Conical Corrugated Feed Horns for Wide-Band High-Frequency Applications</t>
  </si>
  <si>
    <t>10.1109/22.241664</t>
  </si>
  <si>
    <t>2-s2.0-0027644872</t>
  </si>
  <si>
    <t>Science and Engineering Research Council</t>
  </si>
  <si>
    <t>SERC</t>
  </si>
  <si>
    <t>['wide variety', 'wide range', 'well proven', 'techniques designed', 'technique results', 'microwave structures', 'material boundaries', 'less efficient', 'electromagnetic analysis', 'efficient technique', 'described whereby', 'coordinate axes', 'computational effort', 'cartesian coordinates', 'antenna structures', 'alternative technique', 'affected nodes']</t>
  </si>
  <si>
    <t>The Finite Difference Time Domain (FDTD) method, implemented in Cartesian coordinates, is well proven as an efficient technique for the electromagnetic analysis of a wide variety of microwave structures. The standard FDTD method is, however, less efficient if the structure under investigation has boundaries which are not parallel to the coordinate axes. Techniques designed to overcome this problem such as locally or globally deformed grids, or the use of nonorthogonal coordinate systems have been reported but these impose a penalty in computational effort or in flexibility. In this contribution, an alternative technique is described whereby the standard Cartesian grid is maintained, and the existence of the material boundaries is accounted for by the use of special finite difference equations for the affected nodes. These equations take account not only of the position of the boundaries but also of the asymptotic field behavior in their vicinity. This technique results in a flexible, accurate, and efficient, implementation which is applicable to a wide range of MMIC and antenna structures. ¬© 1993 IEEE</t>
  </si>
  <si>
    <t>1429-1438</t>
  </si>
  <si>
    <t>Railton, C. J.</t>
  </si>
  <si>
    <t>Bristol</t>
  </si>
  <si>
    <t>University of Bristol</t>
  </si>
  <si>
    <t>Railton C.</t>
  </si>
  <si>
    <t>An Algorithm for the Treatment of Curved Metallic Laminas in the Finite Difference Time Domain Method</t>
  </si>
  <si>
    <t>10.1109/22.241685</t>
  </si>
  <si>
    <t>2-s2.0-0027644873</t>
  </si>
  <si>
    <t>['¬© 1993', 'theoretical results', 'rights reserved', 'original analysis', 'input impedance', 'energy conservation', 'electrical engineers', 'cavity model', 'calculated using']</t>
  </si>
  <si>
    <t>Antenna feeders | Microstrip antennas</t>
  </si>
  <si>
    <t>An original analysis is presented of an aperture coupled microstrip antenna exhibiting parallel slots on the patch in order to obtain dual frequency operation. The theory is based on the cavity model and the input impedance is calculated using the theorem of energy conservation; the theoretical results are compared with measurements. ¬© 1993, The Institution of Electrical Engineers. All rights reserved.</t>
  </si>
  <si>
    <t>1506-1508</t>
  </si>
  <si>
    <t>Aperture coupled microstrip antenna for dual frequency operation</t>
  </si>
  <si>
    <t>10.1049/el:19931004</t>
  </si>
  <si>
    <t>2-s2.0-0027645013</t>
  </si>
  <si>
    <t>['¬© 1993', 'traffic capacity', 'rights reserved', 'letter investigates', 'electrical engineers', 'deployment implications', 'cdma system']</t>
  </si>
  <si>
    <t>Code division | Fading | Mobile radio systems | Multiple access</t>
  </si>
  <si>
    <t>The Letter investigates the issue of uncorrelated multipath fading on uplink and downlink radio channels which impacts the handoff decision quality of slowly moving users in a CDMA system. Simulation results indicate a resulting capacity reduction by as much as 30% when all the users experience quasistationary, single-path Rayleigh fading. This work is targeted toward understanding the traffic capacity and deployment implications to local exchange networks of wireless technology alternatives that could provide access to those networks. ¬© 1993, The Institution of Electrical Engineers. All rights reserved.</t>
  </si>
  <si>
    <t>1533-1534</t>
  </si>
  <si>
    <t>Ariyavisitakul, S.</t>
  </si>
  <si>
    <t>Ariyavisitakul S.</t>
  </si>
  <si>
    <t>Effects of slow fading on the performance of a CDMA system</t>
  </si>
  <si>
    <t>10.1049/el:19931021</t>
  </si>
  <si>
    <t>2-s2.0-0027645030</t>
  </si>
  <si>
    <t>['¬© 1993', 'untilted slot', 'suspended slotline', 'slot width', 'rights reserved', 'rectangular waveguide', 'power radiated', 'narrow wall', 'excitation mechanism', 'electrical engineers']</t>
  </si>
  <si>
    <t>Antennas | Slot antenna</t>
  </si>
  <si>
    <t>The excitation mechanism of an untilted slot in the narrow wall of a rectangular waveguide by a suspended slotline has been described. Power radiated by this slot as a function of the slot width of the suspended slotline has been measured. This excitation mechanism appears promising for microwave integrated circuit antennas. ¬© 1993, The Institution of Electrical Engineers. All rights reserved.</t>
  </si>
  <si>
    <t>1553-1554</t>
  </si>
  <si>
    <t>60004750;60004750</t>
  </si>
  <si>
    <t>6507567085;56224976000</t>
  </si>
  <si>
    <t>Satyamurthy, Y.;Garg, R.</t>
  </si>
  <si>
    <t>Satyamurthy Y.</t>
  </si>
  <si>
    <t>Excitation of untilted edge slots by a suspended slotline</t>
  </si>
  <si>
    <t>10.1049/el:19931035</t>
  </si>
  <si>
    <t>2-s2.0-0027645031</t>
  </si>
  <si>
    <t>['synthesis procedure', 'parabolic curve', 'optimum solution', 'new algorithm', 'iterations compared', 'compton algorithm']</t>
  </si>
  <si>
    <t>A numerical synthesis algorithm for the synthesis of arbitrary discrete arrays is given. The technique is based on the Olen and Compton algorithm, but employs a different iterative recursive algorithm yielding an optimum convergence rate. It is shown that the new algorithm is able to converge to the optimum solution in a significantly reduced number of iterations compared with the technique of Olen and Compton. Use of the technique is illustrated by applying the synthesis procedure to a ten-element linear array and to a conformal array consisting of ten dipoles located on a parabolic curve. ¬© 1993 IEEE</t>
  </si>
  <si>
    <t>1171-1174</t>
  </si>
  <si>
    <t>60029714;60029714</t>
  </si>
  <si>
    <t>7006605977;35577624800</t>
  </si>
  <si>
    <t>Swart, W. A.;Olivier, J. C.</t>
  </si>
  <si>
    <t>Swart W.</t>
  </si>
  <si>
    <t>Numerical Synthesis Of Arbitrary Discrete Arrays</t>
  </si>
  <si>
    <t>10.1109/8.244665</t>
  </si>
  <si>
    <t>2-s2.0-0027646165</t>
  </si>
  <si>
    <t>['successfully applied', 'shaped reflector', 'results demonstrate', 'reflector illuminated', 'provide control', 'geometric shaping', 'geometric optics', 'feed array', 'distributed source', 'antenna geometry']</t>
  </si>
  <si>
    <t>A reflector illuminated by a small phased array is an attractive antenna configuration for systems requiring reconfigurable contoured beams. The use of a shaped reflector can provide control of the fed power distribution and antenna geometry. A systematic reflector synthesis technique based on geometric optics is formulated, using complex coordinate notation and illustrated by application to a simple design requirement. Results demonstrate that geometric shaping can be successfully applied to systems with distributed source, and that significant beam reconfiguration can be achieved by phase-only control of the feed array.</t>
  </si>
  <si>
    <t>263-268</t>
  </si>
  <si>
    <t>7006049500;7004261323</t>
  </si>
  <si>
    <t>Searle, A. D.;Westcott, B. S.</t>
  </si>
  <si>
    <t>Searle A.</t>
  </si>
  <si>
    <t>Hybrid antenna synthesis for reconfigurable contoured beams</t>
  </si>
  <si>
    <t>10.1049/ip-h-2.1993.0039</t>
  </si>
  <si>
    <t>2-s2.0-0027646342</t>
  </si>
  <si>
    <t>['two classes', 'terminals around', 'sight environments', 'short time', 'receiving antennas', 'received power', 'radio channel', 'personnel near', 'multipath profiles', 'manually shaking', 'local movements', 'indoor environment', 'given location', 'fixed transmitter', 'experimental variations', 'different locations', 'channel variations', '910 mhz']</t>
  </si>
  <si>
    <t>In an indoor environment, channel variations which occur most frequently are due to the movement of personnel near the transmitting or receiving antennas and/or local movements of the terminals around a given location. Such spatial and short time variations in the indoor radio channel are studied and determined by performing wideband propagation experiments in line of sight and nonline of sight environments at 910 MHz. The database is divided into two classes: spatial and short time variations. Spatial variations deal with the changes in the radio channel, observed over a short time and space, at different locations in an environment. The short time variations address changes induced over time, by human traffic close to the fixed transmitter/receiver or by manually shaking the antenna on its base. The statistics of rms delay spread and the received power in the multipath profiles are computed and compared for these experimental variations.</t>
  </si>
  <si>
    <t>297-302</t>
  </si>
  <si>
    <t>60010547;60010547</t>
  </si>
  <si>
    <t>7005057180;35613861900</t>
  </si>
  <si>
    <t>Ganesh, R.;Pahlavan, K.</t>
  </si>
  <si>
    <t>Sarnoff Corporation</t>
  </si>
  <si>
    <t>Ganesh R.</t>
  </si>
  <si>
    <t>Statistics of short time and spatial variations measured in wideband indoor radio channels</t>
  </si>
  <si>
    <t>10.1049/ip-h-2.1993.0045</t>
  </si>
  <si>
    <t>2-s2.0-0027646415</t>
  </si>
  <si>
    <t>['waveguide mode', 'spectral analysis', 'single grooves', 'similar cavities', 'scattering cavities', 'results highlight', 'realistic simplification', 'polarized scattering', 'point matching', 'parametric studies', 'obtain results', 'matching scheme', 'lab setting', 'integral expressions', 'incident wavelength', 'finite beam', 'dissimilar cavities', 'computational requirements', 'cavity structures', 'cavity patterns', 'calculated patterns']</t>
  </si>
  <si>
    <t>H-polarized scattering is investigated for perfectly conducting surfaces containing one, two, or many parallel grooves. Incidence is transverse to the axes of the cavities, which are of rectangular cross section and on the order of the incident wavelength in size. For cases with many regularly spaced cavities, a Floquet and waveguide mode-matching scheme is used that incorporates the effects of a nonplanar, nonuniform incident beam, a corresponding receiving pattern, and a finite target size. Realistic simplification of the receiving pattern greatly reduces the computational requirements for the case of backscatter. For single grooves, point matching is used between waveguide mode and integral expressions. Measured backscatter patterns show negligible coupling effects for two nearby cavities; thus, pattern multiplication using single-cavity patterns is applied to obtain results for dual-cavity structures. Calculated patterns for single-cavity and multiplecavity targets agree well with Ka-band laboratory measurements. The results highlight the significance of the finite beam and lab setting in surface scattering studies, and show grating type behavior for two or more scattering cavities. Parametric studies and spectral analysis for multiplecavity structures suggest an ability to estimate individual cavity width and separation for sets of similar cavities, and to estimate cavity separation even for dissimilar cavities. ¬© 1993 IEEE</t>
  </si>
  <si>
    <t>1122-1131</t>
  </si>
  <si>
    <t>60030443;60030443;60010756</t>
  </si>
  <si>
    <t>36910403300;56838778700;7102750366</t>
  </si>
  <si>
    <t>Schiavone, Guy A.;O-Neill, Kevin;Paulsen, Keith D.</t>
  </si>
  <si>
    <t>Hanover;Hanover</t>
  </si>
  <si>
    <t>Thayer School of Engineering at Dartmouth;Dartmouth College</t>
  </si>
  <si>
    <t>60030443;60010756</t>
  </si>
  <si>
    <t>Schiavone G.</t>
  </si>
  <si>
    <t>H polarized Scattering From Single And Multiple Elongated Cavities</t>
  </si>
  <si>
    <t>10.1109/8.244654</t>
  </si>
  <si>
    <t>2-s2.0-0027646527</t>
  </si>
  <si>
    <t>['resistive plane', 'original structure', 'model preserves', 'half plane', 'good agreement', 'determined via', 'associated wiener']</t>
  </si>
  <si>
    <t>The diffraction of a resistive half plane over a planar resistive sheet under plane wave illumination is determined via the dual integral equation method (a variation of the Wiener-Hopf method). The solution is obtained upon splitting the associated Wiener-Hopf functions via a numerically efficient routine. Based on the derived exact half plane diffraction coefficient, a simplified equivalent model of the structure is developed when the separation of the half plane and resistive plane is on the order of a tenth of a wavelength or less. The model preserves the geometrical optics field of the original structure for all angles and is based on an approximate image theory of the resistive plane. Good agreement is obtained with the diffracted field exact solution. ¬© 1993 IEEE</t>
  </si>
  <si>
    <t>1063-1068</t>
  </si>
  <si>
    <t>6603454529;7102576479</t>
  </si>
  <si>
    <t>Natzke, John R.;Volakis, John L.</t>
  </si>
  <si>
    <t>Natzke J.</t>
  </si>
  <si>
    <t>Characterization Of A Resistive Half Plane Over A Resistive Sheet</t>
  </si>
  <si>
    <t>10.1109/8.244647</t>
  </si>
  <si>
    <t>2-s2.0-0027646583</t>
  </si>
  <si>
    <t>['results agree', 'hie produces', 'hie ).', 'fields near', 'edge instead', 'constant near', 'consistent results', 'computed using']</t>
  </si>
  <si>
    <t>Electromagnetic fields scattered by a finite dielectric wedge are computed using a hypersingular integral equation (HIE). The results are compared with those obtained previously using a singular integral equation (SIE) and with the theory that predicts that the fields near the edge of the wedge behave like static fields. The HIE produces more consistent results than the probably because the unknown boundary function tends to a constant near the edge instead of diverging. The two numerical methods agree reasonably well, and these results agree only in part with the static field behavior. ¬© 1993 IEEE</t>
  </si>
  <si>
    <t>1001-1008</t>
  </si>
  <si>
    <t>Marx, Egon</t>
  </si>
  <si>
    <t>Marx E.</t>
  </si>
  <si>
    <t>Electromagnetic Scattering From A Dielectric Wedge And The Single Hypersingular Integral Equation</t>
  </si>
  <si>
    <t>10.1109/8.244640</t>
  </si>
  <si>
    <t>2-s2.0-0027646695</t>
  </si>
  <si>
    <t>['various values', 'two half', 'surface impedances', 'planes joined', 'numerical solution', 'modified wiener', 'infinite system', 'infinite set', 'hopf equation', 'first reduced', 'diffraction problem', 'diffraction phenomenon', 'constants satisfying']</t>
  </si>
  <si>
    <t>Plane wave diffraction by two half-planes joined by a step is studied in the case where the half-planes and the step are characterized by different surface impedances. The diffraction problem is first reduced to a modified Wiener-Hopf equation of the second kind whose solution contains an infinite set of constants satisfying an infinite system of linear algebraic equations. A numerical solution of this system is obtained for various values of the surface impedances and the height of the step, through which the effect of these parameters on the diffraction phenomenon is studied. ¬© 1993 IEEE</t>
  </si>
  <si>
    <t>1160-1164</t>
  </si>
  <si>
    <t>60022002-60014221;60022002</t>
  </si>
  <si>
    <t>7006099581;6603570060</t>
  </si>
  <si>
    <t>B√ºy√ºkaksoy, Alinur;Birbir, Filiz</t>
  </si>
  <si>
    <t>Turkey;Turkey</t>
  </si>
  <si>
    <t>Istanbul;Gebze</t>
  </si>
  <si>
    <t>ƒ∞stanbul Teknik √úniversitesi;TUBITAK Marmara Research Center</t>
  </si>
  <si>
    <t>60022002;60014221</t>
  </si>
  <si>
    <t>B√ºy√ºkaksoy A.</t>
  </si>
  <si>
    <t>Plane Wave Diffraction By An Impedance Step</t>
  </si>
  <si>
    <t>10.1109/8.244662</t>
  </si>
  <si>
    <t>2-s2.0-0027647025</t>
  </si>
  <si>
    <t>['snr improvements', 'single dsp', 'results obtained', 'prototype system', 'noise ratio', 'experiments covering', 'detection threshold', 'audio output', '6 db']</t>
  </si>
  <si>
    <t>A new noise suppression algorithm utilizing the digital signal processing technique incorporated with the spectral subtraction technology in audio frequency band has been developed in order to improve the SNR (signal-to-noise ratio) of the audio output of the FM radio receiver. By using a single DSP (digital signal processor) in which the algorithm is implemented, an prototype system has been constructed. The results obtained with the experiments are: 1. SNR improvements up to 6 dB are consistently obtained throughout the experiments covering from weak to strong antenna input signal strengths. 2. The levels of distortion and process noise generated by the introduction of the noise suppression system are less than the detection threshold of the employed measuring equipment. ¬© 1993 IEEE</t>
  </si>
  <si>
    <t>533-539</t>
  </si>
  <si>
    <t>60107350;60107350</t>
  </si>
  <si>
    <t>7005293554;7402527850</t>
  </si>
  <si>
    <t>Nohara, Akira;Kane, Joji</t>
  </si>
  <si>
    <t>Nohara A.</t>
  </si>
  <si>
    <t>A noise suppression system for FM radio receiver</t>
  </si>
  <si>
    <t>10.1109/30.234631</t>
  </si>
  <si>
    <t>2-s2.0-0027647141</t>
  </si>
  <si>
    <t>['√© tection', '¬± 0', 'weather conditions', 'two instruments', 'stable background', 'signal attenuation', 'section accuracy', 'remote sensing', 'reflector deployment', 'rainwater droplets', 'radar cross', 'paper assesses', 'image response', 'grass sites', 'based scatterometer', 'approximately 0', '3 db', '2 db', '1 sar']</t>
  </si>
  <si>
    <t>Four large precision comer reflectors were deployed for an experiment to calibrate the ERS-1 SAR. This paper assesses the performance of the reflectors and also of a radome cover developed to allow the targets to be used in all weather conditions. The reflectors were constructed with a radar cross-section accuracy of better than ¬± 0.3 dB and were found to have a stability of approximately the same order. The radome cover produced a signal attenuation of approximately 0.3 dB, although this increased in the presence of rainwater droplets. Variations of up to 2 dB in the image response from the reflectors were found. These variations were shown to be related to changes in the replica pulse power. Soil and grass fields used for the reflector deployment were compared. The grass sites were found to provide the darker, more stable background. Additionally, a ground-based scatterometer was used to make measurements coincident with ERS-1 SAR imaging passes. A comparison of the data shows good agreement between the two instruments. ¬© Canadian Journal of Remote Sensing/Journal canadien de t√©l√©d√©tection.</t>
  </si>
  <si>
    <t>232-238</t>
  </si>
  <si>
    <t>116212111;116212111;116212111</t>
  </si>
  <si>
    <t>7103230879;6603490686;6603048874</t>
  </si>
  <si>
    <t>Bird, P. J.;Keyte, G. E.;Kenward, D. R.D.</t>
  </si>
  <si>
    <t>Farnborough</t>
  </si>
  <si>
    <t>Kenward are with the Defence Research Agency</t>
  </si>
  <si>
    <t>Bird P.</t>
  </si>
  <si>
    <t>An experiment for the radiometric calibration of the ers-1 sar</t>
  </si>
  <si>
    <t>10.1080/07038992.1993.10874554</t>
  </si>
  <si>
    <t>2-s2.0-0027647264</t>
  </si>
  <si>
    <t>NSC81-0404-el lo-544</t>
  </si>
  <si>
    <t>['without considering', 'wave analysis', 'superstrate permittivity', 'rectangular patch', 'numerical results', 'moment method', 'edge singularity', 'also presented']</t>
  </si>
  <si>
    <t>The complex resonant frequency of a superstrate- loaded rectangular microstrip structure is investigated. The study is performed by using a full-wave analysis and Galerkin's moment method. The numerical convergence using sinusoidal basis functions, with and without considering the edge singularity to expand the unknown surface current distribution on the rectangular patch, is discussed. Numerical results for the effects of superstrate permittivity and thickness on the complex resonant frequency of the rectangular microstrip structure are also presented. ¬© 1993 IEEE</t>
  </si>
  <si>
    <t>1349-1355</t>
  </si>
  <si>
    <t>7004026337;35460663000</t>
  </si>
  <si>
    <t>Jeen-Sheen, Row;Kin-Lu, Wong</t>
  </si>
  <si>
    <t>Jeen-Sheen R.</t>
  </si>
  <si>
    <t>Resonance in a Superstrate-Loaded Rectangular Microstrip Structure</t>
  </si>
  <si>
    <t>10.1109/22.241674</t>
  </si>
  <si>
    <t>2-s2.0-0027647429</t>
  </si>
  <si>
    <t>['using time', 'two media', 'surface impedances', 'permits one', 'oblique incidence', 'method presented', 'independent media', 'incident wave', 'horizontal polarizations', 'fourier transform', 'fdtd algorithm', 'exact formulation', 'discretization volume', 'dimensional results', 'difference time', 'classical fdtd']</t>
  </si>
  <si>
    <t>Modeling of interfaces between two media, using time-domain surface impedances, permits one to reduce the discretization volume in the finite-difference time-domain (FDTD) technique. The method presented here is based on an exact formulation of surface impedances, starting from Fresnel reflection coefficients for oblique incidence of the incident wave. The concept, valid for homogeneous and frequency-independent media, is then introduced in an FDTD algorithm where it is converted into a surface-impedance boundary condition (SIBC) for vertical or horizontal polarizations of locally plane waves. In this paper, two- and three-dimensional results are compared to those computed with classical FDTD or Fresnel reflection coefficients involving a Fourier transform. ¬© 1993 IEEE</t>
  </si>
  <si>
    <t>347-356</t>
  </si>
  <si>
    <t>60008447;60008447;60008447</t>
  </si>
  <si>
    <t>6507459731;7006402070;7004363654</t>
  </si>
  <si>
    <t>Kellali, Salah;Jecko, Bernard;Reineix, Alain</t>
  </si>
  <si>
    <t>Kellali S.</t>
  </si>
  <si>
    <t>Implementation of a Surface Impedance Formalism at Oblique Incidence in FDTD Method</t>
  </si>
  <si>
    <t>10.1109/15.277309</t>
  </si>
  <si>
    <t>2-s2.0-0027647459</t>
  </si>
  <si>
    <t>['two dimensions', 'surface fields', 'rendered sparse', 'plane wave', 'one applies', 'negligible level', 'local nature', 'interactions represented', 'field focus', 'equivalent sources', 'electrical size', 'diagonal elements', 'currently limited', 'correspondingly increased', 'coefficients matrix', 'closed structures', 'bounding surface', 'basis functions', 'appropriate selection']</t>
  </si>
  <si>
    <t>The coefficients matrix which results when one applies the method of moments to the solution of the electric field integral equation is rendered sparse by appropriate selection of basis functions. These new basis functions arise when equivalent sources are arranged in such a manner as to produce a field focus on the bounding surface. The local nature of the focused fields reduces to a negligible level the interactions represented by many of the off-diagonal elements of the coefficients matrix. Moreover, the resulting basis appears to represent the surface fields more efficiently than many of the commonly used bases. The technique is currently limited to closed structures. Its application is demonstrated in two dimensions by computing the scattering of a plane wave by circular and square perfectly conducting cylinders. As the electrical size of the structure is increased and the number of unknowns is correspondingly increased, it is demonstrated that the number of significant matrix elements per row remains approximately constant. ¬© 1993 IEEE</t>
  </si>
  <si>
    <t>1081-1087</t>
  </si>
  <si>
    <t>Pogorzelski, Ronald J.</t>
  </si>
  <si>
    <t>General Research Corporation</t>
  </si>
  <si>
    <t>Pogorzelski R.</t>
  </si>
  <si>
    <t>Improved Computational Efficiency Via Nearfield Localization</t>
  </si>
  <si>
    <t>10.1109/8.244649</t>
  </si>
  <si>
    <t>2-s2.0-0027647492</t>
  </si>
  <si>
    <t>['smallest maximum', 'scattering patterns', 'resistive loads', 'neither tapering', 'grating lobes']</t>
  </si>
  <si>
    <t>The scattering patterns from perfectly conducting strips with constant resistive edge loads have periodic grating lobes that rise above the reduced relative sidelobe levels. These grating lobes are a function of the resistive load width and seriously limit scattering sidelobe reduction. Neither tapering the resistivity of the load nor adding more resistive loads of the same width will further reduce the maximum sidelobe level. This paper derives equations to predict the size and location of the grating lobes. In addition, optimum edge loads are derived to produce the smallest maximum. ¬© 1993 IEEE</t>
  </si>
  <si>
    <t>1139-1143</t>
  </si>
  <si>
    <t>Haupt, Randy L.</t>
  </si>
  <si>
    <t>Colorado Springs</t>
  </si>
  <si>
    <t>United States Air Force Academy</t>
  </si>
  <si>
    <t>Haupt R.</t>
  </si>
  <si>
    <t>Grating Lobes In The Scattering Patterns Of Edge-Loaded Strips</t>
  </si>
  <si>
    <t>10.1109/8.244656</t>
  </si>
  <si>
    <t>2-s2.0-0027647553</t>
  </si>
  <si>
    <t>['wider class', 'two kinds', 'rectangular elements', 'rectangular cells', 'planar circuits', 'numerical results', 'located parallel', 'geometric shapes', 'first step', 'existing approach', 'domain analysis', 'arbitrarily directed']</t>
  </si>
  <si>
    <t>An existing approach for the spectral-domain analysis of planar circuits in layered media based on piecewise-sinusoidal current expansion functions over rectangular elements which are located parallel or perpendicular to each other is expanded to a wider class of geometric shapes. In a first step the rectangular cells are allowed to be arbitrarily directed in the plane of the circuit. In a second step triangular elements are used to combine arbitrary rectangular cells. Two kinds of current expansion functions with different computational effort are applied to the triangular and its two adjacent rectangular elements. Numerical results are presented. ¬© 1993 IEEE</t>
  </si>
  <si>
    <t>1145-1147</t>
  </si>
  <si>
    <t>60005322;60005322</t>
  </si>
  <si>
    <t>7004819868;56196059900</t>
  </si>
  <si>
    <t>Eibert, Thomas F.;Hansen, Volkert</t>
  </si>
  <si>
    <t>Bochum</t>
  </si>
  <si>
    <t>Ruhr-Universitat Bochum</t>
  </si>
  <si>
    <t>Eibert T.</t>
  </si>
  <si>
    <t>Triangular And Rectangular Elements In The Spectral-Domain Analysis Of Arbitrarily Shaped Planar Circuits</t>
  </si>
  <si>
    <t>10.1109/8.244658</t>
  </si>
  <si>
    <t>2-s2.0-0027647554</t>
  </si>
  <si>
    <t>['domain response', 'domain characterizations', 'different antennas', 'comparisons show']</t>
  </si>
  <si>
    <t>A set of time-domain characterizations that can efficiently describe wide band antennas is proposed in this paper. The experimentally measured responses of transverse electromagnetic horn antennas are used to evaluate the utility of these characterizations. Comparisons are made between the antennas‚Äô frequency-domain response and their time-domain characterizations. The comparisons show that the time-domain characterizations can provide significant insight into an antenna‚Äôs behavior as well as providing a means to accurately compare two or more different antennas. ¬© 1993 IEEE</t>
  </si>
  <si>
    <t>339-346</t>
  </si>
  <si>
    <t>60023053;60023053</t>
  </si>
  <si>
    <t>7005655303;6602402610</t>
  </si>
  <si>
    <t>Allen, Oliver E.;Ondrejka, Arthur R.</t>
  </si>
  <si>
    <t>Allen O.</t>
  </si>
  <si>
    <t>Time-Domain Antenna Characterizations</t>
  </si>
  <si>
    <t>10.1109/15.277308</t>
  </si>
  <si>
    <t>2-s2.0-0027647568</t>
  </si>
  <si>
    <t>['¬© 1993', 'waveguiding structure', 'rights reserved', 'rectangular cross', 'important aspects', 'hollow tube', 'guiding region', 'frequency response', 'frequencies away', 'electrical engineers', 'conducting elements']</t>
  </si>
  <si>
    <t>Frequency-selective surfaces | Waveguides</t>
  </si>
  <si>
    <t>A hollow tube (rectangular cross-section) employing a frequency selective surface of conducting elements has been constructed and tested as a waveguiding structure. The measured results presented include the frequency response of the waveguide and radiation patterns observed at frequencies away from the guiding region. The important aspects of the results are discussed with reference to fast and slow wave structures. ¬© 1993, The Institution of Electrical Engineers. All rights reserved.</t>
  </si>
  <si>
    <t>1531-1533</t>
  </si>
  <si>
    <t>7403386408;35562114200;7003531756</t>
  </si>
  <si>
    <t>Robinson, A. J.;Vardaxoglou, J. C.;Seager, R. D.</t>
  </si>
  <si>
    <t>Robinson A.J.</t>
  </si>
  <si>
    <t>Wave guidance and radiation from a hollow tube formed from frequency-selective surfaces</t>
  </si>
  <si>
    <t>10.1049/el:19931020</t>
  </si>
  <si>
    <t>2-s2.0-0027647601</t>
  </si>
  <si>
    <t>['¬© 1993', 'rights reserved', 'radiates like', 'potentially useful', 'experiments show', 'electrical engineers', 'electric monopole', 'constructing small']</t>
  </si>
  <si>
    <t>Dielectric resonators | Monopole antennas</t>
  </si>
  <si>
    <t>A dielectric ring resonator antenna structure which radiates like an electric monopole is reported. The use of high Er resonator material leads to small antenna height. Experiments show that the proposed antenna configuration is potentially useful for constructing small and compact ‚Äòelectric-monopole‚Äô antennas. ¬© 1993, The Institution of Electrical Engineers. All rights reserved.</t>
  </si>
  <si>
    <t>1530-1531</t>
  </si>
  <si>
    <t>60028897;60018714;60028897;60018714</t>
  </si>
  <si>
    <t>57208023373;57027512900;57027395900;7004481899</t>
  </si>
  <si>
    <t>Mongia, R. K.;Ittipiboon, A.;Bhartia, P.;Cuhaci, M.</t>
  </si>
  <si>
    <t>Ottawa;Ottawa</t>
  </si>
  <si>
    <t>University of Ottawa;Communications Research Centre</t>
  </si>
  <si>
    <t>60028897;60018714</t>
  </si>
  <si>
    <t>Electric-monopole antenna using a dielectric ring resonator</t>
  </si>
  <si>
    <t>10.1049/el:19931019</t>
  </si>
  <si>
    <t>2-s2.0-0027647812</t>
  </si>
  <si>
    <t>['transmitted waveforms', 'transmission waveforms', 'theoretically based', 'simultaneous measurement', 'received signal', 'polarimetric radars', 'point targets', 'particular reference', 'measurement method', 'four elements', 'different types']</t>
  </si>
  <si>
    <t>A method recently proposed for the simultaneous measurement of all four elements of the target scattering matrix in polarimetric radars is considered and analyzed. The method makes use of pulse signal coding and is theoretically based on the simultaneous independent transmission of two orthogonal signals on two orthogonally polarized channels feeding the same antenna. The elements of the target scattering matrix are retrieved by correlating the received signal on each orthogonally polarized channel with both the transmitted waveforms. The potential advantages offered by this measurement method are discussed, with particular reference to the accuracy of the scattering matrix measurement in the presence of point targets. Related radar system implication and improvements are discussed, and applications of different types of transmission waveforms are considered.</t>
  </si>
  <si>
    <t>233-241</t>
  </si>
  <si>
    <t>60021859;60021859;60021859</t>
  </si>
  <si>
    <t>7006020332;7006654571;7003416148</t>
  </si>
  <si>
    <t>Giuli, D.;Fossi, M.;Facheris, L.</t>
  </si>
  <si>
    <t>Florence</t>
  </si>
  <si>
    <t>Universit√† degli Studi di Firenze</t>
  </si>
  <si>
    <t>Giuli D.</t>
  </si>
  <si>
    <t>Radar target scattering matrix measurement through orthogonal signals</t>
  </si>
  <si>
    <t>10.1049/ip-f-2.1993.0033</t>
  </si>
  <si>
    <t>2-s2.0-0027648597</t>
  </si>
  <si>
    <t>['wiley company', 'smpa gives', 'resonating frequency', 'relative position', 'maximum variation', 'inc .,', 'impedance bandwidth', 'highest bw', 'feed line', 'diagonal feed', 'bandwidths mentioned', '10 ghz', '012 %),']</t>
  </si>
  <si>
    <t>antenna feed | electromagnetic coupling | Microstrip antenna | patch antenna</t>
  </si>
  <si>
    <t>The rectangular microstrip putch antenna (RMPA) and square microstrip patch antenna (SMPA), designed to resonate at about 10 GHz, are excited by a electromagneticully coupled microstrip line. The effect of variation in the offset and inset of the feed line on resonating frequency (fr), VSWR, and impedance bandwidth (BW) are experimentally studied using alumina substrate. It is seen that SMPA gives the highest BW of 4.98% for diagonal feed. The lowest BW obtained is for side‚Äêfed SMPA (0.012%), with maximum variation in BW of 1:278. The best trade‚Äêoff to get such a variable BW easily, with only feed point adjustment using electromagnetic coupling for these patches, is to use a long‚Äêside‚Äêfed RMPA which gives sufficiently good BW variation of 1:98 and the lowest possible mismatch error, while adjusting the relative position of the feeder microstrip line. All the bandwidths mentioned above are only obtained when, simultaneously, VSWR &lt; 2. Such an RMPA may also give multifrequency operation. ¬© 1993 John Wiley &amp; Sons, Inc. Copyright ¬© 1993 Wiley Periodicals, Inc., A Wiley Company</t>
  </si>
  <si>
    <t>594-597</t>
  </si>
  <si>
    <t>60031475;60031475;60031475;60031475</t>
  </si>
  <si>
    <t>7004062364;7004663238;56418256800;7003630464</t>
  </si>
  <si>
    <t>Yousefi, M. H.;Aiyer, R. C.;Vaitheeswaran, S. M.;Karekar, R. N.</t>
  </si>
  <si>
    <t>Yousefi M.</t>
  </si>
  <si>
    <t>Wide‚Äêrange variable‚Äêbandwidth microstrip patch antenna using electromagnetic coupling</t>
  </si>
  <si>
    <t>10.1002/mop.4650061010</t>
  </si>
  <si>
    <t>2-s2.0-0027648609</t>
  </si>
  <si>
    <t>['well suited', 'usual time', 'resulting tim', 'original data', 'natural extension', 'gating concept', 'frequency representation', 'frequency plane', 'frequency domain', 'dimensional gates', 'coated strip', 'backscattered signal', 'applying two']</t>
  </si>
  <si>
    <t>The short-time Fourier transform is applied to analyze the backscattered signal from a coated strip with a gap in the coating. The resulting tim+frequency display shows good localization of the different scattering mechanisms. In particular, the time-frequency representation is well suited for identifying the dispersive surface wave contributions. The different scattering mechanisms are further extracted by applying two-dimensional gates in the time-frequency plane. This is a natural extension of the usual time-gating concept and allows the original data to be decomposed into a set of fundamental scattering mechanisms in either the time or the frequency domain. ¬© 1993 IEEE</t>
  </si>
  <si>
    <t>1147-1150</t>
  </si>
  <si>
    <t>60013372;60013372;115667977;115667977</t>
  </si>
  <si>
    <t>7202062608;55733558800;57191272248;6602300037</t>
  </si>
  <si>
    <t>Ling, H.;Moore, J.;Bouche, D.;Saavedra, V.</t>
  </si>
  <si>
    <t>United States;France</t>
  </si>
  <si>
    <t>Austin;</t>
  </si>
  <si>
    <t>The University of Texas at Austin;33114 Le Bam</t>
  </si>
  <si>
    <t>60013372;115667977</t>
  </si>
  <si>
    <t>Ling H.</t>
  </si>
  <si>
    <t>Time-Frequency Analysis Of Backscattered Data From A Coated Strip With A Gap</t>
  </si>
  <si>
    <t>10.1109/8.244659</t>
  </si>
  <si>
    <t>2-s2.0-0027648656</t>
  </si>
  <si>
    <t>['¬© 1993', 'rights reserved', 'propagation mechanisms', 'letter proposes', 'investigated using', 'horizon link', 'electrical engineers', 'chart recordings', 'based approach', '156 km']</t>
  </si>
  <si>
    <t>Radiowave propagation | Tropospheric electromagnetic wave propagation</t>
  </si>
  <si>
    <t>To study the propagation mechanisms of trans-horizon radio links, the Letter proposes an event-based approach. Data from one year captured on a trans-horizon link of 156 km are divided into different groups according to the signal amplitude signature of the chart recordings. The propagation mechanisms for each group are investigated using the crosscorrelation between received signal amplitudes along the same path. These amplitudes are obtained using two different transmitter antenna heights. ¬© 1993, The Institution of Electrical Engineers. All rights reserved.</t>
  </si>
  <si>
    <t>1582-1583</t>
  </si>
  <si>
    <t>60025475;60025475</t>
  </si>
  <si>
    <t>7402721229;7005084056</t>
  </si>
  <si>
    <t>Shen, X.;Tawfik, A. N.</t>
  </si>
  <si>
    <t>Portsmouth</t>
  </si>
  <si>
    <t>University of Portsmouth</t>
  </si>
  <si>
    <t>Shen X.</t>
  </si>
  <si>
    <t>Dynamic behaviour of radio channels due to trans-horizon propagation mechanisms</t>
  </si>
  <si>
    <t>10.1049/el:19931054</t>
  </si>
  <si>
    <t>2-s2.0-0027648854</t>
  </si>
  <si>
    <t>['¬© 1993', 'single layer', 'rights reserved', 'elementary principle', 'elementary patch', 'electrical engineers', 'dielectric substrate', 'band application']</t>
  </si>
  <si>
    <t>Antennas | Microstrip antennas</t>
  </si>
  <si>
    <t>A broadband microstrip patch concept is presented. Fed using electromagnetic coupling, but over a single layer of dielectric substrate, this simple mechanical structure permits antenna applications in structurally and thermally severe environments. One S-band application is presented for such elementary patch and for a cylindrical ‚Äòbelt‚Äô microstrip antenna of omnidirectional pattern built around this elementary principle. ¬© 1993, The Institution of Electrical Engineers. All rights reserved.</t>
  </si>
  <si>
    <t>1588-1589</t>
  </si>
  <si>
    <t>100419562;100419562</t>
  </si>
  <si>
    <t>6506998130;6602503873</t>
  </si>
  <si>
    <t>Buralli, B.;Sauvan, M.</t>
  </si>
  <si>
    <t>La Bocca</t>
  </si>
  <si>
    <t>Aerospatiale</t>
  </si>
  <si>
    <t>Buralli B.</t>
  </si>
  <si>
    <t>New bandwidth extension technique for conformal microstrip antennas</t>
  </si>
  <si>
    <t>10.1049/el:19931058</t>
  </si>
  <si>
    <t>2-s2.0-0027648855</t>
  </si>
  <si>
    <t>['√© tection', 'tentatively concluded', 'sar parameters', 'sar characteristics', 'sar ).', 'remote sensing', 'radiometric distortions', 'processor gains', 'launched successfully', 'last h', 'land information', 'l launcher', 'globally observe', 'february 11', 'data analyses', 'confirmed satisfactory', 'april 8', 'analyzed following']</t>
  </si>
  <si>
    <t>The Japanese Earth Resources Satellite (JERS-1) was launched successfully at 1:50 Universal Time on February 11, 1992, from Japan‚Äôs launching site, the Tanegashima Space Center. The center is located on Japan‚Äôs southern island, at 30:24¬∞N latitude and 130:58‚ÄòE longitude. The satellite was launched by the last H-l launcher and was inteneded to globally observe the Earth‚Äôs surface by two major sensors: the OPtical Sensor System (OPS) and the L-band Synthetic Aperture Radar (SAR). The Mission Data Recorder (MDR) will restore the sensors‚Äô data over the ground station unavailability. Because JERS-1 is oriented to observe the land more characteristics than the ocean, the SAR parameters are to the land information, and reduce both geometric and radiometric distortions. After the successful SAR antenna deployment on April 8, which was confirmed 60 days after the schedule, several SAR data takes of on-board calibration data and ground-based calibration signals were conducted and analyzed following the SAR calibration procedure. Finally, SAR characteristics in terms of antenna, receiver, processor gains, and processed and unprocessed image quality of the SAR were obtained. We tentatively concluded that most of the specification was confirmed satisfactory through these data analyses and evaluations. ¬© Canadian Journal of Remote Sensing/Journal canadien de t√©l√©d√©tection.</t>
  </si>
  <si>
    <t>247-258</t>
  </si>
  <si>
    <t>60022990;60022990;60022990</t>
  </si>
  <si>
    <t>35473149000;7201803337;7005133337</t>
  </si>
  <si>
    <t>Shimada, M.;Nakai, M.;Kawase, S.</t>
  </si>
  <si>
    <t>Japan Aerospace Exploration Agency</t>
  </si>
  <si>
    <t>Shimada M.</t>
  </si>
  <si>
    <t>Inflight evalua hon of the l-band sar ofjers-1</t>
  </si>
  <si>
    <t>10.1080/07038992.1993.10874556</t>
  </si>
  <si>
    <t>2-s2.0-0027649039</t>
  </si>
  <si>
    <t>['two types', 'two configurations', 'slot coupling', 'hypothesis used', 'frequency bands', 'feeds used', 'coaxial probe', 'applications envisaged']</t>
  </si>
  <si>
    <t>Two types of feeds used to obtain broadband operation in multilayer microstrip antennas are compared, namely the coaxial probe and slot coupling. These two configurations are compared in terms of the approximation and hypothesis used in developing a model for the antennas and the radio characteristics obtained in the frequency bands (L, C, X/Ku) of the applications envisaged for these antennas.</t>
  </si>
  <si>
    <t>303-308</t>
  </si>
  <si>
    <t>60110693;60110693;60110693</t>
  </si>
  <si>
    <t>6603231347;6602489960;7003385210</t>
  </si>
  <si>
    <t>Croq, F.;Kossiavas, G.;Papiernik, A.</t>
  </si>
  <si>
    <t>Nice</t>
  </si>
  <si>
    <t>Universit√© C√¥te d'Azur</t>
  </si>
  <si>
    <t>Croq F.</t>
  </si>
  <si>
    <t>Stacked resonators for bandwidth enhancement: a comparison of two feeding techniques</t>
  </si>
  <si>
    <t>10.1049/ip-h-2.1993.0046</t>
  </si>
  <si>
    <t>2-s2.0-0027649111</t>
  </si>
  <si>
    <t>['tm modes', 'ssl probe', 'ssl obtained', 'sinusoidal distribution', 'simplifications reduce', 'separate calculation', 'radiating aperture', 'phase constant', 'original problem', 'modified structure', 'modal expansion', 'measurement plane', 'measured results', 'input impedance', 'good agreement', 'general expression', 'experimental investigation', 'different modes', 'cylindrical cavity', 'characteristic impedance']</t>
  </si>
  <si>
    <t>In this paper we describe a theoretical and experimental investigation of a cylindrical cavity-hacked suspended stripline (SSL) antenna. The problem is viewed as a transition of the SSL to a circular cylindrical waveguide opening into an infinite ground plane. The fields in the waveguide are expanded in terms of TE and TM modes. The effect of the radiating aperture on the modal expansion of the fields is taken into account by introducing reflection coefficients for each mode. The current on the SSL probe is assumed to have sinusoidal distribution. These simplifications reduce the original problem to that of a known radially oriented current residing on a dielectric sheet inside a circularcylindrical cavity whose top wall has known impedances corresponding to different modes. The Green-s function for this modified structure is found and is used to obtain a general expression for the input impedance using variational formula. This expression is specialized for the case where the SSL probe and the radiating aperture are coupled through the dominant TEll mode only. Finally, this input impedance is translated to the measurement plane of the antenna by using the characteristic impedance and phase constant of the SSL obtained from a separate calculation. The computed and measured results are found to be in good agreement. ¬© 1993 IEEE</t>
  </si>
  <si>
    <t>1155-1160</t>
  </si>
  <si>
    <t>60020547;60021988</t>
  </si>
  <si>
    <t>7004302566;6603942863</t>
  </si>
  <si>
    <t>Goswami, J. C.;Sachidananda, M.</t>
  </si>
  <si>
    <t>India;United States</t>
  </si>
  <si>
    <t>Kanpur;College Station</t>
  </si>
  <si>
    <t>Indian Institute of Technology Kanpur;Texas A&amp;M University</t>
  </si>
  <si>
    <t>60021988;60020547</t>
  </si>
  <si>
    <t>Goswami J.</t>
  </si>
  <si>
    <t>Cylindrical Cavity-Backed Suspended Stripline Antenna theory And Experiment</t>
  </si>
  <si>
    <t>10.1109/8.244661</t>
  </si>
  <si>
    <t>2-s2.0-0027649240</t>
  </si>
  <si>
    <t>['wiley company', 'spatially sampled', 'sn ratio', 'reference signal', 'received signal', 'radiation pattern', 'proposed algorithm', 'optimum weight', 'multipath fading', 'mobile communications', 'lms algorithm', 'limited number', 'interference waves', 'inc .,', 'factor degrading', 'estimation accuracy', 'enable elimination', 'delayed signals', 'computer simulation', 'communication quality', 'communication channel', 'basic characteristics', 'array antenna', 'appropriate control']</t>
  </si>
  <si>
    <t>array antenna | estimation accuracy | Multipath fading | reference signal | spatial frequency</t>
  </si>
  <si>
    <t>Multipath fading is a factor degrading the communication quality in mobile communications. It has been reported that an adaptive array antenna can enable elimination of the effect of delayed signals by an appropriate control of the radiation pattern. In this paper, it is recognized that an optimum weight of the array antenna can be computed if the direction of arrival and the signal‚Äêto‚Äênoise ratio of the received signal are known. By using the spatial frequency derived by the discrete Fourier transform (DFT) of the received signal which is spatially sampled by the array antenna, an algorithm is proposed in which the directions of arrival and the signal‚Äêto‚Äênoise (SN) ratio of the desired and interference waves are estimated and an optimum weight coefficient of the antenna is computed. This algorithm is different from those in the conventional adaptive digital filter algorithms such as the LMS algorithm. It requires no reference signal and can follow quickly changes in the communication channel. Further, a method is proposed to improve the estimation accuracy of the direction of arrival and the SN ratio with a limited number of elements by using the property of the DFT. To confirm the principle of the proposed algorithm, the basic characteristics are evaluated by computer simulation. Copyright ¬© 1993 Wiley Periodicals, Inc., A Wiley Company</t>
  </si>
  <si>
    <t>96-108</t>
  </si>
  <si>
    <t>7006077920;7102287283;56894680100</t>
  </si>
  <si>
    <t>Yim, Choonsik;Kohno, Ryuji;Imai, Hideki</t>
  </si>
  <si>
    <t>Yim C.</t>
  </si>
  <si>
    <t>Adaptive array antenna based on estimation of arrival angles using DFT on spatial domain</t>
  </si>
  <si>
    <t>10.1002/ecja.4410760809</t>
  </si>
  <si>
    <t>2-s2.0-0027649281</t>
  </si>
  <si>
    <t>Whirlpool Corporation</t>
  </si>
  <si>
    <t>['trace size', 'recently developed', 'radiated fields', 'radiated emission', 'mode currents', 'microstrip antennas', 'electrically small', 'coupling due', 'computed results', 'computed currents']</t>
  </si>
  <si>
    <t>A mixed (scalar and vector) potential surface integral equation formulation, recently developed for microstrip antennas, is employed in conjunction with the method of moments to predict the radiated emission from arbitrarily shaped printed circuit traces. Computed currents and radiated fields for a typical trace configuration in the form of a rectangular loop loaded by low or high impedance lumped loads indicate good agreement with transmission line theory and/or elementary loop antenna analysis, when the trace size is electrically small. Computed results are presented to emphasize the radiation and coupling due to common-mode currents. ¬© 1993 IEEE</t>
  </si>
  <si>
    <t>366-377</t>
  </si>
  <si>
    <t>60018306-60021293-60015941</t>
  </si>
  <si>
    <t>Naishadham, Krishna</t>
  </si>
  <si>
    <t>Armonk;Dayton;Lexington</t>
  </si>
  <si>
    <t>International Business Machines;Wright State University;University of Kentucky</t>
  </si>
  <si>
    <t>60021293;60018306;60015941</t>
  </si>
  <si>
    <t>Naishadham K.</t>
  </si>
  <si>
    <t>Full-Wave Analysis of Radiated Emission from Arbitrarily Shaped Printed Circuit Traces</t>
  </si>
  <si>
    <t>10.1109/15.277311</t>
  </si>
  <si>
    <t>2-s2.0-0027649315</t>
  </si>
  <si>
    <t>OGP0046227</t>
  </si>
  <si>
    <t>['uniform formulas', 'uniform formula', 'surface formulas', 'shadow region', 'require switching', 'paper develops', 'nonuniform formulas', 'line dipole', 'fock integrals', 'field due']</t>
  </si>
  <si>
    <t>This paper develops a uniform asymptotic formula for the creeping wave field in the shadow region of a conducting circular cylinder, excited by a magnetic line source or line dipole on the surface. Unlike previous developments in terms of Fock integrals, the uniform formula does not require switching between on and off surface formulas. Furthermore, the uniform formula is more accurate in the transition region near the surface, where neither the on or off surface formulas work very well. Validation is by comparison with an exact numerical solution for the field due to a single surface ray. An empirical switchover criterion for the nonuniform formulas is suggested, and limitations of both the nonuniform and uniform formulas are discussed. ¬© 1993 IEEE</t>
  </si>
  <si>
    <t>1099-1104</t>
  </si>
  <si>
    <t>Paknys, Robert</t>
  </si>
  <si>
    <t>Paknys R.</t>
  </si>
  <si>
    <t>Uniform Asymptotic Formulas For The Creeping Wave Field On Or Off A Cylinder</t>
  </si>
  <si>
    <t>10.1109/8.244651</t>
  </si>
  <si>
    <t>2-s2.0-0027649336</t>
  </si>
  <si>
    <t>['small arrays', 'single patches', 'several arrays', 'rigorous green', 'rigorous element', 'results obtained', 'rectangular grid', 'phased array', 'paper presents', 'microstrip patches', 'large arrays', 'good even', 'function corresponding', 'first step', 'finite array', 'elementary sources', 'element patterns', 'element approach', 'edge effects', 'active impedance']</t>
  </si>
  <si>
    <t>This paper presents a method for the analysis of large phased arrays of microstrip patches. It is based on an infinite array approach where the edge effects are taken into account through the convolution with a proper window function. In the first step, a rigorous Green's function corresponding to a finite array of elementary sources is derived. This Green's function is then used to analyze the finite phased array of microstrip patches. Results are shown for the active impedance and element patterns of several arrays, and compared with measurements or, in the case of small arrays, with results obtained by a rigorous element-by-element approach. It is shown that the method, even if developed for the anaysis of large arrays, is able to handle small arrays. Indeed, the results obtained are good even for single patches. Although the method has been developed for the microstrip phased array case, the results obtained are general and are valid for any phased array with a rectangular grid. ¬© 1993 IEEE</t>
  </si>
  <si>
    <t>1105-1114</t>
  </si>
  <si>
    <t>60028186;60028186</t>
  </si>
  <si>
    <t>6701417455;7006665188</t>
  </si>
  <si>
    <t>Skrivervik, Anja K.;Mosig, Juan R.</t>
  </si>
  <si>
    <t>Switzerland</t>
  </si>
  <si>
    <t>Lausanne</t>
  </si>
  <si>
    <t>Swiss Federal Institute of Technology Lausanne</t>
  </si>
  <si>
    <t>Skrivervik A.</t>
  </si>
  <si>
    <t>Analysis Of Finite Phase Arrays Of Microstrip Patches</t>
  </si>
  <si>
    <t>10.1109/8.244652</t>
  </si>
  <si>
    <t>2-s2.0-0027649382</t>
  </si>
  <si>
    <t>['¬© 1993', 'rights reserved', 'nearly identical', 'multifrequency operation', 'experimental results', 'electrical engineers']</t>
  </si>
  <si>
    <t>Microstrip antennas | Spur-line filters</t>
  </si>
  <si>
    <t>A triple-band microstrip patch antenna is demonstrated by using a spur-line bandstop filter and a perturbation segment technique. This multifrequency operation can be obtained without increasing either the size or the thickness of the patch. In addition, through experimental results, the characteristics in all channels are shown to be nearly identical. ¬© 1993, The Institution of Electrical Engineers. All rights reserved.</t>
  </si>
  <si>
    <t>1565-1566</t>
  </si>
  <si>
    <t>60011520;60011520</t>
  </si>
  <si>
    <t>7003359258;57203106162</t>
  </si>
  <si>
    <t>S√°nchez-Hern√°ndez, D.;Robertson, I.</t>
  </si>
  <si>
    <t>King's College London</t>
  </si>
  <si>
    <t>S√°nchez-Hern√°ndez D.</t>
  </si>
  <si>
    <t>Triple band microstrip patch antenna using a spur-line filter and a perturbation segment technique</t>
  </si>
  <si>
    <t>10.1049/el:19931043</t>
  </si>
  <si>
    <t>2-s2.0-0027649595</t>
  </si>
  <si>
    <t>['√© tection', 'system responsible', 'sar image', 'remote sensing', 'processing algorithm', 'paper describes', 'major group', 'german processing', 'geos system', 'geocoded products', 'geocoded ers', 'derived residuals', 'archiving facility', '1 satellites']</t>
  </si>
  <si>
    <t>During the commissioning and early operational phase of the ERS-1 satellites the AMI-SAR sensor generated many hundreds of digital data sets. A major group of products are geocoded ERS-1 SAR images. The system responsible for generating geocoded SAR data at the German Processing and Archiving Facility is the GEOS system. This paper describes the method and results of validation of the standard geocoded products: ellipsoid and terrain geocoded images. The position of ground control points and active radar reflectors were measured in the SAR image. For these tests, scenes from Germany (Frankfurt) and The Netherlands (Flevoploder) were used. With the derived residuals the algorithms of GEOS were verified. The results were integrated into the processing algorithm. The geocoded products were then validated as ESA standard ERS-1 SAR products. ¬© Canadian Journal of Remote Sensing/Journal canadien de t√©l√©d√©tection.</t>
  </si>
  <si>
    <t>239-244</t>
  </si>
  <si>
    <t>60007798;60007798;60007798;60007798</t>
  </si>
  <si>
    <t>56618752900;57215455626;56256016700;6504056870</t>
  </si>
  <si>
    <t>Kosmann, D.;Schreier, G.;Roth, A.;Huegel, T.</t>
  </si>
  <si>
    <t>¬†Cologne</t>
  </si>
  <si>
    <t>Deutsches Zentrum fur Luft- Und Raumfahrt</t>
  </si>
  <si>
    <t>Kosmann D.</t>
  </si>
  <si>
    <t>Geometric validation of operationai ers-1 geocoded sar products</t>
  </si>
  <si>
    <t>10.1080/07038992.1993.10874555</t>
  </si>
  <si>
    <t>2-s2.0-0027649605</t>
  </si>
  <si>
    <t>['wave antennas', 'useful conclusions', 'theoretical curves', 'reject filters', 'periodical chirowaveguide', 'numerical approach', 'novel features', 'new type', 'canonical examples', 'also shown']</t>
  </si>
  <si>
    <t>A new type of periodical chirowaveguide is proposed in the paper. A numerical approach for solving the problem, which is a combination of the mode expansion method and the least-squares boundary residual method, is developed. Canonical examples are presented to show the validity and usefulness of the method. The novel features of the new type of waveguide are also shown. To help design band-reject filters and leaky-wave antennas, some theoretical curves and useful conclusions are presented.</t>
  </si>
  <si>
    <t>254-258</t>
  </si>
  <si>
    <t>Rong, Y.</t>
  </si>
  <si>
    <t>Nanjing University of Science and Technology</t>
  </si>
  <si>
    <t>Rong Y.</t>
  </si>
  <si>
    <t>Propagation characteristics of circular chirowaveguides periodically loaded with metal gratings</t>
  </si>
  <si>
    <t>10.1049/ip-h-2.1993.0037</t>
  </si>
  <si>
    <t>2-s2.0-0027649632</t>
  </si>
  <si>
    <t>['three different', 'reflector system', 'proposed near', 'paper describes', 'halfplane shielding', 'far field', 'attenuation caused', 'antenna orientation']</t>
  </si>
  <si>
    <t>The paper describes the off-axis radiation pattern calculation of a Cassegrain antenna system with prescribed geometrical parameters, in the absence and presence of a (hypothetical) half-plane obstacle located either in the near or far field of the antenna. The attenuation caused by the obstacle as a function of antenna orientation and position is calculated and presented. The results for the halfplane shielding of the double-reflector system are compared with those obtained for a single-reflector antenna system shielded by the same obstacle. Three different, but related, approaches for calculating the additional propagation loss are presented and compared. It is found that the proposed near-field approach gives the best overall results.</t>
  </si>
  <si>
    <t>309-314</t>
  </si>
  <si>
    <t>6603941265;6507918893</t>
  </si>
  <si>
    <t>van Dooren, G. A.J.;Govaerts, H. J.F.G.</t>
  </si>
  <si>
    <t>van Dooren G.</t>
  </si>
  <si>
    <t>Shielding of single- and double-reflector earth station antennas: a near- and far-field approach</t>
  </si>
  <si>
    <t>10.1049/ip-h-2.1993.0047</t>
  </si>
  <si>
    <t>2-s2.0-0027649633</t>
  </si>
  <si>
    <t>['various scattering', 'strictly concave', 'scattered fields', 'scattered field', 'reduced using', 'eutd solution', 'effectively describe', 'diffraction processes', 'curvature diffraction', 'classic go', 'canonical functions', 'also universal']</t>
  </si>
  <si>
    <t>A uniform geometrical optics (UGO) and an extended uniform geometrical theory of diffraction (EUTD) solution is developed for the scattering and diffraction from perfectly conducting cubic polynomial strips. The new solution overcomes the difficulties of the classic GO/UTD solution near caustics and composite shadow boundaries. The approach for constructing the UGO/EUTD solution is based on a spatial domain physical optics (PO) radiation integral representation for the scattered field which is then reduced using a uniform asymptotic procedure. New uniform reflection, zero-curvature diffraction, and edge diffraction coefficients are derived and involve the ordinary and incomplete Airy integrals as canonical functions. Higher order effects such as double edge diffraction, edge-excited creeping waves, and whispering gallery modes are not examined in this work. The UGO/EUTD solution is very efficient and provides useful physical insight into the various scattering and diffraction processes. It is also universal in nature and can be used to effectively describe the scattered fields from flat, strictly concave or convex, and concave-convex boundaries containing edges. Its accuracy is confirmed via comparison with some reference moment method (MM) results. ¬© 1993 IEEE</t>
  </si>
  <si>
    <t>1088-1098</t>
  </si>
  <si>
    <t>6603249001;7004052296</t>
  </si>
  <si>
    <t>Constantinides, Evagoras D.;Marhefka, Ronald J.</t>
  </si>
  <si>
    <t>Constantinides E.</t>
  </si>
  <si>
    <t>A Ugo/Eutd Solution For The Scattering And Diffraction From Cubic Polynomial Strips</t>
  </si>
  <si>
    <t>10.1109/8.244650</t>
  </si>
  <si>
    <t>2-s2.0-0027650109</t>
  </si>
  <si>
    <t>['vector potential', 'successful derivation', 'several methods', 'readily used', 'paper presents', 'numerically convenient', 'nearfield regions', 'kernel may', 'exact representation', 'exact formulation', 'exact expression', 'electric fields', 'discussed including', 'dipole radius', 'completely general', 'certain integral', 'arbitrary radius']</t>
  </si>
  <si>
    <t>This paper presents an exact formulation for the vector potential and corresponding electric fields associated with a uniform current cylindrical dipole antenna of arbitrary radius. A mathematically exact representation of the vector potential and electric fields has not previously been available for cylindrical wire antennas. The exact expressions given in this paper converge rapidly in the induction and nearfield regions of the antenna. They are completely general and independent of the usual restrictions involving the wavelength, field point distance, dipole radius and length. The properties of these exact expressions allow them to be readily used for the efficient as well as accurate computational modeling of cylindrical wire antennas. The successful derivation of an exact expression for the uniform current vector potential, and ultimately the electric fields, depends upon finding an exact representation for the cylindrical wire kernel integral as well as a certain integral of this kernel. An exact expression for the cylindrical wire kernel will be presented which is analytically as well as numerically convenient to work with. It will be demonstrated that the integral of the kernel may be expressed in terms of a series which involves a generalized exponential integral and higher-order associated integrals. Several methods for evaluating the generalized exponential integral will be discussed including some useful asymptotic expansions. A numerically stable forward recurrence relation for the higher-order associated integrals will also be presented. ¬© 1993 IEEE</t>
  </si>
  <si>
    <t>1009-1018</t>
  </si>
  <si>
    <t>Werner, D. H.</t>
  </si>
  <si>
    <t>An Exact Formulation For The Vector Potential Of A Cylindrical Antenna With Uniformly Distributed Current And Arbitrary Radius</t>
  </si>
  <si>
    <t>10.1109/8.244641</t>
  </si>
  <si>
    <t>2-s2.0-0027650213</t>
  </si>
  <si>
    <t>['wiley company', 'transmitting filter', 'transmission filter', 'receiving filter', 'reactance slope', 'paper proposes', 'minimum number', 'large amount', 'iterative approximation', 'inc .,', 'design method', 'design equation', 'computed values', 'computation time', 'circuit transformation', 'branching circuit', 'attenuation poles', 'antenna duplexer', 'actual example']</t>
  </si>
  <si>
    <t>antenna duplexer | attenuation poles | Dielectric coaxial resonator | elliptic function filter</t>
  </si>
  <si>
    <t>A design method is conceived for a miniaturized antenna duplexer with attenuation poles. Its effect is indicated by using it as an antenna duplexer for the 800‚ÄêMHz portable telephone. The transmitting filter has a band‚Äêrejection filter characteristic of an elliptic function type while the receiving filter has a Chebyshev bandpass filter with attenuation poles. Previously, the design of these filters has been carried out by an optimum design using an iterative approximation from an initial design value. Hence, a large amount of computation time was required. This paper proposes a design method without an iterative approximation. In the transmission filter, resonators with a low characteristic impedance are used. In the conventional band‚Äêrejection filter design of an elliptic function type, the linearity of the reactance slope of the resonators is degraded and the insertion loss near the passband edge increases. A method of compensating for this increase is presented. In the receiving filter, the design equation for the conventional Chebyshev characteristic was modified. It is shown that a bandpass filter characteristic with attenuation poles can easily be designed. A branching circuit is added to these filters, and an antenna duplexer is constructed with a minimum number of components by the circuit transformation. The computed values of the filter characteristic agreed well with the actual example. In comparison with the optimization method based on the iterative approximation, the amount of computation for the design was about one‚Äêtwentieth. Copyright ¬© 1993 Wiley Periodicals, Inc., A Wiley Company</t>
  </si>
  <si>
    <t>48-60</t>
  </si>
  <si>
    <t>8756663X</t>
  </si>
  <si>
    <t>Electronics and Communications in Japan (Part II: Electronics)</t>
  </si>
  <si>
    <t>60017386;60017386</t>
  </si>
  <si>
    <t>7404313995;35411438300</t>
  </si>
  <si>
    <t>Matsumoto, Haruo;Nishikawa, Toshio</t>
  </si>
  <si>
    <t>Nagaokakyo</t>
  </si>
  <si>
    <t>Murata Manufacturing Co., Ltd.</t>
  </si>
  <si>
    <t>Matsumoto H.</t>
  </si>
  <si>
    <t>Design of miniaturized dielectric duplexer with attenuation poles</t>
  </si>
  <si>
    <t>10.1002/ecjb.4420760805</t>
  </si>
  <si>
    <t>2-s2.0-0027650248</t>
  </si>
  <si>
    <t>['¬© 1993', 'rights reserved', 'linear array', 'host surface', 'electrical engineers', 'conformal arrays', 'circular cylinder']</t>
  </si>
  <si>
    <t>Antenna arrays | Antenna theory</t>
  </si>
  <si>
    <t>A technique is described for the synthesis of conformal arrays. Account is taken of the effect of individual element patterns and polarisation in the presence of the host surface. The application of the method to the case of a linear array of slots on a circular cylinder is discussed. ¬© 1993, The Institution of Electrical Engineers. All rights reserved.</t>
  </si>
  <si>
    <t>1733-1734</t>
  </si>
  <si>
    <t>7003519884;57203176700</t>
  </si>
  <si>
    <t>Botha, E.;McNamara, D. A.</t>
  </si>
  <si>
    <t>Botha E.</t>
  </si>
  <si>
    <t>Conformal array synthesis using alternating projections, with maximal likelihood estimation used in one of the projection operators</t>
  </si>
  <si>
    <t>10.1049/el:19931153</t>
  </si>
  <si>
    <t>2-s2.0-0027652743</t>
  </si>
  <si>
    <t>['¬© 1993', 'rights reserved', 'key feature', 'electrical engineers', 'aperture distributions', 'analytical expression']</t>
  </si>
  <si>
    <t>Antenna theory | Reflector antennas</t>
  </si>
  <si>
    <t>The use of a gradient function method to optimise aperture fields for contoured beam reflector antennas is shown to be efficient when compared with other approaches. A key feature of the method is that an analytical expression is used to modify the aperture distributions in each iteration. ¬© 1993, The Institution of Electrical Engineers. All rights reserved.</t>
  </si>
  <si>
    <t>1735-1737</t>
  </si>
  <si>
    <t>60025225;60025225</t>
  </si>
  <si>
    <t>7004261323;7003982874</t>
  </si>
  <si>
    <t>Westcott, B. S.;Zaporozhets, A. A.</t>
  </si>
  <si>
    <t>Southampton</t>
  </si>
  <si>
    <t>University of Southampton</t>
  </si>
  <si>
    <t>Westcott B.</t>
  </si>
  <si>
    <t>Fast synthesis of aperture distributions for contoured beam reflector antennas</t>
  </si>
  <si>
    <t>10.1049/el:19931155</t>
  </si>
  <si>
    <t>2-s2.0-0027652744</t>
  </si>
  <si>
    <t>['¬© 1993', 'rights reserved', 'previous work', 'mitigation bandwidth', 'letter gives', 'form expressions', 'elegant method', 'electrical engineers', 'combat fading', 'chip modulation']</t>
  </si>
  <si>
    <t>Mobile radio systems | Spread spectrum communication</t>
  </si>
  <si>
    <t>Previous work has defined the mitigation bandwidth of DSPN as employed to combat fading over the dense scatterer mobile digital link. The Letter gives a simple, elegant method for computing mitigation bandwidth. No sacrifice of precision is conceded, and closed-form expressions are given for BPSK. and MSK. chip modulation. ¬© 1993, The Institution of Electrical Engineers. All rights reserved.</t>
  </si>
  <si>
    <t>1743-1745</t>
  </si>
  <si>
    <t>Amoroso, F.</t>
  </si>
  <si>
    <t>Improved method for calculating mitigation bandwidth of DSPN signals</t>
  </si>
  <si>
    <t>10.1049/el:19931161</t>
  </si>
  <si>
    <t>2-s2.0-0027653055</t>
  </si>
  <si>
    <t>['¬© 1993', 'rights reserved', 'noise ratio', 'electrical engineers', 'best performance', 'available signal']</t>
  </si>
  <si>
    <t>Field effect transistors | Heterojunction bipolar transistors</t>
  </si>
  <si>
    <t>Optoelectronic mixing experiments with a range of different InGaAs transistor structures are reported. Results of measurements with both optically and electrically pumped devices show that heterojunction bipolar transistors offer the best performance in terms of the available signal/noise ratio, where values in excess of 30dB have been obtained. ¬© 1993, The Institution of Electrical Engineers. All rights reserved.</t>
  </si>
  <si>
    <t>1796-1797</t>
  </si>
  <si>
    <t>60014174;60014174;60014174;60014174</t>
  </si>
  <si>
    <t>6506752685;23023532000;7004545939;7006153735</t>
  </si>
  <si>
    <t>Urey, Z.;Wake, D.;Newson, D. J.;Henning, I. D.</t>
  </si>
  <si>
    <t>Ipswich</t>
  </si>
  <si>
    <t>British Telecom Research Lab</t>
  </si>
  <si>
    <t>Urey Z.</t>
  </si>
  <si>
    <t>Comparison of InGaAs transistors as optoelectronic mixers</t>
  </si>
  <si>
    <t>10.1049/el:19931195</t>
  </si>
  <si>
    <t>2-s2.0-0027653809</t>
  </si>
  <si>
    <t>['¬© 1993', 'waveguide horn', 'theoretical results', 'rights reserved', 'moments technique', 'hyperbolic subreflector', 'electrical engineers', 'cosine functions', 'comparing experimental']</t>
  </si>
  <si>
    <t>Method of moments | Reflector antennas</t>
  </si>
  <si>
    <t>The design of a low VSWR axisymmetric subreflector using the method of moments is described. To reduce the power reflected back into the waveguide horn the surface of the hyperbolic subreflector is deformed using raised-cosine functions. The method of moments technique is then validated by comparing experimental and theoretical results. ¬© 1993, The Institution of Electrical Engineers. All rights reserved.</t>
  </si>
  <si>
    <t>1734-1735</t>
  </si>
  <si>
    <t>118840580;60011520</t>
  </si>
  <si>
    <t>King's College London;BAe Dynamics Ltd</t>
  </si>
  <si>
    <t>60011520;118840580</t>
  </si>
  <si>
    <t>Design of low VSWR axisymmetric subreflector</t>
  </si>
  <si>
    <t>10.1049/el:19931154</t>
  </si>
  <si>
    <t>2-s2.0-0027655304</t>
  </si>
  <si>
    <t>['simple method', 'similar effect', 'radiation therapy', 'paper investigates', 'investigated widely', 'clinical treatment', 'array center']</t>
  </si>
  <si>
    <t>The use of interstitial microwave antenna array hyperthermia (IMAAH) as a treatment for cancer, in conjunction with radiation therapy and chemotherapy, has been investigated widely. The beating pattern produced by a coherently phased 915 MHz asymmetric antenna array displays the maximum power deposition in the array center. This paper investigates the effect of variable insertion depth between antennas of an array on the heating patterns produced. The ‚Äústudy‚Äù of this heating behavior demonstrates a similar effect to that of the variably phased arrays, showing a shift of the heating peak towards the periphery of the tumor, offering a more simple method for the clinical treatment of such tumors. ¬© 1993 IEEE</t>
  </si>
  <si>
    <t>925-932</t>
  </si>
  <si>
    <t>60004572;60004572;60020416</t>
  </si>
  <si>
    <t>6602297375;7003835242;7102820326</t>
  </si>
  <si>
    <t>Clibbon, Katharine L.;McCowen, Andrew;Hand, Jeffrey W.</t>
  </si>
  <si>
    <t>London;Swansea</t>
  </si>
  <si>
    <t>Hammersmith Hospital;Swansea University</t>
  </si>
  <si>
    <t>60020416;60004572</t>
  </si>
  <si>
    <t>Clibbon K.L.</t>
  </si>
  <si>
    <t>SAR Distributions in Interstitial Microwave Antenna Arrays With a Single Dipole Displacement</t>
  </si>
  <si>
    <t>10.1109/10.245614</t>
  </si>
  <si>
    <t>2-s2.0-0027655348</t>
  </si>
  <si>
    <t>['¬© 1993', 'wave device', 'slot line', 'satisfactory agreement', 'rights reserved', 'resonant structure', 'planar slot', 'output power', 'line structure', 'impatt diode', 'experimental data', 'equivalent circuit', 'electrical engineers', 'diode design', 'active millimetre', 'active device']</t>
  </si>
  <si>
    <t>Active antennas | IMPATT diodes | Slot antennas</t>
  </si>
  <si>
    <t>The matching of a radiating, resonant structure to an active millimetre-wave device is investigated. As an active device, an IMPATT diode is considered to be matched to a planar slot-line structure. An analytical IMPATT diode model and an equivalent circuit of the slot line are used to calculate possible oscillation frequencies and large-signal modulation parametres of the diode. In the case of matching the output power is predicted. The results are in satisfactory agreement with experimental data and suggest a diode design with shorted drift regions and reduced diode area for optimum impedance matching. ¬© 1993, The Institution of Electrical Engineers. All rights reserved.</t>
  </si>
  <si>
    <t>1772-1774</t>
  </si>
  <si>
    <t>60085149;60085149;60019722;60019722</t>
  </si>
  <si>
    <t>7004589090;7003971679;7003533185;7004736208</t>
  </si>
  <si>
    <t>Luy, J. F.;Buechler, J.;Thieme, M.;Biebl, E.</t>
  </si>
  <si>
    <t>Stuttgart;Munich</t>
  </si>
  <si>
    <t>Daimler AG;Technical University of Munich</t>
  </si>
  <si>
    <t>60085149;60019722</t>
  </si>
  <si>
    <t>Luy J.</t>
  </si>
  <si>
    <t>Matching of active millimetre-wave slot-line antennas</t>
  </si>
  <si>
    <t>10.1049/el:19931180</t>
  </si>
  <si>
    <t>2-s2.0-0027655993</t>
  </si>
  <si>
    <t>Israel Academy of Sciences and Humanities</t>
  </si>
  <si>
    <t>['waveguide representing', 'seated tumor', 'sar distributions', 'results show', 'numerical simulations', 'hyperthermia system', 'human torso', 'excitation coefficients', 'dominant mode', 'distribution around', 'dimensional problem', 'cutoff frequency', 'array elements']</t>
  </si>
  <si>
    <t>A method is proposed for determining the excitation coefficients of an antenna array operating in a large rectangular waveguide and used as a hyperthermia system. The excitation coefficients of the array elements are optimized for attaining an improved specific absorption rate (SAR) distribution around a deep-seated tumor. The method is applied to a two-dimensional problem of a piecewise homogeneous post in a waveguide representing a section of the human torso. The array is operating below the cutoff frequency of the dominant mode of the waveguide. Numerical simulations have been performed to check the effectiveness of this approach. The results show that by using the proposed optimization method, SAR distributions can be improved. ¬© 1993 IEEE</t>
  </si>
  <si>
    <t>946-952</t>
  </si>
  <si>
    <t>7006183137;7005691179;7006183140</t>
  </si>
  <si>
    <t>Boag, Alona;Leviatan, Yehuda;Boag, Amir</t>
  </si>
  <si>
    <t>Analysis and Optimization of Waveguide Multiapplicator Hyperthermia Systems</t>
  </si>
  <si>
    <t>10.1109/10.245616</t>
  </si>
  <si>
    <t>2-s2.0-0027656128</t>
  </si>
  <si>
    <t>1356-1358</t>
  </si>
  <si>
    <t>Solid State Electronics</t>
  </si>
  <si>
    <t>Plasma etching antenna effect on oxide-silicon interface reliability</t>
  </si>
  <si>
    <t>003811019390178S</t>
  </si>
  <si>
    <t>10.1016/0038-1101(93)90178-S</t>
  </si>
  <si>
    <t>2-s2.0-0027656150</t>
  </si>
  <si>
    <t>Austrian Science Fund</t>
  </si>
  <si>
    <t>8346-CHE</t>
  </si>
  <si>
    <t>FWF</t>
  </si>
  <si>
    <t>['¬© 1993', 'quantum yields', 'pyridinium trichloride', 'photochemical properties', 'performed successfully', 'organized assemblies', 'new class', 'higher efficiency', 'dimensional structure', 'defined three', 'could act', 'chinolinium chloride', 'aqueous solutions', 'antenna effects', '2 %.', '1 ).']</t>
  </si>
  <si>
    <t>A new class of covalently linked cyanine dye-electron relay compounds have been investigated. As well as 2-[1-ethyl-1,2-dihydro-chinolinyliden-(2)-methyl]-1-ethyl-chinolinium chloride (1), 1-[3-[2-[(1-ethyl-2(1H)-chinolinyliden)methyl]chinolinium-1-yl]propyl]-1 ‚Ä≤-methyl-4,4‚Ä≤-bi-pyridinium trichloride (2) and 1-[3-[2-[(1-ethyl-2(1H)-chinolinyliden)methyl]chinolinium-1-yl]pentyl]-1 ‚Ä≤-methyl-4,4‚Ä≤-bipyridinium triiodide (3) were able to form huge molecular associates with a well-defined three-dimensional structure in dilute, aqueous solutions (critical gel concentration ccrit &gt; 2 √ó 10-3 mol 1-1). Photochemical properties of compounds (1)-(3) were different in gels and in solutions (c &lt; ccrit) without organized dye associates. Owing to antenna effects, organized assemblies provide an intense light harvesting effect. Covalently linked viologen groups quench the excited dye intramolecularly with a higher efficiency. Furthermore, the increased quenching efficiency was found to be dependent on the degree of organization. In dilute aqueous solutions (c &lt; ccrit, ŒªEX &gt; 280 nm), compounds (1)-(3) could act as photosensitizers for light-induced hydrogen production (via intermolecular charge separation) with quantum yields of œÜ 1 2H2 = 2%. In organized assemblies (c &gt; ccrit), intramolecular charge separation [in compounds (2) and (3)] could be observed and hydrogen production experiments were performed successfully. ¬© 1993.</t>
  </si>
  <si>
    <t>735-741</t>
  </si>
  <si>
    <t>International Journal of Hydrogen Energy</t>
  </si>
  <si>
    <t>60018163;60018163</t>
  </si>
  <si>
    <t>6603404183;7401721151</t>
  </si>
  <si>
    <t>K√∂nigstein, C.;Bauer, R.</t>
  </si>
  <si>
    <t>K√∂nigstein C.</t>
  </si>
  <si>
    <t>Photoinduced hydrogen production in dilute solutions and organized assemblies</t>
  </si>
  <si>
    <t>036031999390152Z</t>
  </si>
  <si>
    <t>10.1016/0360-3199(93)90152-Z</t>
  </si>
  <si>
    <t>2-s2.0-0027656247</t>
  </si>
  <si>
    <t>['used depends', 'technique utilizes', 'subproblem consists', 'size required', 'simple formulas', 'information forthcoming', 'desired contour', 'contour transformation', 'certain coefficients']</t>
  </si>
  <si>
    <t>A method is described for the synthesis of planar array antennas with prescribed contoured beams. The technique utilizes a transformation which divides the problem into two decoupled snbproblems. One subproblem involves the determination of certain coefficients of the contour transformation in order to achieve the rrequired footprint contours. The number of coefficients which need to be used depends on the complexity of the desired contour, but is very small in comparison to the number of planar array elements. The other subproblem consists of a linear array shaped beam synthesis, for which there already exist powerful methods for determining appropriate element excitations. The size required for this prototype linear array depends on the number of contour transformation coefficients used and the size of the final planar array. Simple formulas then determine the final planar array excitations from the information forthcoming from the above two subproblem solutions. ¬© 1993 IEEE</t>
  </si>
  <si>
    <t>1222-1231</t>
  </si>
  <si>
    <t>A Contoured Beam Synthesis Technique For Planar Antenna Arrays With Quadrantal And Centro-Symmetry</t>
  </si>
  <si>
    <t>10.1109/8.247748</t>
  </si>
  <si>
    <t>2-s2.0-0027658693</t>
  </si>
  <si>
    <t>['¬± 0', 'stopband attenuation', 'slotline type', 'slotline ring', 'slotline dual', 'shunt components', 'new type', 'mode filter', 'many applications', 'center frequency', 'adding series', '80 %,', '5 ghz', '35 db', '30 db', '2 db']</t>
  </si>
  <si>
    <t>A slotline type of annular ring element has been developed as a new circuit component for resonator, filter, and hybrid coupler applications. Various coupling methods were devised for the use of this slotline ring in many applications. A new type of slotline dual-mode filter has been developed with a bandwidth of 12.3% and a stopband attenuation of more than 30 dB at the center frequency of 3.5 GHz. Another slotline type of cross-over hybrid ring coupler which utilized a slotline T-junction and a resistively-coupled slotline ring has also been developed with a bandwidth of more than 80%, an excellent power dividing balance of ¬±0.2 dB, and a fairly good isolation of 35 dB. With the ease of adding series and shunt components, the slotline annular ring element should have many applications for MICs and MMICs. ¬© 1993 IEEE</t>
  </si>
  <si>
    <t>1648-1650</t>
  </si>
  <si>
    <t>Slotline Annular Ring Elements and Their Applications to Resonator, Filter and Coupler Design</t>
  </si>
  <si>
    <t>10.1109/22.245694</t>
  </si>
  <si>
    <t>2-s2.0-0027658718</t>
  </si>
  <si>
    <t>USAF Phillips Laboratory</t>
  </si>
  <si>
    <t>DAALO2-90-C-0007</t>
  </si>
  <si>
    <t>['weight vector', 'phased arrays', 'orthogonal projections', 'optimal solution', 'jammer locations', 'interference snapshots', 'infinite number', 'design pattern', 'analysis holds', 'additive noise', 'adapted array']</t>
  </si>
  <si>
    <t>Several recent studies indicate the promise of subspace separation principles when applied to adaptive jammer suppression in phased array antennas. This paper theoretically analyzes the performance of a subspace separation technique based on orthogonal projections (OP) for adaptively suppressing interference in phased arrays; the theoretical performance predictions are validated using computer simulations. This analysis holds for the case when it is possible to differentiate between the vector spaces spanned by jammers and additive noise. The performance parameters used are (a) the average residual interference (jammer plus noise) power at the output of the adapted array as a function of the number of jammer snapshots used for calculating the weight vector, and (b) the similarity of the adapted array pattern to the design pattern away from the jammer locations. The performance of the OP-based subspace separation technique is compared with the sample matrix inversion (SMI) algorithm. It is shown that the weight vector calculated using OP converges more quickly to the optimal solution (infinite number of interference snapshots) than the SMI weight vector. Further, in contrast to the SMI adapted pattern, which exhibits large sidelobe levels away from the jammer locations, the OP adapted pattern closely follows the design pattern both in the mainbeam and in the sidelobe region away from the jammer locations. ¬© 1993 IEEE</t>
  </si>
  <si>
    <t>1187-1194</t>
  </si>
  <si>
    <t>6507289448;6602123657</t>
  </si>
  <si>
    <t>Subbaram, Harish;Abend, Ken</t>
  </si>
  <si>
    <t>Subbaram H.</t>
  </si>
  <si>
    <t>Interference Suppression Via Orthogonal Projections: A Performance Analysis</t>
  </si>
  <si>
    <t>10.1109/8.247744</t>
  </si>
  <si>
    <t>2-s2.0-0027658813</t>
  </si>
  <si>
    <t>['well larger', 'topographic variations', 'spaceborne sar', 'spaceborne example', 'spaceborne case', 'show errors', 'several decibels', 'oetztal image', 'oetztal area', 'near range', 'local slopes', 'imaged area', 'flat earth', 'calculated using', 'band ers', 'austrian alps', 'antenna pattern', 'also shown', 'airsar c', 'airsar ).', 'airborne systems', 'airborne case', '5 db', '10 db', '1 db']</t>
  </si>
  <si>
    <t>During normal synthetic aperture radar (SAR) processing, a flat earth is assumed when performing radiometric corrections such as antenna pattern and scattering area removal. Here we examine the effects of topographic variations on these corrections. Local slopes will cause the actual scattering area to be different from that calculated using the flat earth assumption. It is shown that this effect, which is present for both airborne and spaceborne SAR data, may easily cause calibration errors larger than a decibel. Ignoring the topography during antenna pattern removal may also introduce errors of several decibels in the case of airborne systems. The effect of topography on antenna pattern removal is expected to be negligible for spaceborne SAR's. In this paper we show how these effects can be taken into account if a digital elevation model is available for the imaged area. The errors are quantified for two different types of terrain, a moderate relief area near Tombstone, AZ, and a high relief area near Oetztal in the Austrian Alps. We show errors for two welLKnown radar systems, the C-band ERS-1 spaceborne radar system and the three frequency NASA/JPL airborne SAR system (AIRSAR). For the moderate relief area, it is shown that the scattering area removal leads to errors that are smaller than 1 dB in most of the image, although the errors for the spaceborne case are larger than those of the airborne case, mainly because of the smaller incidence angle. In the case of the high relief area, most of the leading slopes show errors on the order of 5 dB or larger, even in the airborne case. In the spaceborne example of the Oetztal area, most of the image shows errors exceeding 1 dB, with large areas showing errors exceeding 5 dB in magnitude. Using the AIRSAR C-band antenna pattern, it is shown that extremely large errors, some well larger than 10 dB can be expected in the near range of the Oetztal image. It is also shown that not taking the topography into account during antenna pattern removal introduces polarimetric calibration errors. ¬© 1993 IEEE</t>
  </si>
  <si>
    <t>1036-1043</t>
  </si>
  <si>
    <t>60009037;60029241;60029241;60029241</t>
  </si>
  <si>
    <t>7103099518;7202837631;7201807674;7404495164</t>
  </si>
  <si>
    <t>van Zyl, Jakob J.;Chapman, Bruce D.;Dubois, Pascale;Shi, Jiancheng</t>
  </si>
  <si>
    <t>Santa Barbara;Pasadena</t>
  </si>
  <si>
    <t>University of California, Santa Barbara;Jet Propulsion Laboratory</t>
  </si>
  <si>
    <t>60029241;60009037</t>
  </si>
  <si>
    <t>van Zyl J.</t>
  </si>
  <si>
    <t>The Effect of Topography on SAR Calibration</t>
  </si>
  <si>
    <t>10.1109/36.263774</t>
  </si>
  <si>
    <t>2-s2.0-0027658876</t>
  </si>
  <si>
    <t>Texas Higher Education Coordinating Board</t>
  </si>
  <si>
    <t>THECB</t>
  </si>
  <si>
    <t>['successfully used', 'radiation patterns', 'preliminary results', 'notch antenna', 'new structure']</t>
  </si>
  <si>
    <t>A new active antenna structure with applications in quasi-optical power combining is described. The active antenna combines a slotline FET oscillator with a notch antenna. The new structure was successfully used to create both E-plane and H-plane linear arrays as well as a 2-D array. Preliminary results of radiation patterns and the power combining efficiencies of the arrays are discussed. ¬© 1993 IEEE</t>
  </si>
  <si>
    <t>1515-1518</t>
  </si>
  <si>
    <t>6506081845;55714833100;7404879378</t>
  </si>
  <si>
    <t>Leverich, W. Kent;Wu, Xiao Dong;Chang, Kai</t>
  </si>
  <si>
    <t>Leverich W.</t>
  </si>
  <si>
    <t>FET Active Slotline Notch Antennas for Quasi-Optical Power Combining</t>
  </si>
  <si>
    <t>10.1109/22.245670</t>
  </si>
  <si>
    <t>2-s2.0-0027658933</t>
  </si>
  <si>
    <t>['treat scattering', 'several examples', 'present context', 'perturbation series', 'periodic gratings', 'kirchhoff limit', 'general term', 'deterministic profiles', 'closed form']</t>
  </si>
  <si>
    <t>The general term of the perturbation series is presented in closed form to treat scattering of horizontally polarized plane incident waves from a perfectly conducting rough surface. The use of the complete perturbation series obtained is illustrated through several examples of deterministic profiles, including the case of gently undulating surfaces (Kirchhoff limit) and the case of periodic gratings. Also, it is shown how specularity of the mean scattered field from statistically homogeneous surfaces can be proved in the present context. ¬© 1993 IEEE</t>
  </si>
  <si>
    <t>1232-1241</t>
  </si>
  <si>
    <t>60002947;60002947;60002947</t>
  </si>
  <si>
    <t>6602659059;7004017835;7102473576</t>
  </si>
  <si>
    <t>Vazouras, Christos N.;Cottis, P. G.;Kanellopoulos, John D.</t>
  </si>
  <si>
    <t>Greece</t>
  </si>
  <si>
    <t>Athens</t>
  </si>
  <si>
    <t>National Technical University of Athens</t>
  </si>
  <si>
    <t>Vazouras C.</t>
  </si>
  <si>
    <t>Scattering from Conducting Rough Surfaces: A General Perturbative Solution</t>
  </si>
  <si>
    <t>10.1109/8.247749</t>
  </si>
  <si>
    <t>2-s2.0-0027658961</t>
  </si>
  <si>
    <t>NEC Corporation</t>
  </si>
  <si>
    <t>['statistical characterizations', 'statistical analyses', 'simple first', 'significant sources', 'rf noise', 'retail stores', 'retail environments', 'paper presents', 'microwave ovens', 'line printers', 'indoor channels', 'impulsive noise', 'directional antennas', 'analyses indicate', 'also presented', '918 mhz', '44 ghz', '4 ghz']</t>
  </si>
  <si>
    <t>This paper presents the results of average and impulsive noise measurements inside several office buildings and retail stores. The noise measurement system operated at 918 MHz, 2.44 GHz, and 4 GHz with a nominal 40 MHz 3 dB RF bandwidth. Omnidirectional and directional antennas were used to investigate the characteristics and sources of RF noise in indoor channels. Statistical analyses of the measurements are presented in the form of peak amplitude probability distributions, pulse duration distributions, and interarrival time distributions. Simple first-order mathematical models for these statistical characterizations are also presented. These analyses indicate that photocopiers, printers (both line printers and cash register receipt printers), elevators, and microwave ovens are significant sources of impulsive noise in office and retail environments. ¬© 1993 IEEE</t>
  </si>
  <si>
    <t>991-1001</t>
  </si>
  <si>
    <t>60031136;60027090;60027090</t>
  </si>
  <si>
    <t>56772024100;7006091503;7004142938</t>
  </si>
  <si>
    <t>Blackard, Kenneth L.;Rappaport, Theodore S.;Bostian, Charles W.</t>
  </si>
  <si>
    <t>Quantico;Blacksburg</t>
  </si>
  <si>
    <t>The FBI Academy;Virginia Polytechnic Institute and State University</t>
  </si>
  <si>
    <t>60031136;60027090</t>
  </si>
  <si>
    <t>Blackard K.</t>
  </si>
  <si>
    <t>Measurements and Models of Radio Frequency Impulsive Noise for Indoor Wireless Communications</t>
  </si>
  <si>
    <t>10.1109/49.233212</t>
  </si>
  <si>
    <t>2-s2.0-0027659295</t>
  </si>
  <si>
    <t>['œ ¶', 'werpol array', 'wave polarization', 'various designs', 'various arrangements', 'three criteria', 'system parameters', 'relative uncertainties', 'receiving dipoles', 'phase parameters', 'parallel receivers', 'optimum design', 'national oceanic', 'least squares', 'inherent precision', 'improved configuration', 'frequency pattern', 'echo location', 'doppler shift', 'digital ionosondes', 'copyright 1993', 'array configuration', 'ambiguity associated', '1992 ],']</t>
  </si>
  <si>
    <t>The inherent precision and ambiguity in the measurement of ionospherically reflected echoes by digital ionosondes, which utilize interferometric receiving arrays, depends on the transmitted pulse set pattern, the receiving array configuration, and the data analysis scheme. Building on earlier work carried out for the National Oceanic and Atmospheric Administration HF radar [Grubb, 1979] by Pitteway and Wright [1992], we use six phase parameters (Œ¶o, Œ¶x, Œ¶y, Œ¶l, Œ¶p, and Œ¶f) to derive echo location, Doppler shift, and wave polarization. We have applied the method of least squares to determine the precision and a ‚Äúzero‚Äêfreedom‚Äù technique to derive the ambiguity associated with each of the phase parameters. Three criteria can be specified which lead to an optimum design of the system parameters: (1) the phase parameters must have aliasing values equal to 2œÄ; (2) the relative confidence limit factors of the derived phase parameters should be as small as possible; and (3) there must be no aliasing of echo location. By varying the array configuration, frequency pattern, the number of pulses per pulse set, and the number of parallel receivers and receiving dipoles, various designs have been analyzed, and an improved configuration has been obtained. We have shown that various arrangements of the four‚Äêpulse, two‚Äêreceiver configuration can reduce the sum of the relative uncertainties in the phase parameters found for the WERPOL array by up to 33% and improve the ambiguity in each of the derived phase parameters to 2œÄ. Copyright 1993 by the American Geophysical Union.</t>
  </si>
  <si>
    <t>785-793</t>
  </si>
  <si>
    <t>September-October 1993</t>
  </si>
  <si>
    <t>7203034098;6602865620;7102094338</t>
  </si>
  <si>
    <t>Tsai, L. ‚ÄêC;Berkey, F. T.;Stiles, G. S.</t>
  </si>
  <si>
    <t>Tsai L.</t>
  </si>
  <si>
    <t>On the derivation of an improved parameter configuration for the Dynasonde</t>
  </si>
  <si>
    <t>10.1029/93RS01668</t>
  </si>
  <si>
    <t>2-s2.0-0027659885</t>
  </si>
  <si>
    <t>['mode structure', 'eigenmodes categorized', 'copyright 1993', 'circular chirowaveguide']</t>
  </si>
  <si>
    <t>Mode structure in a circular chirowaveguide with dielectric lined walls is investigated. By adjusting the dielectric lining thickness and permittivity for a given chiral medium, it is possible to have the eigenmodes categorized as almost right circularly polarized or almost left circularly polarized over a wide frequency band. Such chirowaveguides with modes having high circular polarization purity can serve as feeds of reflector antennas using polarization diversity. Copyright 1993 by the American Geophysical Union.</t>
  </si>
  <si>
    <t>929-935</t>
  </si>
  <si>
    <t>Mahmoud, Samir F.</t>
  </si>
  <si>
    <t>Mahmoud S.</t>
  </si>
  <si>
    <t>Mode characteristics in chirowaveguides with dielectric lining</t>
  </si>
  <si>
    <t>10.1029/93RS01101</t>
  </si>
  <si>
    <t>2-s2.0-0027659887</t>
  </si>
  <si>
    <t>['surface parameters', 'statistical treatment', 'statistical characteristics', 'statistical approach', 'radiothermal emission', 'pure water', 'oil spills', 'microwave retrieval']</t>
  </si>
  <si>
    <t>A statistical treatment of microwave remote sensing data of the Earth's surface is described. The statistical characteristics of radiothermal emission from such surfaces as pure water, oil spills on water, soils, and forests are analyzed, and the relationships between the statistics of the radiothermal emission and surface parameters are discussed. As an example of the utility of the statistical approach of microwave retrieval we suggest a method of determining the danger of fires in forests. ¬© 1993 IEEE</t>
  </si>
  <si>
    <t>1060-1065</t>
  </si>
  <si>
    <t>Shestopalov, Yuri K.</t>
  </si>
  <si>
    <t>Shestopalov Y.K.</t>
  </si>
  <si>
    <t>The Statistical Treatment of Passive Microwave Data</t>
  </si>
  <si>
    <t>10.1109/36.263777</t>
  </si>
  <si>
    <t>2-s2.0-0027659899</t>
  </si>
  <si>
    <t>['spatial formulations', 'solution procedure', 'scattered field', 'results obtained', 'respective sets', 'properly phase', 'one obeying', 'novel solution', 'low corrugation', 'limiting case', 'incident field', 'floquet formalism', 'fields .,', 'fictitious sources', 'cylinder region', 'circular cylinder', 'arbitrary profile']</t>
  </si>
  <si>
    <t>A novel solution is presented for the problem of two-dimensional electromagnetic scattering from a circular cylinder with periodically corrugated circumference. The application of the Floquet formalism is effected by representing the incident field as a sum of fields., each one obeying a Floquet periodicity condition involving a different phase factor. Respective sets of fictitious sources, comprising rotationally periodic and properly phase-modulated electric current distributions, are used to simulate the scattered field and the field in the cylinder region. Spectral and spatial formulations are presented. The solution procedure is simple to implement and is applicable to cylinders with corrugations of arbitrary profile. The accuracy of the method has been demonstrated. It has also been shown that in the limiting case of low corrugation the results of our numerical solution agree with results obtained by an approximate analytic solution. ¬© 1993 IEEE</t>
  </si>
  <si>
    <t>1265-1272</t>
  </si>
  <si>
    <t>Analysis of Scattering from Cylinders with a Periodically Corrugated Periphery Using a Current-Model Technique</t>
  </si>
  <si>
    <t>10.1109/8.247753</t>
  </si>
  <si>
    <t>2-s2.0-0027659952</t>
  </si>
  <si>
    <t>['various times', 'resolved mode', 'including plots', 'high rays', 'group delay', 'diurnal sequence', 'direction finding', 'copyright 1993', 'azimuth equatorward', 'arrive via', 'angular occupancy', 'also observed', 'acquired automatically', '98 ¬∞.', '91 ¬∞', '85 mof', '7 ¬∞.', '5 ¬∞', '4 ¬∞', '3 ¬∞.']</t>
  </si>
  <si>
    <t>A direction finding ionosonde consisting of a seven‚Äêelement, 50‚Äêm crossed baseline interferometer has been developed to provide group path delay, azimuth, and elevation of each resolved mode over the sounding frequency range. Direction finding (df) ionograms have been acquired automatically, using various noncooperative compatible sounder transmissions. A diurnal sequence of df ionograms obtained over a 2344‚Äêkm mid‚Äêlatitude path is reported, including plots of group delay, azimuth, and elevation versus frequency, as well as an azimuth/elevation scatterplot showing the distribution of angular occupancy for the path. The results show modes arriving closest to the great circle bearing (that is, with lowest azimuth error) arrive via the lowest elevation angles and with least group delay. Greatest bearing accuracy was observed on daytime sporadic E modes; measured at 0.85 MOF, the azimuth standard deviation was 0.3¬∞. One‚Äêhop F region low‚Äêray azimuth measured at 0.85 MOF showed standard deviations between 0.4¬∞ and 0.98¬∞. Fractional degrees per megahertz linear azimuth gradients with frequency were also observed at various times of day. One‚Äêhop F region high rays showed smoothly varying elevation as a function of frequency, increasing with group path delay as expected. Variable lateral deviation from the great circle plane was observed for high rays up to 5¬∞ in azimuth equatorward at various times of day; azimuth standard deviation at 0.85 MOF varied from 0.91¬∞ to 1.7¬∞. Copyright 1993 by the American Geophysical Union.</t>
  </si>
  <si>
    <t>795-809</t>
  </si>
  <si>
    <t>;;;</t>
  </si>
  <si>
    <t>6602946929;16940536100;57192817654;6603919577</t>
  </si>
  <si>
    <t>Black, Q. R.;Wood, J. F.;Sonsteby, A. G.;Sherrill, W. M.</t>
  </si>
  <si>
    <t>Black Q.</t>
  </si>
  <si>
    <t>A direction finding ionosonde for ionospheric propagation research</t>
  </si>
  <si>
    <t>10.1029/93RS00690</t>
  </si>
  <si>
    <t>2-s2.0-0027660018</t>
  </si>
  <si>
    <t>La 48418-1</t>
  </si>
  <si>
    <t>['successfully applied', 'numerical solution', 'numerical examples', 'moment method', 'higher accuracy', 'element method', 'efie ).', 'basis functions']</t>
  </si>
  <si>
    <t>The application is reported of curved parametric triangular and quadrilateral edge elements, which have been successfully applied in the finite-element method (FEM) in the last 10 years, as basis functions in the moment method (MM) solution of the electric field integral equation (EFIE). In this way, an arbitrarily shaped surface can be modeled more accurately than with conventional planar patches. Consequently, higher accuracy in the numerical solution can mostly be obtained, as demonstrated by numerical examples. ¬© 1993 IEEE</t>
  </si>
  <si>
    <t>319-321</t>
  </si>
  <si>
    <t>60015815;60015815</t>
  </si>
  <si>
    <t>7201448898;7006070055</t>
  </si>
  <si>
    <t>Zhu, Ning Yan;Landstorfer, Friedrich M.</t>
  </si>
  <si>
    <t>Zhu N.</t>
  </si>
  <si>
    <t>Application of Curved Parametric Triangular and Quadrilateral Edge Elements in the Moment Method Solution of the EFIE</t>
  </si>
  <si>
    <t>10.1109/75.244865</t>
  </si>
  <si>
    <t>2-s2.0-0027660034</t>
  </si>
  <si>
    <t>['update algorithm', 'substantially improve', 'single frequency', 'ringing behavior', 'resonant structures', 'radiation analyses', 'new approach', 'long time', 'filtering behavior', 'fdtd method', 'exhibits slowness', 'difference time', 'convergence properties', 'communication describes']</t>
  </si>
  <si>
    <t>The finite-difference time-domain (FDTD) algorithm is a versatile method capable of solving a variety of problems from circuit component characterization to radiation analyses, but it exhibits slowness in convergence when employed for the study of resonant structures, because their transient responses often exhibit a ringing behavior for a long time. This communication describes a new approach, called the FDTD-update algorithm, that can substantially improve the convergence properties of the FDTD method when used to compute the response of resonant type structures a single frequency at a time. The filtering behavior of the algorithm is demonstrated by considering the problem of coupling into a cavity. Application to other problems is illustrated by solving the microstrip patch antenna configuration, for which the update algorithm is shown to enhance the accuracy of the results. ¬© 1993 IEEE</t>
  </si>
  <si>
    <t>316-318</t>
  </si>
  <si>
    <t>55197051100;7005117986</t>
  </si>
  <si>
    <t>Mittra, Raj;Harms, P. H.</t>
  </si>
  <si>
    <t>Mittra R.</t>
  </si>
  <si>
    <t>A New Finite-Difference Time-Domain (FDTD) Algorithm for Efficient Field Computation in Resonantor Narrow-Band Structures</t>
  </si>
  <si>
    <t>10.1109/75.244864</t>
  </si>
  <si>
    <t>2-s2.0-0027660035</t>
  </si>
  <si>
    <t>['œµc œºc', 'wiley company', 'theoretically analyze', 'mutual coupling', 'material parameters', 'introducing chirality', 'inc .,', 'echelon configurations', 'circular polarization', 'chirostrip antennas', 'chiral materials', 'certain circumstances']</t>
  </si>
  <si>
    <t>antenna coupling | Chiral material | printed antennas</t>
  </si>
  <si>
    <t>Here, we theoretically analyze the mutual coupling between two finite‚Äêlength thin wire chirostrip antennas. These antennas are defined as thin wires printed on grounded substrate made of chiral materials which exhibit electromagnetic handedness. Chiral materials are circular polarization (CP) birefringent and are described by the constitutive relations Œµ and Œµ with Œµc Œºc, and Œµ as material parameters. Mutual coupling for broadside, collinear, and echelon configurations for these antennas is investigated, and it is shown that introducing chirality in the substrate can, under certain circumstances, modify the mutual coupling between the chirostrip antennas. ¬© 1993 John Wiley &amp; Sons, Inc. Copyright ¬© 1993 Wiley Periodicals, Inc., A Wiley Company</t>
  </si>
  <si>
    <t>671-675</t>
  </si>
  <si>
    <t>60102562;60102562</t>
  </si>
  <si>
    <t>6602927057;7005850584</t>
  </si>
  <si>
    <t>Pelet, Philippe;Engheta, Nader</t>
  </si>
  <si>
    <t>School of Engineering and Applied Science</t>
  </si>
  <si>
    <t>Pelet P.</t>
  </si>
  <si>
    <t>Mutual coupling in finite‚Äêlength thin wire chirostrip antennas</t>
  </si>
  <si>
    <t>10.1002/mop.4650061202</t>
  </si>
  <si>
    <t>2-s2.0-0027660177</t>
  </si>
  <si>
    <t>['wiley company', 'using galerkin', 'tm11 mode', 'theoretical treatment', 'spectral domain', 'rigorous green', 'numerical results', 'numerical calculations', 'moment method', 'investigated theoretically', 'inc .,']</t>
  </si>
  <si>
    <t>cross‚Äêpolarization characteristics | Spherical microstrip antenna</t>
  </si>
  <si>
    <t>The cross‚Äêpolarization characteristics of a spherical‚Äêcircular microstrip patch antenna excited at TM11 mode by a probe are investigated theoretically. The theoretical treatment is based on a rigorous Green's‚Äêfunction formulation in the spectral domain. Numerical calculations are performed by using Galerkin's moment method. Numerical results of the cross‚Äêpolarization characteristics for different curvature radii of the spherical microstrip antenna are presented and analyzed. It is found that a smaller curvature radius of the spherical microstrip antenna can reduce the cross‚Äêpolarized radiation of the circular patch antenna at TM11 mode, and the cross‚Äêpolarization level increases with decreasing curvature radius. ¬© 1993 John Wiley &amp; Sons, Inc. Copyright ¬© 1993 Wiley Periodicals, Inc., A Wiley Company</t>
  </si>
  <si>
    <t>705-710</t>
  </si>
  <si>
    <t>7501612418;35460663000</t>
  </si>
  <si>
    <t>Chen, Hong‚ÄêTwu ‚ÄêT;Wong, Kin‚ÄêLu ‚ÄêL</t>
  </si>
  <si>
    <t>Chen H.</t>
  </si>
  <si>
    <t>Cross‚Äêpolarization characteristics of a probe‚Äêfed spherical‚Äêcircular microstrip patch antenna</t>
  </si>
  <si>
    <t>10.1002/mop.4650061212</t>
  </si>
  <si>
    <t>2-s2.0-0027660244</t>
  </si>
  <si>
    <t>['two kinds', 'paper investigates', 'optical fiber', 'optical feeder', 'novel techniques', '2000 channels', '20 km']</t>
  </si>
  <si>
    <t>This paper investigates the feasibility of using an optical fiber feeder for microcellular mobile communication systems. The optical feeder enables compact and low-cost base stations, easy radio channel control, and flexible mobile communication systems. Basic transmission characteristics were investigated through optical transmission experiments. By using these results, it has been estimated that the optical feeder can transmit 880 telephone channels for digital TDM systems and 2000 channels for analog FDM systems through 20 km of optical fiber. Furthermore, two kinds of novel techniques, which enlarge dynamic range of the optical feeder, are reported. ¬© 1993 IEEE</t>
  </si>
  <si>
    <t>1118-1126</t>
  </si>
  <si>
    <t>60031293;60031293;60031293;60031293;60031293</t>
  </si>
  <si>
    <t>35869004100;7202219381;6505731650;7007085216;7003610511</t>
  </si>
  <si>
    <t>Shibutani, Makoto;Kanai, Toshihito;Domom, Watani;Emura, Katsumi;Namiki, Junji</t>
  </si>
  <si>
    <t>Shibutani M.</t>
  </si>
  <si>
    <t>Optical Fiber Feeder for Microcellular Mobile Communication Systems (H-015)</t>
  </si>
  <si>
    <t>10.1109/49.233224</t>
  </si>
  <si>
    <t>2-s2.0-0027660438</t>
  </si>
  <si>
    <t>['wiley company', 'omega structures', 'novel materials', 'interesting effects', 'inc .,', 'general media', 'chiral composites']</t>
  </si>
  <si>
    <t>bianisotropic | Chiral | eigenwaves | uniaxial</t>
  </si>
  <si>
    <t>Eigenwaves in novel materials which have properties of chiral composites and omega structures are considered. The materials can be modeled by uniaxial bianisotropic constitutive relations. Both chiral and omega composites possess promising features, for and one may expect still more interesting effects in more general media. ¬© 1993 John Wiley &amp; Sons, Inc. Copyright ¬© 1993 Wiley Periodicals, Inc., A Wiley Company</t>
  </si>
  <si>
    <t>701-705</t>
  </si>
  <si>
    <t>Tretyakov, Sergei A.;Sochava, Alexander A.</t>
  </si>
  <si>
    <t>Eigenwaves in uniaxial chiral omega media</t>
  </si>
  <si>
    <t>10.1002/mop.4650061211</t>
  </si>
  <si>
    <t>2-s2.0-0027660495</t>
  </si>
  <si>
    <t>['several authors', 'rectangular waveguides', 'recently applied', 'popular method', 'penetration problems', 'microstrip antennas', 'measured data', 'full three', 'fdtd method', 'fdtd analyses', 'end radiators', 'dimensional computations', 'communication demonstrates', 'circular waveguides']</t>
  </si>
  <si>
    <t>The finite difference time domain (FDTD) technique is a popular method for analyzing electromagnetic scattering, radiation, and penetration problems. Several authors have recently applied the FDTD method to antenna radiation problems. To date, the antenna structures considered have been wire and conical monopole antennas, rectangular waveguides, pyramidal horn antennas, and microstrip antennas. Results from these analysis have been in the form of normalized field patterns and no results showing absolute gain have been presented. This communication demonstrates the first staircased application of the FDTD method to the analysis of radiation from circular waveguides and other shaped-end radiators. Results of absolute gain versus angle are shown for a straight-cut circular waveguide and for two different shaped-end radiators. All FDTD analyses are full three-dimensional computations and are compared in each case with measured data. ¬© 1993 IEEE</t>
  </si>
  <si>
    <t>1324-1327</t>
  </si>
  <si>
    <t>60001439;60015710;60033252</t>
  </si>
  <si>
    <t>7005036134;7005852706;7007097705</t>
  </si>
  <si>
    <t>Beggs, John H.;Luebbers, Raymond J.;Ruth, Brian G.</t>
  </si>
  <si>
    <t>Adelphi;Kirtland;University Park</t>
  </si>
  <si>
    <t>U.S. Army Research Laboratory;Kirtland Air Force Base;Pennsylvania State University</t>
  </si>
  <si>
    <t>60033252;60015710;60001439</t>
  </si>
  <si>
    <t>Beggs J.</t>
  </si>
  <si>
    <t>Analysis of Electromagnetic Radiation from Shaped-End Radiators using the Finite Difference Time Domain Method</t>
  </si>
  <si>
    <t>10.1109/8.247761</t>
  </si>
  <si>
    <t>2-s2.0-0027662159</t>
  </si>
  <si>
    <t>['microcell applications', 'measured environments', 'held terminals', 'correlation properties', 'correlation function', 'correlation coefficients', 'compound space', '200 khz']</t>
  </si>
  <si>
    <t>This paper describes cross-correlation properties for compact urban base station antenna configurations, nearly all resulting in very low envelope cross-correlation coefficients of about 0.1 to 0.3. A focus is set on polarization diversity systems for their potential in improving link quality when hand-held terminals are involved. An expression is given for the correlation function of compound space and polarization diversity systems. Dispersion and envelope dynamic statistics are presented for the measured environments. For microcell applications, it is found that systems such as GSM having a bandwidth of 200 kHz or less can use narrowband cross-correlation analysis directly. ¬© 1993 IEEE</t>
  </si>
  <si>
    <t>1046-1057</t>
  </si>
  <si>
    <t>7006236794;6505864225;35869636900</t>
  </si>
  <si>
    <t>Eggers, Patrick C.F.;Toftg√•rd, Jœïrn;Oprea, Alex M.</t>
  </si>
  <si>
    <t>Eggers P.</t>
  </si>
  <si>
    <t>Antenna Systems for Base Station Diversity in Urban Small and Micro Cells</t>
  </si>
  <si>
    <t>10.1109/49.233217</t>
  </si>
  <si>
    <t>2-s2.0-0027662345</t>
  </si>
  <si>
    <t>['wide strips', 'traditional frequency', 'spatial function', 'radiation integral', 'periodic green', 'moment method', 'grating period', 'grating behavior', 'frequency function', 'frequency fiinction', 'dependent strip', 'current densities', 'conformal mapping', 'also valid']</t>
  </si>
  <si>
    <t>Two new frequency-dependent strip-grating current densities are derived for TM mode incidence on a conducting strip grating. The current densities are assumed to be the product of a spatial function and a frequency fiinction. One spatial function is the traditional frequency-independent edge mode current density. The other is found by the use of conformal mapping. The frequency function is derived by use of the radiation integral and the periodic Green's function. The new resultant current densities are both exact for small strip widths. The conformally mapped solution is also valid for wide strips and is exact in the limit as the strip width equals the grating period. Although the solutions are not as accurate as the moment method at all frequencies, they produce computationally faster solutions and offer further insight into strip-grating behavior. ¬© 1993 IEEE</t>
  </si>
  <si>
    <t>1302-1307</t>
  </si>
  <si>
    <t>60006667;60005837</t>
  </si>
  <si>
    <t>7102186842;56873831100</t>
  </si>
  <si>
    <t>Gross, Frank B.;Brown, William J.</t>
  </si>
  <si>
    <t>Tallahassee;Houston</t>
  </si>
  <si>
    <t>FAMU-FSU College of Engineering;University of Houston</t>
  </si>
  <si>
    <t>Gross F.</t>
  </si>
  <si>
    <t>New Frequency-Dependent Edge Mode Current Density Approximations for TM Scattering from a Conducting Strip Grating</t>
  </si>
  <si>
    <t>10.1109/8.247758</t>
  </si>
  <si>
    <t>2-s2.0-0027662663</t>
  </si>
  <si>
    <t>N00014-88-K-0685</t>
  </si>
  <si>
    <t>['recent knowledge', 'performance degradation', 'noise ratio', 'noise properties', 'beam steering', 'bandwidth promise', 'arrival angle', 'antenna system', 'also shown', 'also presented']</t>
  </si>
  <si>
    <t>A novel oPticallY driven phased array antenna system is proposed. The system utilizes heterodyne techniques to generate the microwave carrier frequency and phases. The heterodyning at each antenna element requires three injection locked lasers. The microwave carrier frequency is determined by the order of the modulated sideband used in the injection locking scheme. A design is also presented for an integrated optical fast Fourier transform. This device can perform the necessary phase processing for both beam steering and detection of arrival angle. The recent knowledge of the noise properties of injection locked semiconductor lasers is applied to the proposed antenna system. The effect of noise on the gain, signal-to-noise ratio, and the bandwidth of the antenna system is examined. It is also shown that the performance degradation of the system, due to the noise in the lasers, is minimal, and therefore the bandwidth promise of optical drive could well be achieved with the use of heterodyne laser locking techniques. ¬© 1993 IEEE</t>
  </si>
  <si>
    <t>1500-1509</t>
  </si>
  <si>
    <t>Journal of Lightwave Technology</t>
  </si>
  <si>
    <t>60000221;60000221;60000221</t>
  </si>
  <si>
    <t>7006624113;7003553187;7005956719</t>
  </si>
  <si>
    <t>Surette, Marc R.;Hjelme, Dag R.;Mickelson, Alan R.</t>
  </si>
  <si>
    <t>Boulder</t>
  </si>
  <si>
    <t>University of Colorado Boulder</t>
  </si>
  <si>
    <t>Surette M.</t>
  </si>
  <si>
    <t>An Optically Driven Phased Array Antenna Utilizing Heterodyne Techniques</t>
  </si>
  <si>
    <t>10.1109/50.241941</t>
  </si>
  <si>
    <t>2-s2.0-0027663213</t>
  </si>
  <si>
    <t>GWEi58816</t>
  </si>
  <si>
    <t>['track railway', 'running rails', 'railway tracks', 'mutual conductance', 'ground conductivity', 'experimental measurement', 'experimental data', 'depth variation', 'continuous function', 'audio frequency', 'analytic functions', 'ac currents']</t>
  </si>
  <si>
    <t>A method is described for the determination of ground conductivity as a continuous function of depth and frequency for applications along spatially linear structures such as railway tracks. The technique involves measurements of mutual resistance using a modified dipole array excited with AC currents up to audio frequency. After representation of the experimental data by analytic functions, the ground conductivity-depth variation is obtained as a degenerate hypergeometric function. The determined ground conductivity is utilized to model the self and mutual conductance of and between the running rails in a single-track railway. The result is verified by experimental measurement. ¬© 1993 IEEE</t>
  </si>
  <si>
    <t>953-960</t>
  </si>
  <si>
    <t>60030480;60030480</t>
  </si>
  <si>
    <t>23003244400;7404752157</t>
  </si>
  <si>
    <t>Carpenter, David C.;Hill, R. John</t>
  </si>
  <si>
    <t>Bath</t>
  </si>
  <si>
    <t>University of Bath</t>
  </si>
  <si>
    <t>Carpenter D.</t>
  </si>
  <si>
    <t>Continuous-Function Ground Conductivity Model for the Determination of Electric Railway Earth Conductance</t>
  </si>
  <si>
    <t>10.1109/36.263766</t>
  </si>
  <si>
    <t>2-s2.0-0027663411</t>
  </si>
  <si>
    <t>['wiley company', 'radiating edges', 'open circuited', 'measured data', 'input impedance', 'inc .,', 'good agreement', 'different sizes', 'coaxial connectors']</t>
  </si>
  <si>
    <t>coaxial connector | input impedance | Microstrip antennas</t>
  </si>
  <si>
    <t>Closed‚Äêform expressions for the input impedance of half‚Äêwavelength rectangular microstrip antennas fed by coaxial connectors of different sizes at the center of one of the radiating edges and open circuited at one of the ends are derived. Good agreement between computed and measured data is obtained. ¬© 1993 John Wiley &amp; Sons, Inc. Copyright ¬© 1993 Wiley Periodicals, Inc., A Wiley Company</t>
  </si>
  <si>
    <t>100344020;100344020;100344020;100344020;100344020;100344020</t>
  </si>
  <si>
    <t>7005802724;57225701723;6504812115;36885239300;57206024182;35106843800</t>
  </si>
  <si>
    <t>Dan, S.;Chauhan, B.;Maggo, G.;Bhattacharya, A.;Thakur, A.;Bhattacharjee, A. K.</t>
  </si>
  <si>
    <t>Durgapur</t>
  </si>
  <si>
    <t>R.E. College</t>
  </si>
  <si>
    <t>Dan S.</t>
  </si>
  <si>
    <t>Input impedance of rectangular microstrip antennas for different feed sizes</t>
  </si>
  <si>
    <t>10.1002/mop.4650061215</t>
  </si>
  <si>
    <t>2-s2.0-0027663503</t>
  </si>
  <si>
    <t>['polyhedron structure', 'numerical simulations', 'mutual admittance', 'microstrip antennas', 'good agreement', 'form formula', 'experimental result', 'diffracted field', 'different faces', 'cavity model', 'antenna coupling']</t>
  </si>
  <si>
    <t>Antenna coupling between arrays on a polyhedron structure is investigated. First of all, a high-frequency asymptotic closed-form formula is derived for the mutual admittance between two linearly polarized circular microstrip antennas located on different faces of a perfectly conducting wedge. The microstrip antennas are modeled by the cavity model, and the mutual coupling caused by the wedge-diffracted field is analyzed by the EMF method using Keller's GTD diffraction coefficients for the diffracted field. Next, the antenna coupling between arrays is calculated and compared with an experimental result. Good agreement between them supports the theory. Finally, the properties of the antenna coupling are described by some numerical simulations. ¬© 1993 IEEE</t>
  </si>
  <si>
    <t>1242-1248</t>
  </si>
  <si>
    <t>60101699;60101699;60101699;60101699;60101699</t>
  </si>
  <si>
    <t>7102537181;7004094949;7102883823;7004304668;7404792804</t>
  </si>
  <si>
    <t>Miyashita, Hiroaki;Sunahara, Yonehiko;Ishii, Ryuji;Katagi, Takashi;Hashimoto, Tsutomu</t>
  </si>
  <si>
    <t>Miyashita H.</t>
  </si>
  <si>
    <t>An Analysis of Antenna Coupling Between Arrays on a Polyhedron Structure</t>
  </si>
  <si>
    <t>10.1109/8.247750</t>
  </si>
  <si>
    <t>2-s2.0-0027663806</t>
  </si>
  <si>
    <t>['varactor diode', 'scanning characteristics', 'scan performance', 'scan characteristics', 'scan blindness', 'radiating element', 'infinite array', 'also given', 'also considered', 'accurately model']</t>
  </si>
  <si>
    <t>In this paper the analysis and scanning characteristics of an infinite array of rectangular microstrip patches each loaded with a varactor diode is presented. The analysis is based on full-wave moment method theory and uses attachment modes to accurately model the current through the feed and the diode. The effect of the biased varactor diode on the scan performance is presented, and it is shown that the impedance mismatch caused by a scan blindness can be eliminated. Other characteristics are also given such as: the active element gain, the efficiency of each loaded microstrip element, and the level of cross polarization generated by the loading of the patch. The effect of the diode biasing level as well as the position of the diode on each radiating element on these scan characteristics is also considered. ¬© 1993 IEEE</t>
  </si>
  <si>
    <t>1273-1280</t>
  </si>
  <si>
    <t>35478779700;6603921864</t>
  </si>
  <si>
    <t>Waterhouse, Rod B.;Shuley, Nicholas V.</t>
  </si>
  <si>
    <t>Waterhouse R.</t>
  </si>
  <si>
    <t>Scan Performance of Infinite Arrays of Microstrip Patch Elements Loaded with Varactor Diodes</t>
  </si>
  <si>
    <t>10.1109/8.247754</t>
  </si>
  <si>
    <t>2-s2.0-0027663807</t>
  </si>
  <si>
    <t>['theoretical analysis', 'slot aperture', 'measured results', 'electric field', 'dyadic green', 'dielectric slab', 'correct form', 'broad wall']</t>
  </si>
  <si>
    <t>Longitudinal and transverse radiating slots in the broad wall of a rectangular waveguide inhomogeneously loaded with a dielectric slab are analyzed. The formulation used involves the moment method solution of a pair of coupled integral equations containing the dyadic Green's function of the inhomogeneously loaded waveguide. Both an edge-condition for the electric field in the slot aperture and the correct form of the œà = constant waveguide mode are included in the analysis. Computed and measured results are compared to verify the theoretical analysis. ¬© 1993 IEEE</t>
  </si>
  <si>
    <t>1212-1221</t>
  </si>
  <si>
    <t>35561582300;57203176700</t>
  </si>
  <si>
    <t>Joubert, Johan;McNamara, Derek A.</t>
  </si>
  <si>
    <t>Joubert J.</t>
  </si>
  <si>
    <t>Analysis of Radiating Slots in a Rectangular Waveguide Inhomogeneously Loaded with a Dielectric Slab</t>
  </si>
  <si>
    <t>10.1109/8.247747</t>
  </si>
  <si>
    <t>2-s2.0-0027663862</t>
  </si>
  <si>
    <t>['¬© 1993', 'rights reserved', 'field distribution', 'electrical engineers', 'aperture fields', 'antennas consisting']</t>
  </si>
  <si>
    <t>Antenna arrays | Cavity resonators</t>
  </si>
  <si>
    <t>The field distribution of a multimode chamber excited by an array of antennas consisting of rectangular waveguide apertures has been investigated. It is found that by controlling the locations, polarisations and phases of the sources (i.e.the aperture fields) the uniformity of field distribution in the chamber can be improved. ¬© 1993, The Institution of Electrical Engineers. All rights reserved.</t>
  </si>
  <si>
    <t>1679-1680</t>
  </si>
  <si>
    <t>Hong, J. S.</t>
  </si>
  <si>
    <t>Oxford</t>
  </si>
  <si>
    <t>University of Oxford</t>
  </si>
  <si>
    <t>Hong J.</t>
  </si>
  <si>
    <t>Multimode chamber excited by an array of antennas</t>
  </si>
  <si>
    <t>10.1049/el:19931117</t>
  </si>
  <si>
    <t>2-s2.0-0027663965</t>
  </si>
  <si>
    <t>['waveguide model', 'wave structures', 'uniform antenna', 'theoretically presented', 'strip width', 'strip distribution', 'sidelobe level', 'scanning characteristics', 'radiation pattern', 'nonuniform antennas', 'ku band', 'first part', 'farfield radiation', 'determined theoretically', 'approach based']</t>
  </si>
  <si>
    <t>An approach based on a waveguide model for analyzing the uniform and nonuniform dielectric leaky-wave structures is proposed for which the Galerkin solution method is applied. In the first part of this paper the farfield radiation of the uniform antenna is determined theoretically and experimentally in the Ku band and also the dependence of beamwidth and sidelobe level as function of strip width and frequency is demonstrated. In addition, the analysis of the antenna with a tapered-strip distribution is presented. The second part describes a novel tapering procedure, performed by changing the width of the uniform antenna, for obtaining the radiation pattern with lower sidelobe levels. Sinusoidally and exponentially shaped dielectric leaky-wave structures are analyzed as nonuniform antennas. Finally, the radiation and scanning characteristics of these antennas are theoretically presented. ¬© 1993 IEEE</t>
  </si>
  <si>
    <t>1177-1186</t>
  </si>
  <si>
    <t>60028112;60028112;60028112;60028112</t>
  </si>
  <si>
    <t>7006461011;6507787122;6602259267;7007171277</t>
  </si>
  <si>
    <t>Ghomi, M.;Lejay, B.;Amalric, J. L.;Baudrand, H.</t>
  </si>
  <si>
    <t>Toulouse</t>
  </si>
  <si>
    <t>ENSEEIHT Ecole Nationale Sup√©rieure d'Electrotechnique, d'Electronique, d'Informatique, d'Hydraulique et des T√©l√©communications</t>
  </si>
  <si>
    <t>Ghomi M.</t>
  </si>
  <si>
    <t>Radiation Characteristics of Uniform and Nonuniform Dielectric Leaky-Wave Antennas</t>
  </si>
  <si>
    <t>10.1109/8.247743</t>
  </si>
  <si>
    <t>2-s2.0-0027664041</t>
  </si>
  <si>
    <t>['¬© 1993', 'transmitting arrays', 'state circuits', 'single substrate', 'rights reserved', 'patch antennas', 'output isolation', 'matching circuitry', 'electrical engineers', 'authors present']</t>
  </si>
  <si>
    <t>Active antennas | MESFETs | Microwave amplifiers</t>
  </si>
  <si>
    <t>The authors present a quasioptical power combining transmission amplifier for increasing the power level available from solid-state circuits. Receiving and transmitting arrays of patch antennas, input/output isolation, MESFETs, bias and matching circuitry are contained on a single substrate, making monolithic millimetrewave integration possible. The flexibility of selecting input polarisation with respect to the output while maintaining amplifier stability is demonstrated. A 24-MESFET patch antenna amplifier array is presented. ¬© 1993, The Institution of Electrical Engineers. All rights reserved.</t>
  </si>
  <si>
    <t>1699-1701</t>
  </si>
  <si>
    <t>60000221;60000221;60000221;60000221</t>
  </si>
  <si>
    <t>7005269685;7005429037;7004753618;7101961963</t>
  </si>
  <si>
    <t>Mader, T.;Schoenberg, J.;Harmon, L.;Popoviƒá, Z. B.</t>
  </si>
  <si>
    <t>Mader T.</t>
  </si>
  <si>
    <t>Planar MESFET transmission wave amplifier</t>
  </si>
  <si>
    <t>10.1049/el:19931130</t>
  </si>
  <si>
    <t>2-s2.0-0027664170</t>
  </si>
  <si>
    <t>['wiley company', 'vertical direction', 'theoretical results', 'reduced due', 'propagation path', 'made less', 'incident wave', 'inc .,', 'greatly deteriorated', 'experimental study', 'correlation coefficient', 'clarified theoretically', 'antenna spacing', 'antenna inclination', 'antenna elements', '4 wavelengths', '3 wavelengths', '3 wavelength', '2 wavelength']</t>
  </si>
  <si>
    <t>correlation coefficient | dipole antenna | mean effective gain | Mobile communication | space diversity</t>
  </si>
  <si>
    <t>The configuration of two parallel half‚Äêwave dipoles is the basic space‚Äêdiversity branch for space‚Äêdiversity reception in mobile radio communications. This paper presents theoretical and experimental study on the antenna diversity branch connected to a 50‚Äêohm receiver. Post‚Äêdetection selection diversity is applied to determine the relation of the mean effective gain (MEG) and the correlation coefficient with the variation of angle of antenna inclination from the vertical direction, cross‚Äêpolarization power ratio (XPR) of the propagation path, and the distribution of the incident wave. First, it is clarified theoretically that, if antenna spacing is made less than 0.2 wavelength, then efficiency is reduced due to the coupling between the antenna elements and MEG is greatly deteriorated. Moreover, minimum antenna spacing for better MEG characteristics is in the range of 0.3 to 0.4 wavelengths. Next, it is clarified that the correlation coefficient is less than 0.1 for variation of antenna inclination, XPR, and the distribution of incident wave when the antenna spacing ranges from 0.2 to 0.3 wavelengths. Thus, an optimum antenna spacing exists in the forementioned space‚Äêdiversity branch, which theoretically is found to be about 0.3 wavelength. The validity of the theoretical results is confirmed by 900‚ÄêMHz band indoor experiments. Copyright ¬© 1993 Wiley Periodicals, Inc., A Wiley Company</t>
  </si>
  <si>
    <t>55-66</t>
  </si>
  <si>
    <t>Taga, Tokio</t>
  </si>
  <si>
    <t>Taga T.</t>
  </si>
  <si>
    <t>Characteristics of space‚Äêdiversity branch using parallel dipole antennas in mobile radio communications</t>
  </si>
  <si>
    <t>10.1002/ecja.4410760906</t>
  </si>
  <si>
    <t>2-s2.0-0027664177</t>
  </si>
  <si>
    <t>['urban environments', 'two neighborhoods', 'term fluctuations', 'signal attenuation', 'sight regions', 'sight region', 'reasonable accuracy', 'primary focus', 'prediction method', 'obtain contours', 'numerous streets', 'microcellular environments', 'measured data', 'lma ),', 'inscribed squares', 'frequency bands', 'data base', 'convex diamonds', 'constant lma', 'applied without']</t>
  </si>
  <si>
    <t>We have performed data reductions on 900 MHz signal attenuations measured on numerous streets in Manhattan. The data base consists of both local spatial averages of signal attenuation and the short-term fluctuations about this average. The former, which we call the local mean attenuation (LMA), is our primary focus. We use the data base to obtain contours of constant LMA for two neighborhoods and find the contours to have the shapes of convex diamonds. We propose that squares inscribed within these contours be used as the ‚Äúbuilding blocks‚Äù of microcellular environments. A theory is developed that explains the contours and predicts, with reasonable accuracy, the sizes of the inscribed squares. We show, moreover, that the prediction method can be applied without the need for measured data. Finally, we examine the short-term fluctuation statistics of the signal attenuation, showing them to be Rayleigh-like in the non-line-of-sight regions of a microcell and Rice-like in the line-of-sight region. We discuss possible extensions of this work to other frequency bands and other urban environments. ¬© 1993 IEEE</t>
  </si>
  <si>
    <t>1013-1023</t>
  </si>
  <si>
    <t>60025038;60021378</t>
  </si>
  <si>
    <t>7102737091;7004878411</t>
  </si>
  <si>
    <t>Goldsmith, Andrea J.;Greenstein, Larry J.</t>
  </si>
  <si>
    <t>Berkeley;Murray</t>
  </si>
  <si>
    <t>University of California, Berkeley;Nokia Bell Labs</t>
  </si>
  <si>
    <t>Goldsmith A.</t>
  </si>
  <si>
    <t>A Measurement-Based Model for Predicting Coverage Areas of Urban Microcells</t>
  </si>
  <si>
    <t>10.1109/49.233214</t>
  </si>
  <si>
    <t>2-s2.0-0027664290</t>
  </si>
  <si>
    <t>['wiley company', 'measured results', 'inc .,', 'greatly simplifies']</t>
  </si>
  <si>
    <t>cavity | eigenfunction | Planar structure | spectral domain</t>
  </si>
  <si>
    <t>A planar structure backed with a cavity is analyzed by a spectral‚Äêdomain‚Äêeigenfunction method. An appropriate basis function and an appropriate weighting function have been chosen, which greatly simplifies the process of the solution. Finally, the calculated radiation fields of the antenna are compared with the measured results. ¬© 1993 John Wiley &amp; Sons, Inc. Copyright ¬© 1993 Wiley Periodicals, Inc., A Wiley Company</t>
  </si>
  <si>
    <t>697-701</t>
  </si>
  <si>
    <t>60025084;60025084</t>
  </si>
  <si>
    <t>57191005502;6503941254</t>
  </si>
  <si>
    <t>Ronghong, Jin;Yuanheng, Qiu</t>
  </si>
  <si>
    <t>Shanghai</t>
  </si>
  <si>
    <t>Shanghai Jiao Tong University</t>
  </si>
  <si>
    <t>Ronghong J.</t>
  </si>
  <si>
    <t>A spectral‚Äêdomain‚Äêeigenfunction method for radiation by a cavity‚Äêbacked planar structure</t>
  </si>
  <si>
    <t>10.1002/mop.4650061210</t>
  </si>
  <si>
    <t>2-s2.0-0027664405</t>
  </si>
  <si>
    <t>['transcutaneous transfer', 'transcutaneous ).', 'systems supply', 'systems require', 'system utilizes', 'system described', 'surgical implantation', 'supplied exclusively', 'skin barrier', 'signal separation', 'separate 10', 'saw filters', 'receiver package', 'receiver filterbank', 'range 72', 'radio link', 'power transferred', 'portable transmitter', 'past decade', 'paper uses', 'others utilize', 'miniaturized package', 'implanted circuits', 'frequency multiplex', 'frequency modulated', 'electrodes within', 'data transmission', 'composite signal', 'body via', '78 mhz']</t>
  </si>
  <si>
    <t>Cochlear prosthesis systems for post-lingually deaf individuals (those who have become deaf due to disease or injury after having developed mature speech capability) have been available for the past decade. These systems require the surgical implantation of an array of electrodes within the cochlea and are driven by processed sound signals from outside the body. Some of these systems supply the electrodes through the skin (percutaneous) interface with a connector that passes through the skin while others utilize a radio link to transfer digital data across the skin barrier (transcutaneous). The system described in this paper uses an analog signal approach to the transcutaneous transfer of six processed speech data channels using frequency multiplexing. For data transmission, the system utilizes a filterbank of six narrowband surface acoustic wave (SAW) filters in the range 72-78 MHz with a 1.2-MHz channel spacing to frequency multiplex the six carrier signals, frequency modulated by the processed speech signals, onto a composite signal. The same SAW filters are used in the receiver filterbank for signal separation, but are housed in a miniaturized package. The described wireless system includes a portable transmitter and a receiver package which is to be implanted in the patient. The implanted circuits are supplied exclusively from power transferred from outside the body via a separate 10-MHz transcutaneous link utilizing coupled antenna coils. ¬© 1993 IEEE</t>
  </si>
  <si>
    <t>469-477</t>
  </si>
  <si>
    <t>60015720;60015720</t>
  </si>
  <si>
    <t>6603868138;7005646361</t>
  </si>
  <si>
    <t>Jeutter, Dean C.;Josse, Fabien</t>
  </si>
  <si>
    <t>Milwaukee</t>
  </si>
  <si>
    <t>Marquette University</t>
  </si>
  <si>
    <t>Jeutter D.</t>
  </si>
  <si>
    <t>Design of a Radio-Linked Implantable Cochlear Prosthesis Using Surface Acoustic Wave Devices</t>
  </si>
  <si>
    <t>10.1109/58.238097</t>
  </si>
  <si>
    <t>2-s2.0-0027664537</t>
  </si>
  <si>
    <t>['substrate temperatures', 'radiated intensity', 'picosecond measurements', 'picosecond laser', 'highly sensitive', 'gaas grown', 'electromagnetic radiation', 'bombarded silicon', 'antenna performance', 'also compared']</t>
  </si>
  <si>
    <t>Coplanar-strip horn antennas are fabricated on GaAs grown by molecular beam epitaxy at substrate temperatures of 220, 250, and 270¬∞ C. These antennas are switched photo conductively using a picosecond laser to generate and detect freely propagating bursts of electromagnetic radiation. The dependence of the antenna performance on substrate growth temperature is assessed and is also compared with the performance of like antennas fabricated on oxygen-bombarded silicon on sapphire. It is shown that in our picosecond measurements the radiated pulse duration is not very sensitive to substrate growth temperature but the radiated intensity is highly sensitive to this parameter. ¬© 1993 IEEE</t>
  </si>
  <si>
    <t>339-341</t>
  </si>
  <si>
    <t>60108318;60108318;60009254;60009254</t>
  </si>
  <si>
    <t>7004561693;6504163058;24558279000;35510435500</t>
  </si>
  <si>
    <t>Carin, Lawrence;Kralij, David R.;Woodall, Jerry M.;Melloch, Michael R.</t>
  </si>
  <si>
    <t>New York;West Lafayette</t>
  </si>
  <si>
    <t>NYU Tandon School of Engineering;Purdue University</t>
  </si>
  <si>
    <t>60108318;60009254</t>
  </si>
  <si>
    <t>Characterization of Planar Antennas Fabricated on GaAs Epilayers Containing As Clusters for Picosecond Short-Pulse Applications</t>
  </si>
  <si>
    <t>10.1109/75.244872</t>
  </si>
  <si>
    <t>2-s2.0-0027664622</t>
  </si>
  <si>
    <t>['time delay', 'system losses', 'noise ratio', 'large number', 'architectures currently', 'antenna elements', '40 db', '3 db']</t>
  </si>
  <si>
    <t>A true-time delay, optically controlled phased array antenna system whereby a large number (100‚Äì2500) of antenna elements can receive a series of microwave delays via use of a coherent optical carrier signal is described. Both transmit and receive antenna arrays are described, and the signal-to-noise ratio for a 128 channel system is calculated to be ~40 dB with an optical link loss of only ~3 dB for a 1 GHz instantaneous bandwidth at a wavelength of Œª = 1.55 ¬µm. It is shown that the use of coherent optically controlled phased array antennas provide improved controllability and immunity from noise and system losses over other architectures currently being investigated. ¬© 1993 IEEE</t>
  </si>
  <si>
    <t>293-295</t>
  </si>
  <si>
    <t>60003269;60003269</t>
  </si>
  <si>
    <t>7003851533;7202347784</t>
  </si>
  <si>
    <t>Freitag, P. M.;Forrest, S. R.</t>
  </si>
  <si>
    <t>Princeton University</t>
  </si>
  <si>
    <t>Freitag P.</t>
  </si>
  <si>
    <t>A Coherent Optically Controlled Phased Array Antenna System</t>
  </si>
  <si>
    <t>10.1109/75.244857</t>
  </si>
  <si>
    <t>2-s2.0-0027664623</t>
  </si>
  <si>
    <t>['¬© 1993', 'used suggest', 'robot system', 'rights reserved', 'proposed method', 'paper deals', 'method revising', 'mechanical engineers', 'japan society', 'flying robot', 'dof manipulator', 'control performances', 'control method', 'computer simulation', 'antenna positioning', 'antenna mounted']</t>
  </si>
  <si>
    <t>Antenna Positioning Control | Automatic Control | Extended Generalized Jacobian Matrix | Free-Flying Robot | Manipulator Control | Robotics | Simulation | Space Equipment | Telecommunication</t>
  </si>
  <si>
    <t>This paper deals with practical simultaneous control of a manipulator and an antenna mounted on a free-flying robot in space. An extended generalized Jacobian matrix and resolved motion rate control are used to establish the control method for antenna positioning and the capture of a target by the manipulator. Moreover, a method revising the angular velocity references to the robot system is introduced to improve the control performances. Computer simulation in which a robot system having a base, 2-DOF manipulator, and one link antenna is used suggest that the proposed method is useful and practical. ¬© 1993, The Japan Society of Mechanical Engineers. All rights reserved.</t>
  </si>
  <si>
    <t>2758-2764</t>
  </si>
  <si>
    <t>Transactions of the Japan Society of Mechanical Engineers Series C</t>
  </si>
  <si>
    <t>7102608101;7403267482;56126339800</t>
  </si>
  <si>
    <t>Katoh, Ryozo;Miyazaki, Yasuyuki;Yamamoto, Toshihiko</t>
  </si>
  <si>
    <t>Katoh R.</t>
  </si>
  <si>
    <t>Practical Control Method for Antenna and Manipulator Mounted on Free-Flying Robot in Space</t>
  </si>
  <si>
    <t>10.1299/kikaic.59.2758</t>
  </si>
  <si>
    <t>2-s2.0-0027664675</t>
  </si>
  <si>
    <t>['wiley company', 'studied based', 'inc .,', 'higher degrees', 'gregorian ).', 'geometrical optics', 'completely different', 'aperture mapping']</t>
  </si>
  <si>
    <t>Antenna | aperture mapping | geometrical optics | reflector antenna</t>
  </si>
  <si>
    <t>The aperture mapping in general dual reflector antennas including the shaped‚Äêreflector type is studied based on the geometrical optics. The condition for a rotationally symmetric aperture mapping is derived. As a result, it is found that there exists a curved surface system which is completely different from the rotational quadratic surfaces for realizing a rotationally symmetric aperture mapping. This new surface system category has higher degrees of freedom in design than the conventional rotated quadratic surfaces (Cassegrainian/Gregorian). It is possible to realize a rotationally symmetric aperture mapping even in a double‚Äêoffset reflector arrangement in which no symmetric plane exists. Copyright ¬© 1993 Wiley Periodicals, Inc., A Wiley Company</t>
  </si>
  <si>
    <t>79-88</t>
  </si>
  <si>
    <t>7102999195;7004794531</t>
  </si>
  <si>
    <t>Nomoto, Shinichi;Mizuguchi, Yoshihiko</t>
  </si>
  <si>
    <t>Nomoto S.</t>
  </si>
  <si>
    <t>Conditions for a rotationally symmetric aperture mapping in dual reflector antennas‚Äîa new category of reflector systems allowing double‚Äêoffset configuration</t>
  </si>
  <si>
    <t>10.1002/ecja.4410760908</t>
  </si>
  <si>
    <t>2-s2.0-0027664786</t>
  </si>
  <si>
    <t>['wavelength accuracies', 'underground mine', 'technique uses', 'situ measurements', 'shale media', 'shale interface', 'physical measurement', 'noncontacting stepped', 'network analyzer', 'multilayered coal', 'measurement confirmed', 'independent measurement', 'fringing field', 'dipole antenna', 'dielectric constant', 'data taken', 'coal thickness', 'coal seam', 'clutter rejection', 'antenna motion', '2 cm']</t>
  </si>
  <si>
    <t>A radar coal thickness sensor is being developed by the Bureau of Mines to measure both the dielectric constant and thickness of a coal seam as part of a sensor array supporting a computer-assisted coal mining machine. The noncontacting stepped-CW radar sensor measures the complex reflection coefficient of the coal/shale interface to resolve the coal thickness to sub-wavelength accuracies. The technique uses a monostatic antenna configuration. Transfer function errors are identified by using spatial modulation created by antenna motion. Synthetic range gating is used for clutter rejection. Finally, polarimetric scattering matrix techniques are used to calculate the dielectric constant and thickness of the multilayered coal/shale media. Data taken both in the laboratory and in an underground mine, in the 0.6-1.4 GHz range, with a network analyzer and dipole antenna, have validated the technique. Accurate in situ measurements were made of a coal seam 6-in (15.2 cm) thick with a dielectric constant of 4. The coal thickness was confirmed by a physical measurement. An independent measurement of the coal dielectric constant was made by measuring the interaction of the coal with the fringing field of an open-ended dielectric probe. This measurement confirmed the accuracy of the noncontacting dielectric measurement technique. The one-dimensional (1D) spherical wave scattering matrix model, the data reduction process, and field test results will be presented. ¬© 1993 IEEE</t>
  </si>
  <si>
    <t>834-840</t>
  </si>
  <si>
    <t>IEEE Transactions on Industry Applications</t>
  </si>
  <si>
    <t>September/October 1993</t>
  </si>
  <si>
    <t>60033134;</t>
  </si>
  <si>
    <t>6602844577;57199385264</t>
  </si>
  <si>
    <t>Chufo, Robert L.;Johnson, Walter J.</t>
  </si>
  <si>
    <t>Pittsburgh</t>
  </si>
  <si>
    <t>US Bureau of Mines</t>
  </si>
  <si>
    <t>Chufo R.</t>
  </si>
  <si>
    <t>A radar coal thickness sensor</t>
  </si>
  <si>
    <t>10.1109/28.245703</t>
  </si>
  <si>
    <t>2-s2.0-0027664793</t>
  </si>
  <si>
    <t>International Business Machines Corporation</t>
  </si>
  <si>
    <t>N00014-90-J-1270</t>
  </si>
  <si>
    <t>IBM</t>
  </si>
  <si>
    <t>['yee algorithm', 'wave algorithm', 'vivaldi antenna', 'relative merits', 'open geometries', 'numerical simulation', 'memory requirements', 'many 3', 'hybrid yee', 'hybrid algorithm', 'fdtd scalar', 'entirely equivalent', 'difference time', 'computational efficiency', 'computation time', 'approximately one']</t>
  </si>
  <si>
    <t>In this paper, two alternate formulations of the Yee algorithm, namely, the finite-difference time-domain (FDTD) vector-wave algorithm and the FDTD scalar-wave algorithm are examined and compared to determine their relative merits and computational efficiency. By using the central-difference divergence relation the conventional Yee algorithm is rewritten as a hybrid Yee/FDTD scalar-wave algorithm. It is found that this can reduce the computation time for many 3-D open geometries, in particular planar structures, by approximately two times as well as reduce the computer-memory requirements by approximately one-third. Moreover, it is demonstrated both mathematically and verified by numerical simulation of a coplanar strip transmission line that this hybrid algorithm is entirely equivalent to the Yee algorithm. In addition, an alternate but mathematically equivalent reformulation of the Enquist-Majda absorbing boundary condition based on the normal field component (relative to the absorbing boundary wall) is given to increase the efficiency of the hybrid algorithm in the modeling of open region problems. Numerical results generated by the hybrid Yee/scalar-wave algorithm for the Vivaldi antenna are given and compared with published experimental work. ¬© 1993 IEEE</t>
  </si>
  <si>
    <t>1593-1600</t>
  </si>
  <si>
    <t>60000745-60011410;60000745</t>
  </si>
  <si>
    <t>6603178631;57201784215</t>
  </si>
  <si>
    <t>Aoyagi, Paul H.;Mittra, Raj</t>
  </si>
  <si>
    <t>Worcester;Urbana</t>
  </si>
  <si>
    <t>Worcester Polytechnic Institute;University of Illinois Urbana-Champaign</t>
  </si>
  <si>
    <t>60011410;60000745</t>
  </si>
  <si>
    <t>Aoyagi P.H.</t>
  </si>
  <si>
    <t>A Hybrid Yee Algorithm/Scalar-Wave Equation Approach</t>
  </si>
  <si>
    <t>10.1109/22.245683</t>
  </si>
  <si>
    <t>2-s2.0-0027665698</t>
  </si>
  <si>
    <t>Office of the Vice President for Research and Economic Development, University at Buffalo</t>
  </si>
  <si>
    <t>['small displacements', 'results reported', 'receiving antenna', 'normally distributed', 'multipath components', 'mean values', 'mean value', 'major results', 'lognormally distributed', 'linear filters', 'large areas', 'good fit', 'global areas', 'excess delay', 'decreasing function', 'correlation coefficient', 'arrival time', 'antenna position']</t>
  </si>
  <si>
    <t>If indoor radio propagation channels are modeled as linear filters, they can be characterized by reporting the parameters of their equivalent impulse response functions. In this paper, the measurement and modeling of estimates for such functions in two different office buildings are reported. The resulting data base consists of 12 000 impulse response estimates of the channel, which are obtained by inverse Fourier transforming of the channel‚Äôs transfer functions. Major results of the analysis are as follows. i) The number of multipath components in each impulse response estimate is a normally-distributed random variable with a mean value that increases with increasing antenna separations. ii) A ‚Äúmodified Poisson‚Äù distribution shows a good fit to the arrival time of the multipath components, iii) Amplitudes are lognormally distributed over both local and global areas, with a log-mean value that decreases almost linearly with increasing excess delay, iv) For small displacements of the receiving antenna, the amplitude of the multipath components are correlated; the correlation coefficient is a decreasing function of both displacement of the antenna position and excess delay, v) The amplitudes of adjacent multipath components of the same impulse response function show negligible correlations, vi) The rms delay spread over large areas is normally distributed with mean values that increase with increasing antenna separation. The average rms delay spread for each location has great linear dependence with the average path loss for that location. Results reported in this paper can be used in the simulation of indoor radio propagation channels. ¬© 1993 IEEE</t>
  </si>
  <si>
    <t>967-978</t>
  </si>
  <si>
    <t>Hashemi, Homayoun</t>
  </si>
  <si>
    <t>Iran</t>
  </si>
  <si>
    <t>Tehran</t>
  </si>
  <si>
    <t>Sharif University of Technology</t>
  </si>
  <si>
    <t>Hashemi H.</t>
  </si>
  <si>
    <t>Impulse Response Modeling of Indoor Radio Propagation Channels</t>
  </si>
  <si>
    <t>10.1109/49.233210</t>
  </si>
  <si>
    <t>2-s2.0-0027665961</t>
  </si>
  <si>
    <t>CS80-0210-DOO 9-26</t>
  </si>
  <si>
    <t>['uniform layer', 'thickness profile', 'systematic approach', 'splines representation', 'realistic three', 'radome performance', 'radome layer', 'radome design', 'properly adjusting', 'entire range', 'dimensional radomes', 'boresight error', 'arbitrary shapes']</t>
  </si>
  <si>
    <t>In this paper a systematic approach to radome design is presented. The problem is formulated as a global optimization procedure such that the radome performance is optimized by properly adjusting the thickness of the radome layer over the entire radome surface. In this approach the thickness profile is parameterized via B-splines representation. Simulated annealing technique is applied to finding the best thickness profile so that the maximum boresight error is reduced as small as possible over the entire range of the antenna look angle. A two-dimensional design example is given. The best possible thickness profile is found and the boresight error is reduced considerably compared to that due to a uniform layer. The method is general and can be applied without difficulty to other realistic three-dimensional radomes of arbitrary shapes. ¬© 1993 IEEE</t>
  </si>
  <si>
    <t>1195-1203</t>
  </si>
  <si>
    <t>60012370;60012370;60012370</t>
  </si>
  <si>
    <t>57197246804;7403573252;55477589100</t>
  </si>
  <si>
    <t>Hsu, Fang;Chang, Po Rong;Chan, Kuan Kin</t>
  </si>
  <si>
    <t>Hsu F.</t>
  </si>
  <si>
    <t>Optimization of Two-Dimensional Radome Boresight Error Performance Using Simulated Annealing Technique</t>
  </si>
  <si>
    <t>10.1109/8.247745</t>
  </si>
  <si>
    <t>2-s2.0-0027666463</t>
  </si>
  <si>
    <t>['two waveguides', 'two slots', 'several examples', 'outlined using', 'operator equation', 'matrix method', 'electromagnetic scattering']</t>
  </si>
  <si>
    <t>The problem of electromagnetic scattering from a plane conductor containing multiple apertures is studied. Two slots are terminated or interconnected by a microwave network internal to the plane through two waveguides. The problem is formulated as an operator equation. A matrix method of solution is outlined using the method of moments and is interpreted using generalized network parameters. Several examples are discussed and their magnetic field strength patterns are presented. ¬© 1993 IEEE</t>
  </si>
  <si>
    <t>1258-1264</t>
  </si>
  <si>
    <t>60030551;60030551</t>
  </si>
  <si>
    <t>8582657600;7201653432</t>
  </si>
  <si>
    <t>Lu, Yinghua;Harrington, R. F.</t>
  </si>
  <si>
    <t>Lu Y.</t>
  </si>
  <si>
    <t>Electromagnetic Scattering from a Plane Conductor Containing Two Slots Terminated by a Microwave Network, TE Case</t>
  </si>
  <si>
    <t>10.1109/8.247752</t>
  </si>
  <si>
    <t>2-s2.0-0027666555</t>
  </si>
  <si>
    <t>NAGW-1101</t>
  </si>
  <si>
    <t>['valid also', 'thus providing', 'three constants', 'therefore used', 'study shows', 'section geometry', 'scattering solution', 'scattering model', 'representative set', 'recent study', 'proper values', 'polarizability tensor', 'obtained using', 'moments model', 'moment method', 'large compared', 'incident wavelength', 'grass blades', 'grass blade', 'frequency approximation', 'electrically small', 'dielectric cylinder', 'dielectric constant', 'cylinder shape', 'cumbersome method', 'cross sections', 'correctly determine', 'complex cross', 'blade shape', 'average error', 'algebraic approximation', '3 %.']</t>
  </si>
  <si>
    <t>In this paper, the electromagnetic scattering solution for a grass blade with complex cross-section geometry is considered. It is assumed that the blade cross section is electrically small, but its length is large compared to the incident wavelength. In a recent study it has been shown that the scattering solution for such problems, in the form of a polarizability tensor, can be obtained using the low-frequency approximation in conjunction with the method of moments. In addition, the study shows that the relationship between the polarizability tensor of a dielectric cylinder and its dielectric constant can be approximated by a simple algebraic expression. The results of this study are used to show that this algebraic approximation is valid also for cylinders with cross sections the shape of grass blades, providing that proper values are selected for each of three constants appearing in the expression. These constants are dependent on cylinder shape, and if the relationship between the constants and the three parameters describing a grass blade shape can be determined, an algebraic approximation relating polarizability tensor to blade shape, as well as dielectric constant, can be formed. Since the elements of the polarizability tensor are dependent on only these parameters, this algebraic approximation can replace the cumbersome method of moments model. The moment method model is therefore used to generate a small but representative set of polarizability tensor data over the range of values commonly observed in nature. A conjugate gradient method is then implemented to correctly determine the three constants of the algebraic approximation for each blade shape. A third-order polynomial fit to the data is then determined for each constant, thus providing a complete analytic replacement to the numerical (moment method) scattering model. Comparisons of this approximation to the numerical model show an average error of less than 3%. ¬© 1993 IEEE</t>
  </si>
  <si>
    <t>1051-1059</t>
  </si>
  <si>
    <t>7101804756;35585913500;7103159953</t>
  </si>
  <si>
    <t>Stiles, James M.;Sarabandi, Kamal;Ulaby, Fawwaz T.</t>
  </si>
  <si>
    <t>Stiles J.</t>
  </si>
  <si>
    <t>Microwave Scattering Model for Grass Blade Structures</t>
  </si>
  <si>
    <t>10.1109/36.263776</t>
  </si>
  <si>
    <t>2-s2.0-0027667186</t>
  </si>
  <si>
    <t>['zero variances', 'well separated', 'theoretical derivations', 'simulation results', 'random amplitude', 'phase variances', 'phase errors', 'paper investigates', 'optimal weights', 'commonly used']</t>
  </si>
  <si>
    <t>This paper investigates the variation of the complex response zeros, commonly used for source location purposes, of a linear power inversion array with random amplitude and phase errors. In particular, after deriving the zero variances in terms of the optimal weights and the variances of the amplitude and phase errors, a simple guideline relating the zero variances to the number of elements and the amplitude and phase variances is obtained for situations when the sources are well separated and resolvable by the array. Some simulation results are then presented to verify the theoretical derivations. ¬© 1993 IEEE</t>
  </si>
  <si>
    <t>1327-1331</t>
  </si>
  <si>
    <t>7202596473;6506220011</t>
  </si>
  <si>
    <t>Ko, C. C.;Bachl, R.</t>
  </si>
  <si>
    <t>Sensitivity of Complex Response Zeros of Linear Power Inversion Arrays in the Presence of Random Amplitude and Phase Errors</t>
  </si>
  <si>
    <t>10.1109/8.247762</t>
  </si>
  <si>
    <t>2-s2.0-0027667516</t>
  </si>
  <si>
    <t>['wiley company', 'time evolution', 'radiation behavior', 'radiated field', 'power delivered', 'inc .,', 'frequency domain', 'currents computed']</t>
  </si>
  <si>
    <t>finite‚Äêdifference‚Äêtime‚Äêdomain method | Microstrip antenna | traveling‚Äêwave antenna</t>
  </si>
  <si>
    <t>The radiation behavior of a microstrip traveling‚Äêwave antenna is theoretically analyzed using a time‚Äêdomain method based on the FDTD. The time evolution of the fields and currents computed by the FDTD can be given in the frequency domain on a large bandwidth using Fourier transforms. Then it is possible to deduce classical parameters as the radiated field, the gain, and the power delivered by the antenna. ¬© 1993 John Wiley &amp; Sons, Inc. Copyright ¬© 1993 Wiley Periodicals, Inc., A Wiley Company</t>
  </si>
  <si>
    <t>694-697</t>
  </si>
  <si>
    <t>6506632009;7004363654;7006402070</t>
  </si>
  <si>
    <t>Alaeddine, A.;Reineix, A.;Jecko, B.</t>
  </si>
  <si>
    <t>Alaeddine A.</t>
  </si>
  <si>
    <t>Radiation characteristics of a microstrip traveling‚Äêwave antenna‚Äêpower balance</t>
  </si>
  <si>
    <t>10.1002/mop.4650061209</t>
  </si>
  <si>
    <t>2-s2.0-0027668082</t>
  </si>
  <si>
    <t>['symmetry planes', 'received signal', 'phase shift', 'often used', 'generally anisotropic', 'emerging wave', 'convenient graphs']</t>
  </si>
  <si>
    <t>An inclined planar panel, which is generally anisotropic, intercepting a circularly polarized beam introduces loss and phase shift, and depolarizes the received signal. Orthogonal linearly polarized waves aligned to the symmetry planes are often used in the measurement of such panels. Using these data, convenient graphs are presented to illustrate the loss and phase shift of a circularly polarized beam, as well as the amount of depolarizat on into an orthogonal circularly polarized channel, without explicitly determining the intermediate axial ratio or polarization ellipse tilt angle of the emerging wave. ¬© 1993 IEEE</t>
  </si>
  <si>
    <t>1339-1342</t>
  </si>
  <si>
    <t>Tomiyasu, K.</t>
  </si>
  <si>
    <t>General Electric Company</t>
  </si>
  <si>
    <t>Tomiyasu K.</t>
  </si>
  <si>
    <t>Complex Signal Received Through an Anisotropic Panel Intercepting a Circularly Polarized Beam</t>
  </si>
  <si>
    <t>10.1109/8.247765</t>
  </si>
  <si>
    <t>2-s2.0-0027668114</t>
  </si>
  <si>
    <t>['two formulas', 'theoretical interest', 'second term', 'second formula', 'practical applications', 'otherwise uniform', 'large parameter', 'large kz', 'first one', 'filament integral', 'existing formulas', 'copyright 1993', 'averaging results', 'averaging leads', 'asymptotic series', 'approximate closely']</t>
  </si>
  <si>
    <t>A uniform asymptotic expansion of the time‚Äêharmonic antenna current with large parameter In [2kz/(ka)2] is given. As usual, the expansion is based on Hall√©n's filament integral and is restricted by the condition z ‚â´ a but is otherwise uniform in kz. The use of averaging leads to the vanishing of the second term of the asymptotic series. Two different averaging procedures are used to derive two accurate formulas: The first one, which is very simple, is useful for practical applications. The second formula is of theoretical interest. An improved asymptotic series for large kz is derived to relate the averaging results to existing asymptotic results. Comparison of these two formulas and the exact antenna integral demonstrates that these formulas are more accurate than any other existing formulas for infinite cylindrical antenna current. The Hall√©n filament integral is found to approximate closely the exact integral even when the condition z ‚â´ a is violated. Discrepancies in the literature are discussed. Copyright 1993 by the American Geophysical Union.</t>
  </si>
  <si>
    <t>649-661</t>
  </si>
  <si>
    <t>7410237435;7003397779</t>
  </si>
  <si>
    <t>Chen, Kenneth C.;Warne, Larry K.</t>
  </si>
  <si>
    <t>Chen K.</t>
  </si>
  <si>
    <t>Uniform formulas for infinite antenna current</t>
  </si>
  <si>
    <t>10.1029/93RS01438</t>
  </si>
  <si>
    <t>2-s2.0-0027668467</t>
  </si>
  <si>
    <t>['utilization within', 'two stations', 'time history', 'target classification', 'simulation results', 'selected areas', 'section measurements', 'rotating antenna', 'location technique', 'location simulations', 'echo ranges', 'data fusion', 'common area', 'alert system']</t>
  </si>
  <si>
    <t>The concept of a novel modular structured near-range primary radar network (NRN) for guidance and control of airport surface traffic is presented. Several autonomously operating modules comprising of four radar stations cover all relevant airport areas or, alternatively, are integrated in a complex structured surveillance system by data fusion; then only selected areas have to be covered. Each sensor of a single module illuminates a common area of surveillance by a fixed, non-rotating antenna and measures range echo profiles. For the utilization within a planning and alert system the target locations inside a module are derived from multilateration of echo ranges, measured by multiple distributed sensors. Target velocity vectors are evaluated from the time history of several range echo profiles at least at two stations; target classification is obtained from microwave imaging techniques. In order to demonstrate the performance of the location technique and its flexibility in adapting to different airport scenarios, simulation results are presented. The location simulations are based on high-resolution radar cross-section measurements of a downscaled A 310 aircraft model. ¬© 1993 IEEE</t>
  </si>
  <si>
    <t>168-178</t>
  </si>
  <si>
    <t>IEEE Transactions on Control Systems Technology</t>
  </si>
  <si>
    <t>55889566100;7006844795;57199120691;7006110278</t>
  </si>
  <si>
    <t>Bethke, K. H.;R√∂de, B.;Schneider, M.;Schroth, A.</t>
  </si>
  <si>
    <t>Bethke K.</t>
  </si>
  <si>
    <t>A Novel Noncooperative Near-Range Radar Network for Traffic Guidance and Control on Airport Surfaces</t>
  </si>
  <si>
    <t>10.1109/87.251884</t>
  </si>
  <si>
    <t>2-s2.0-0027668517</t>
  </si>
  <si>
    <t>['wiley company', 'wide range', 'tm10 modes', 'superstrate thicknesses', 'measured data', 'inc .,', 'aspect ratio']</t>
  </si>
  <si>
    <t>Curve‚Äêfitting formulas based on moment method results are presented for the normalized resonant frequencies of the TM01 and TM10 modes of a rectangular patch antenna covered with a superstrate. The formulas can be used for a wide range of substrate and superstrate thicknesses and permittivities. Although they are obtained by fitting data points with aspect ratio a/b = 1.5, the formulas are found to be useful for a/b between 1.3 and 1.8. Comparison with measured data is given. ¬© 1993 John Wiley &amp; Sons. Inc. Copyright ¬© 1993 Wiley Periodicals, Inc., A Wiley Company</t>
  </si>
  <si>
    <t>340-349</t>
  </si>
  <si>
    <t>60021624;60021624;60009658;60026717</t>
  </si>
  <si>
    <t>56092917000;7501501369;7003504220;24522606100</t>
  </si>
  <si>
    <t>Chen, Wei;Lee, Kai‚ÄêFong ‚ÄêF;Dahele, Jash S.;Lee, Richard Q.</t>
  </si>
  <si>
    <t>United States;United States;United Kingdom</t>
  </si>
  <si>
    <t>Cleveland;Toledo;Swindon</t>
  </si>
  <si>
    <t>NASA Glenn Research Center;The University of Toledo;Defence College of Management and Technology</t>
  </si>
  <si>
    <t>60026717;60021624;60009658</t>
  </si>
  <si>
    <t>CAD formulas for resonant frequencies of TM&lt;inf&gt;01&lt;/inf&gt; and TM&lt;inf&gt;10&lt;/inf&gt; modes of rectangular patch antenna with superstrate</t>
  </si>
  <si>
    <t>10.1002/mmce.4570030406</t>
  </si>
  <si>
    <t>2-s2.0-0027676852</t>
  </si>
  <si>
    <t>['wiley company', 'simplified model', 'scattering parameters', 'properly accounts', 'numerical results', 'inc .,', 'impedance walls', 'fundamental mode', 'complex eigenvalue', 'cavity model', 'cad applications']</t>
  </si>
  <si>
    <t>A simplified model is suggested for describing aperture‚Äêcoupled patch antennas in CAD applications. The scattering parameters of the antenna are calculated by assuming a single mode distribution for the currents on the slot and on the microstrip‚Äêline. The coupling between the slot and the patch is represented by superimposing a contribution from a fundamental mode and that from higher order modes. The former is described by a complex eigenvalue of a cavity model with impedance walls. The latter is described by a parallel plate waveguide model, which properly accounts for the storage of reactive energy close to the slot. Numerical results are presented and compared with experiments. In particular, S‚Äêband patches have been fabricated and tested to demonstrate the accuracy of the model. ¬© 1993 John Wiley &amp; Sons, Inc. Copyright ¬© 1993 Wiley Periodicals, Inc., A Wiley Company</t>
  </si>
  <si>
    <t>386-396</t>
  </si>
  <si>
    <t>60021859;60021859;60021859;60021859;60021859</t>
  </si>
  <si>
    <t>7005998607;7004298831;7004851623;7101648719;57202007643</t>
  </si>
  <si>
    <t>Maci, S.;Borselli, L.;Avitabile, G.;Gentili, G. Biffi;Tiberio, R.</t>
  </si>
  <si>
    <t>Maci S.</t>
  </si>
  <si>
    <t>A CAD‚Äêoriented approach for aperture‚Äêcoupled patch antennas</t>
  </si>
  <si>
    <t>10.1002/mmce.4570030410</t>
  </si>
  <si>
    <t>2-s2.0-0027676853</t>
  </si>
  <si>
    <t>['wave dipole', 'theoretical analysis', 'simultaneous measurement', 'measuring radio', 'magnetic fields', 'magnetic components', 'loaded loop', 'loaded dipole', 'frequency electric', 'different compromise', 'antenna demonstrates', 'also described']</t>
  </si>
  <si>
    <t>This tutorial paper discusses various standard antennas for measuring radio-frequency electric and magnetic fields. A theoretical analysis of each antenna‚Äôs receiving characteristics is summarized and referenced. The standard probes described are an electrically short dipole, a resistively-loaded dipole, a half-wave dipole, an electrically small loop, and a resistively-loaded loop. A single-turn loop designed for simultaneous measurement of the electric and magnetic components of near-fields and other complex electromagnetic environments is also described. Each type of antenna demonstrates a different compromise between broadband frequency response and sensitivity. ¬© 1993 IEEE</t>
  </si>
  <si>
    <t>1349-1364</t>
  </si>
  <si>
    <t>Kanda, Motohisa</t>
  </si>
  <si>
    <t>Kanda M.</t>
  </si>
  <si>
    <t>Standard Probes for Electromagnetic Field Measurements</t>
  </si>
  <si>
    <t>10.1109/8.247775</t>
  </si>
  <si>
    <t>2-s2.0-0027676902</t>
  </si>
  <si>
    <t>British Telecommunications</t>
  </si>
  <si>
    <t>BT</t>
  </si>
  <si>
    <t>['vsats ),', 'two beams', 'recent increase', 'paper presents', 'new method', 'good agreement']</t>
  </si>
  <si>
    <t>This paper presents a new method to determine transmission loss, which is a key factor used in determining the impact of interference between terrestrial radio relay systems and earth-satellite systems operating at the same frequency. The current model used by the CCIR was developed in the early 1970‚Äôs when system packing density was low and large earth station antennas allowed the consideration of narrow beam approximations, resulting in a small common volume of intersection of the two beams. The recent increase in microwave communications traffic and improvements in technology have meant that smaller earth station antennas, including very small aperture terminals (VSATs), can be employed and hence the model requires revision. Results from the new model proposed here in are compared with two experimental geometries and good agreement is found. ¬© 1993 IEEE</t>
  </si>
  <si>
    <t>1422-1431</t>
  </si>
  <si>
    <t>60001359;60001359;60031028;60031028;60031028</t>
  </si>
  <si>
    <t>7101632915;7004254525;7103267312;35090533600;7006639115</t>
  </si>
  <si>
    <t>Holt, A. R.;McGuinness, R.;Charlton, D. G.;Thompson, P. T.;Mehler, M. J.</t>
  </si>
  <si>
    <t>London;Colchester</t>
  </si>
  <si>
    <t>British Telecommunications plc;University of Essex</t>
  </si>
  <si>
    <t>60031028;60001359</t>
  </si>
  <si>
    <t>Holt A.</t>
  </si>
  <si>
    <t>The Development of a Model to Estimate the Bistatic Transmission Loss Associated with Intersystem Interference</t>
  </si>
  <si>
    <t>10.1109/8.247783</t>
  </si>
  <si>
    <t>2-s2.0-0027677074</t>
  </si>
  <si>
    <t>['wiley company', 'two phenomena', 'time domain', 'phase information', 'loop antenna', 'inc .,', 'esd pulses', 'electrostatic discharge', 'electronic equipment', 'electromagnetic pulses', 'discharge voltage', 'discharge phenomenon', 'discharge current', 'difficult task', 'biconical antenna', 'antenna factors', 'analytical results', 'always increase', '6 db']</t>
  </si>
  <si>
    <t>electromagnetic interference | electromagnetic pulse | Electrostatic discharge | indirect ESD</t>
  </si>
  <si>
    <t>Electrostatic discharge (ESD) usually is accompanied by two phenomena: the injection of discharge current, and the radiation of electromagnetic pulses. The discharge phenomenon can cause transient electrical interference of electronic equipment and the time‚Äêdomain measurement of radiated fields associated with ESD is a difficult task because of the very fast and wide‚Äêband waves involved. This paper describes measurement and analytical results of ESD pulses. ESD pulses were measured by three EMI‚Äêtype antennas (a loop antenna, a biconical antenna, and a double‚Äêridged guide antenna) in the time domain. It is shown that the electromagnetic pulses can be evaluated by the energy spectrum without using the phase information of antenna factors. Based on the measurement of waveforms of the known electromagnetic pulses, it is shown that the waveform can be evaluated with an accuracy of 2 to 6 dB. As a result, it was found that radiated ESD energy does not always increase in proportion to discharge voltage and that ESD pulses produced by low‚Äêvoltage ESD can cause strong electromagnetic interference. Copyright ¬© 1993 Wiley Periodicals, Inc., A Wiley Company</t>
  </si>
  <si>
    <t>105-113</t>
  </si>
  <si>
    <t>60025555;60025555;60025555;60025555</t>
  </si>
  <si>
    <t>55980004400;7101870691;7005750067;7004348998</t>
  </si>
  <si>
    <t>Masugi, Masao;Murakawa, Kazuo;Kuwabaras, Nobuo;Amemiya, Fujio</t>
  </si>
  <si>
    <t>Masugi M.</t>
  </si>
  <si>
    <t>Measurement and analysis of electromagnetic pulses due to indirect ESD</t>
  </si>
  <si>
    <t>10.1002/ecja.4410761010</t>
  </si>
  <si>
    <t>2-s2.0-0027677135</t>
  </si>
  <si>
    <t>['waveguide horns', 'modified analysis', 'many authors', 'gain horns', 'extensively analyzed', 'experimental measurements', 'calculated gain', 'broad agreement', 'approximations used', 'aperture fields']</t>
  </si>
  <si>
    <t>Waveguide horns have been extensively analyzed by many authors, with broad agreement between the results of the various theoretical approaches, for medium-and high-gain horns. However, the approximations used in the calculation of the aperture fields are inaccurate when applied to low-gain horns, leading to errors in the calculated gain. A modified analysis is described, avoiding the most commonly used approximations. Experimental measurements on a 12 dB horn are used to substantiate the theory.</t>
  </si>
  <si>
    <t>381-386</t>
  </si>
  <si>
    <t>Oct</t>
  </si>
  <si>
    <t>120604894;120604894</t>
  </si>
  <si>
    <t>7202029313;7202217566</t>
  </si>
  <si>
    <t>Hawkins, D. C.;Thompson, F.</t>
  </si>
  <si>
    <t>Q-Par Angus Ltd</t>
  </si>
  <si>
    <t>Hawkins D.</t>
  </si>
  <si>
    <t>Modifications to the theory of waveguide horns</t>
  </si>
  <si>
    <t>10.1049/ip-h-2.1993.0061</t>
  </si>
  <si>
    <t>2-s2.0-0027677226</t>
  </si>
  <si>
    <t>['predicted values', 'new technique', 'good agreement', 'field distribution', 'digital reconstruction', 'actual ones']</t>
  </si>
  <si>
    <t>A new technique is presented where the range gain pattern produced by ground multipath interference is considered as a hologram. The technique can be applied to both flat and spherical earth models. Field distribution at the transmitting antenna side is obtained by digital reconstruction from the range gain pattern. Transmitting antenna height and ground reflection coefficient can therefore be predicted. The technique is validated by calculated and measured range gain patterns, and the predicted values are in good agreement with actual ones.</t>
  </si>
  <si>
    <t>367-372</t>
  </si>
  <si>
    <t>60071150;60071150</t>
  </si>
  <si>
    <t>6603210585;13404674100</t>
  </si>
  <si>
    <t>Sayidmarie, K. H.;Abbosh, A. M.</t>
  </si>
  <si>
    <t>Iraq</t>
  </si>
  <si>
    <t>Mosul</t>
  </si>
  <si>
    <t>University of Mosul</t>
  </si>
  <si>
    <t>Sayidmarie K.</t>
  </si>
  <si>
    <t>Holographic prediction of ground multipath parameters from range gain patterns</t>
  </si>
  <si>
    <t>10.1049/ip-h-2.1993.0058</t>
  </si>
  <si>
    <t>2-s2.0-0027677275</t>
  </si>
  <si>
    <t>['various levels', 'space structures', 'small imperfections', 'sensitivity analysis', 'scale 12', 'rights reserved', 'mode localization', 'modal behavior', 'ml phenomenon', 'investigated experimentally', 'inc .,', 'experimental results', 'excitation force', 'dynamically tested', 'dynamic characteristics', 'described herein', 'also performed']</t>
  </si>
  <si>
    <t>In this paper, the mode localization (ML) phenomenon is investigated experimentally and analytically to determine the influence of its parameters. For this purpose, a full-scale 12-rib loosely coupled antenna testbed with small imperfections is dynamically tested for various levels of inter-rib coupling stiffness and excitation force. The experimental results are described herein. Using a simplified numerical model of the structure, a sensitivity analysis of the modal behavior is also performed. The numerical and experimental results are shown to agree remarkably well, thereby providing conclusive validation of the ML phenomenon on a testbed having the dynamic characteristics of space structures. ¬© 1993 American Institute of Aeronautics and Astronautics, Inc., All rights reserved.</t>
  </si>
  <si>
    <t>1929-1937</t>
  </si>
  <si>
    <t>60009037;60009037</t>
  </si>
  <si>
    <t>6602983194;7202654194</t>
  </si>
  <si>
    <t>Levine-West, M. B.;Salama, M. A.</t>
  </si>
  <si>
    <t>Levine-West M.</t>
  </si>
  <si>
    <t>Mode localization experiments on a ribbed antenna</t>
  </si>
  <si>
    <t>10.2514/3.49111</t>
  </si>
  <si>
    <t>2-s2.0-0027677301</t>
  </si>
  <si>
    <t>['volume arrays', 'subarray outputs', 'planar array', 'large array', 'difference beam', 'correction values', 'arbitrary planar', 'also applicable', 'adaptive sum']</t>
  </si>
  <si>
    <t>The angle estimation problem with an adaptive phased array radar is considered. Because of the adaptation, the shape of the sum and difference beam is perturbed, therefore the usual monopulse formula produces errors if applied to the adaptive sum and difference beam outputs without correction. Correction values are derived for the slope and bias of the adaptive monopulse ratio for a planar array, and it is shown by example that this corrected adaptive monopulse procedure may be applied to the subarray outputs of a large array with partial digital beamforming. The bias can be further reduced by iterating the procedure, resulting in a `multistep corrected adaptive monopulse procedure'. This technique is also applicable to subarray output data. The method is applicable to arbitrary planar or volume arrays.</t>
  </si>
  <si>
    <t>Nickel, U.</t>
  </si>
  <si>
    <t>Nickel U.</t>
  </si>
  <si>
    <t>Monopulse estimation with adaptive arrays</t>
  </si>
  <si>
    <t>10.1049/ip-f-2.1993.0042</t>
  </si>
  <si>
    <t>2-s2.0-0027677322</t>
  </si>
  <si>
    <t>['wiley company', 'small aperture', 'optimization techniques', 'numerically efficient', 'inc .,', 'experimental results', 'cavity model', 'article describes', 'analysis takes', 'analysis results', 'analysis program']</t>
  </si>
  <si>
    <t>This article describes a method for analysis and design of rectangular microstrip antennas coupled to a microstrip feed line in a two‚Äêlayer configuration using either a probe or a small aperture. The technique is based on the cavity model and, thus is numerically efficient, making it suitable for computer‚Äêaided design. The analysis takes into account higher order modes excited underneath the patch. Analysis results were implemented in two computer programs: an analysis program and a design program based on optimization techniques. Experimental results are presented to validate this method. ¬© 1993 John Wiley &amp; Sons, Inc. Copyright ¬© 1993 Wiley Periodicals, Inc., A Wiley Company</t>
  </si>
  <si>
    <t>378-385</t>
  </si>
  <si>
    <t>Computer‚Äêaided design of probe‚Äêfed and aperture‚Äêcoupled rectangular microstrip antennas</t>
  </si>
  <si>
    <t>10.1002/mmce.4570030409</t>
  </si>
  <si>
    <t>2-s2.0-0027677608</t>
  </si>
  <si>
    <t>['wiley company', 'weaved together', 'reflector antennas', 'reflection coefficients', 'reflection coefficient', 'rectangular grids', 'mesh structures', 'mesh geometry', 'many applications', 'inc .,', 'different angles', 'current densities', 'conducting material', 'complex structure', 'calculated values']</t>
  </si>
  <si>
    <t>depolarization | gratings | Grids | scattering</t>
  </si>
  <si>
    <t>In many applications for reflector antennas, the reflector is made from flexible, conducting material. The wires are weaved together, forming a very complex structure to study. So far, these mesh structures have been approximated by rectangular grids. In this study, the mesh geometry is approximated by a skew‚Äêsymmetric grid. The FFT‚Äêconjugate gradient method (FFT‚ÄêCGM) is employed to solve the problem of scattering from such grids. A convenient unit cell is chosen and utilized to study the effects of skewness on the reflection coefficients and current densities. Calculated values of the reflection coefficient for different angles of incidence for both the bonded and unbonded skewed gratings are presented and discussed. ¬© 1993 John Wiley &amp; Sons, Inc. Copyright ¬© 1993 Wiley Periodicals, Inc., A Wiley Company</t>
  </si>
  <si>
    <t>777-782</t>
  </si>
  <si>
    <t>Christodoulou, C. G.</t>
  </si>
  <si>
    <t>Christodoulou C.</t>
  </si>
  <si>
    <t>Electromagnetic scattering from skew‚Äêsymmetric metallic grids</t>
  </si>
  <si>
    <t>10.1002/mop.4650061316</t>
  </si>
  <si>
    <t>2-s2.0-0027677618</t>
  </si>
  <si>
    <t>NAG-1-1183</t>
  </si>
  <si>
    <t>['wide angles', 'waveguide method', 'three electrically', 'solved numerically', 'radiating aperture', 'pyramidal horns', 'outer surfaces', 'numerically stable', 'large x', 'interior surfaces', 'horn transition', 'free space', 'field patterns', 'computed far', 'comparisons demonstrate', 'band horns', 'back region', 'aperture fields', 'analyzed rigorously', 'accurate enough']</t>
  </si>
  <si>
    <t>A hybrid numerical technique is developed for electrically large pyramidal horn antennas radiating in free space. A stepped-waveguide method is used to analyze the interior surfaces of the horn transition. The electric field integral equation (EFIE) is employed on the outer surfaces of the pyramidal horn including the radiating aperture. Meanwhile, the magnetic field integral equation (MFIE) is used on the aperture to relate the aperture fields and those in the horn transition. The resultant hybrid field integral equation (HFIE) is solved numerically by the method of moments. This formulation is both accurate and numerically stable so that high-gain microwave pyramidal horns can be analyzed rigorously. Far-field radiation patterns, both computed and measured, are presented for three electrically-large X-band horn antennas. The comparisons demonstrate that this method is accurate enough to predict the fine pattern structure at wide angles and in the back region. Computed far-field patterns and aperture field distributions of two smaller X-band horns are also presented along with a discussion on the validity of the approximate aperture field distributions routinely used in the analysis and design of pyramidal horns. ¬© 1993 IEEE</t>
  </si>
  <si>
    <t>1379-1389</t>
  </si>
  <si>
    <t>55729544000;35583458100;57208464375;7103023636</t>
  </si>
  <si>
    <t>Liu, Kefeng;Balanis, Constantine A.;Birtcher, Craig R.;Barber, George C.</t>
  </si>
  <si>
    <t>Liu K.</t>
  </si>
  <si>
    <t>Analysis of Pyramidal Horn Antennas Using Moment Methods</t>
  </si>
  <si>
    <t>10.1109/8.247778</t>
  </si>
  <si>
    <t>2-s2.0-0027677661</t>
  </si>
  <si>
    <t>['wiley company', 'realized versions', 'radiating elements', 'multifrequency arrays', 'inc .,', 'frequency response']</t>
  </si>
  <si>
    <t>antenna array | beam‚Äêforming network | High‚Äêtemperature superconductors | microstrip antennas</t>
  </si>
  <si>
    <t>Applications of HTS to radiating elements and beam‚Äêforming networks of multibeam and/or multifrequency arrays are discussed. This includes radiating elements which meet special requirements with respect to size and frequency response. Realized versions of both a three‚Äêport HTS array and a April √ó 4 Butler matrix are presented. ¬© 1993 John Wiley &amp; Sons, Inc. Copyright ¬© 1993 Wiley Periodicals, Inc., A Wiley Company</t>
  </si>
  <si>
    <t>737-744</t>
  </si>
  <si>
    <t>Chaloupka, H.</t>
  </si>
  <si>
    <t>Wuppertal</t>
  </si>
  <si>
    <t>Bergische Universit√§t Wuppertal</t>
  </si>
  <si>
    <t>Chaloupka H.</t>
  </si>
  <si>
    <t>Superconducting multiport antenna arrays (invited paper)</t>
  </si>
  <si>
    <t>10.1002/mop.4650061306</t>
  </si>
  <si>
    <t>2-s2.0-0027677770</t>
  </si>
  <si>
    <t>['¬© 1993', 'zigzag antenna', 'rights reserved', 'primary feed', 'filament length', 'electrical engineers', 'analysed using', '75 ghz']</t>
  </si>
  <si>
    <t>Antenna theory | Method of moments</t>
  </si>
  <si>
    <t>A backfire mode zigzag antenna is analysed using the method of moments. The effects of the filament length of the zigzag on the -10dB beam width is calculated. The zigzag antenna is applied to a symmetrical paraboloidal reflector antenna as a primary feed. The reflector antenna shows a relatively constant gain in the communication satellite frequency band 12.25 - 2.75 GHz. ¬© 1993, The Institution of Electrical Engineers. All rights reserved.</t>
  </si>
  <si>
    <t>1905-1906</t>
  </si>
  <si>
    <t>60030526;60030526;60030526;60030526</t>
  </si>
  <si>
    <t>55633340100;7202276393;7003298527;57220533028</t>
  </si>
  <si>
    <t>Nakano, H.;Yokota, S.;Mimaki, H.;Yamauchi, J.</t>
  </si>
  <si>
    <t>Hosei University</t>
  </si>
  <si>
    <t>Nakano H.</t>
  </si>
  <si>
    <t>Backfire mode zigzag antenna</t>
  </si>
  <si>
    <t>10.1049/el:19931267</t>
  </si>
  <si>
    <t>2-s2.0-0027678081</t>
  </si>
  <si>
    <t>Coordena√ß√£o de Aperfei√ßoamento de Pessoal de N√≠vel Superior</t>
  </si>
  <si>
    <t>CAPES</t>
  </si>
  <si>
    <t>['transverse directions', 'tm polarizations', 'single cell', 'results showing', 'propagation constant', 'propagation characteristics', 'propagating fields', 'previous analysis', 'periodic structure', 'layers thickness', 'electric permittivity']</t>
  </si>
  <si>
    <t>The propagation characteristics in multilayer dielectric periodic structures, that extends a previous analysis by introducing additional dielectric layers, is presented. It is applied to propagating electromagnetic modes along the longitudinal and transverse directions of the structure‚Äôs periodicity. The use of Floquet‚Äôs theorem reduces the analysis to a single cell of the propagating fields for both, TE and TM polarizations. Results showing the effect of varying the layers thickness and electric permittivity on the propagation constant and on the field distributions within each cell are presented as well as the band structure associated with the periodic structure. ¬© 1993 IEEE</t>
  </si>
  <si>
    <t>1432-1438</t>
  </si>
  <si>
    <t>60029570;60029570;60029570</t>
  </si>
  <si>
    <t>57211309921;7005119344;7004822283</t>
  </si>
  <si>
    <t>Cris√≥stomo, Jo√£o;Costa, Weyl Albuquerque;Giarola, Att√≠lio Jos√©</t>
  </si>
  <si>
    <t>Campinas</t>
  </si>
  <si>
    <t>Universidade Estadual de Campinas</t>
  </si>
  <si>
    <t>Cris√≥stomo J.</t>
  </si>
  <si>
    <t>Electromagnetic Wave Propagation in Multilayer Dielectric Periodic Structures</t>
  </si>
  <si>
    <t>10.1109/8.247784</t>
  </si>
  <si>
    <t>2-s2.0-0027678487</t>
  </si>
  <si>
    <t>Comisi√≥n Interministerial de Ciencia y Tecnolog√≠a</t>
  </si>
  <si>
    <t>TIC92-0663</t>
  </si>
  <si>
    <t>CICYT</t>
  </si>
  <si>
    <t>['study presented', 'sphere targets', 'pulse technique', 'pulse durations', 'pulse duration', 'optimum duration', 'forced e', 'discrimination technique', 'discrimination capacity']</t>
  </si>
  <si>
    <t>The study presented is on the influence of forced-E-pulse duration in the discrimination capacity of the E-pulse technique, applied to sphere targets. This analysis allows three ranges of E-pulse durations to be considered and the obtaining of an optimum duration of the forced E-pulse. The results obtained allow the discrimination technique to be extended in order to determine if the radius of an ‚Äúunknown‚Äù sphere is longer or shorter than the radius of the ‚Äúexpected‚Äù one. ¬© 1993 IEEE</t>
  </si>
  <si>
    <t>1460-1462</t>
  </si>
  <si>
    <t>60014655;60014655;60014655;60014655</t>
  </si>
  <si>
    <t>7005657831;7003575794;7007004785;56405468900</t>
  </si>
  <si>
    <t>Gallego, Antolino;Carri√≥n, Maria C.;Ruiz, Diego P.;Medouri, Abdellatif</t>
  </si>
  <si>
    <t>Granada</t>
  </si>
  <si>
    <t>Universidad de Granada, Facultad de Ciencias</t>
  </si>
  <si>
    <t>Gallego A.</t>
  </si>
  <si>
    <t>Extended E-Pulse Technique for Discrimination of Conducting Spheres</t>
  </si>
  <si>
    <t>10.1109/8.247788</t>
  </si>
  <si>
    <t>2-s2.0-0027678539</t>
  </si>
  <si>
    <t>['wiley company', 'transmission characteristics', 'transmission capacity', 'technical difficulty', 'study aims', 'sound signal', 'practical applications', 'portable radio', 'new service', 'multiplex signal', 'multiple paths', 'moving objects', 'mobile reception', 'inc .,', 'fm multiplexing', 'empty spectrum', 'digital transmission', 'digital signals', 'constructed first', 'certain amount', 'broadcasting configurations', 'bit rate', 'baseband signal', '1 kbit']</t>
  </si>
  <si>
    <t>FM multiplex broadcasting, digital modulation scheme, L‚ÄêMSK, traffic information | Mobile reception</t>
  </si>
  <si>
    <t>The FM multiplex broadcasting is one of the broadcasting configurations for providing a new service, where digital signals are multiplexed by utilizing the empty spectrum of the baseband signal in the FM stereo broadcasting. The fixed reception FM multiplex broadcasting system, where reception is done by setting up an antenna has already been developed and used in practice, and its broadcasting has been started. On the other hand, it would be desirable to develop a mobile reception FM multiplex broadcasting system with a certain amount of transmission capacity, where the broadcast can be received by a car or portable radio, for an application to the traffic information transmission. As to the digital transmission to moving objects, interferences such as fading and multiple paths are known to be present and the technical difficulty is increased with the increase of the bit rate. Furthermore, there are difficulties in the FM multiplex broadcasting such as the cross‚Äêtalk from the sound signal, due to the nature of the multiplex signal. Only a very low bit‚Äêrate system of about 1 kbit/s has been developed such as RDS (Radio Data System) [1] in Europe for practical applications to the mobile reception. This study aims at the development of a mobile reception FM multiplex broadcasting system with a higher bit rate. An FM multiplex transmission simulator is constructed first, and the transmission characteristics inherent to the FM multiplexing are analyzed. A digital modulation method suited to these transmission characteristics is presented. By laboratory and field transmission tests, the effectiveness of the proposed digital modulation scheme is demonstrated. Copyright ¬© 1993 Wiley Periodicals, Inc., A Wiley Company</t>
  </si>
  <si>
    <t>68-79</t>
  </si>
  <si>
    <t>60103907;60103907;60103907;60103907</t>
  </si>
  <si>
    <t>7402298060;57206649146;7402485149;57191017376</t>
  </si>
  <si>
    <t>Kuroda, Toru;Saito, Tomohiro;Takada, Masayuki;Yamadas, Osamu</t>
  </si>
  <si>
    <t>Nippon Hoso Kyokai</t>
  </si>
  <si>
    <t>Kuroda T.</t>
  </si>
  <si>
    <t>Digital modulation scheme for FM multiplex broadcasting with mobile reception</t>
  </si>
  <si>
    <t>10.1002/ecja.4410761007</t>
  </si>
  <si>
    <t>2-s2.0-0027678710</t>
  </si>
  <si>
    <t>['take advantage', 'square array', 'several features', 'resonant cavity', 'reducing loss', 'reduced cost', 'power combining', 'modular form', 'inverted substrate', 'hermetic sealing', 'heat sink', 'ground plane', 'greater stability', 'fixture serves', 'easy replaceability', 'combining efficiency', 'circuit substrate', 'beam steering', 'air within', 'active antenna']</t>
  </si>
  <si>
    <t>A new active antenna configuration is proposed for spatial power combining applications. The active patch antenna uses an inverted stripline topology to take advantage of several features. These features include avoiding drilling through the circuit substrate to insert the diode and the use of air within the resonant cavity for reducing loss. The inverted substrate can serves as a radome for hermetic sealing. The active antenna and housing can be fabricated in modular form for reduced cost and easy replaceability of devices. The active inverted stripline patch antenna exhibits a much cleaner spectrum and greater stability than previously reported active antennas. The fixture serves as a ground plane, heat sink, and support in an active planar array or as a mirror in a quasi-optical power combining resonator. A single active antenna operating at 9.23 GHz exhibited a 16 MHz locking bandwidth at 30 dB locking gain. Power combining efficiencies of over 89% have been demonstrated for a four element square array. The square array maintained injection-locking and power combining over a 60 MHz bias tuned bandwidth. Similarly, a four element diamond array showed over 86% combining efficiency and 50 MHz bias tuned bandwidth. Beam Steering was demonstrated by varying bias voltage to the individual antenna elements of the square array. ¬© 1993 IEEE</t>
  </si>
  <si>
    <t>1856-1863</t>
  </si>
  <si>
    <t>7402580085;7402512895;7404879378</t>
  </si>
  <si>
    <t>Navarro, Julio A.;Fan, Lu;Chang, Kai</t>
  </si>
  <si>
    <t>Navarro J.</t>
  </si>
  <si>
    <t>Active Inverted Stripline Circular Patch Antennas for Spatial Power Combining</t>
  </si>
  <si>
    <t>10.1109/22.247933</t>
  </si>
  <si>
    <t>2-s2.0-0027678835</t>
  </si>
  <si>
    <t>['‚ àí2', 'wiley company', 'transmission quality', 'small transceiver', 'rectangular shape', 'portable telephones', 'mutual coupling', 'mobile communications', 'mismatch loss', 'metal body', 'load impedance', 'inc .,', 'efficiency including', 'efficiency characteristics', 'effective means', 'diversity technology', 'diversity antennas', 'diversity antenna', 'detailed analysis', 'correlation coefficient', 'clarified quantitatively', 'chosen appropriately', 'antenna elements', '1 wavelength']</t>
  </si>
  <si>
    <t>correlation coefficient | Diversity | moment method | portable telephone | small antenna</t>
  </si>
  <si>
    <t>Diversity technology is an effective means to improve the transmission quality in mobile communications. Hence, some portable telephones are equipped with diversity antennas. However no detailed analysis has been carried out. The reason for the low correlation coefficient of such antennas in experiments has not been clarified quantitatively. In this paper, the diversity antenna is assumed to be made of two half‚Äêwave dipole antennas placed in parallel on a small transceiver with a rectangular shape, and its correlation coefficient and efficiency characteristics are analyzed by the method of moments using wire grid models. It is found that the correlation coefficient of 0.23 and the efficiency including the mismatch loss is ‚àí2.7 dB even for an antenna element spacing of 0.1 wavelength. Thus a sufficient diversity effect can be obtained on a small transceiver. Specifically, the reason for the low correlation coefficient is studied by separating the mutual coupling between the antenna elements and the effect of the metal body. The relationship between the incoming wave profile and the correlation coefficient is presented. It is shown that the correlation coefficient never exceeds 0.6 in an ordinary operating condition and that the correlation coefficient can be made almost 0 if the load impedance of the parasitic antenna element is chosen appropriately. Copyright ¬© 1993 Wiley Periodicals, Inc., A Wiley Company</t>
  </si>
  <si>
    <t>80-90</t>
  </si>
  <si>
    <t>55585630900;57191019501</t>
  </si>
  <si>
    <t>Tsunekawa, Koichi;Kagoshimas, Kenichi</t>
  </si>
  <si>
    <t>Tsunekawa K.</t>
  </si>
  <si>
    <t>Diversity performance analysis of two parallel dipole antennas mounted on a small metal body</t>
  </si>
  <si>
    <t>10.1002/ecja.4410761008</t>
  </si>
  <si>
    <t>2-s2.0-0027678862</t>
  </si>
  <si>
    <t>['wiley company', 'urban area', 'structural model', 'regression coefficients', 'propagation structure', 'propagation loss', 'propagation data', 'parameters obtained', 'obtained based', 'multivariable analysis', 'inc .,', 'high correlation', 'distance characteristics']</t>
  </si>
  <si>
    <t>mobile communication | multivariable analysis | propagation model | Radio propagation</t>
  </si>
  <si>
    <t>To understand the propagation structure of the microcells with a tall and medium‚Äêheight antenna in an urban area, the fundamental propagation parameters are found and the structural model of the propagation loss was constructed. The fundamental propagation parameters were obtained based on the multivariable analysis of the propagation data at 800 MHz measured in the Tokyo Metropolitan area. These parameters are the distance between the transmitter and receiver, the average building height between the transmitter and receiver, and the base‚Äêstation height which have high correlation and regression coefficients with the propagation loss. The relationship of parameters obtained from the model is (20 ‚Äê Œ±) log(h) for the base‚Äêstation height characteristics and (Œ± ‚Äê 20) log (H) for the building height characteristics if the distance characteristics are Œ± log (d). The relationships of coefficients of the conventional estimation equation and the regression equation obtained by the measured data almost agreed with those of the model so that the validity of the model was confirmed. Copyright ¬© 1993 Wiley Periodicals, Inc., A Wiley Company</t>
  </si>
  <si>
    <t>91-104</t>
  </si>
  <si>
    <t>35586565700;57191017893</t>
  </si>
  <si>
    <t>Ichitsubo, Shinich;Kimuras, Masahiro</t>
  </si>
  <si>
    <t>Ichitsubo S.</t>
  </si>
  <si>
    <t>A propagation model for mobile radio propagation loss in an urban area at 800 MHz</t>
  </si>
  <si>
    <t>10.1002/ecja.4410761009</t>
  </si>
  <si>
    <t>2-s2.0-0027678863</t>
  </si>
  <si>
    <t>['¬© 1993', 'truncated array', 'scattering surface', 'scattering environment', 'rights reserved', 'pitched strips', 'electrical engineers']</t>
  </si>
  <si>
    <t>Electromagnetic wave scattering | Remote sensing by radar</t>
  </si>
  <si>
    <t>Windowed transforms applied to scattering data gathered along an elevated track parallel to a scattering surface are shown to provide local plane wave spectra which can be backpropagated to synthesise distinct features of the scattering environment. The method is illustrated for plane wave scattering from a truncated array of pitched strips. ¬© 1993, The Institution of Electrical Engineers. All rights reserved.</t>
  </si>
  <si>
    <t>1930-1932</t>
  </si>
  <si>
    <t>56883021600;7004561693</t>
  </si>
  <si>
    <t>Felsen, L. B.;Carin, L.</t>
  </si>
  <si>
    <t>Felsen L.B.</t>
  </si>
  <si>
    <t>Wave-orientated processing of scattering data</t>
  </si>
  <si>
    <t>10.1049/el:19931285</t>
  </si>
  <si>
    <t>2-s2.0-0027678916</t>
  </si>
  <si>
    <t>['¬© 1993', 'two slots', 'two ports', 'rights reserved', 'high isolation', 'electrical engineers', 'dual frequency']</t>
  </si>
  <si>
    <t>A new dual slot-coupled circular microstrip antenna for dual frequency or dual polarisation operation is proposed. By optimising the placement of the two slots, high isolation between two ports is achieved. Experimentally, an isolation of more than 35dB is obtained at L-band. ¬© 1993, The Institution of Electrical Engineers. All rights reserved.</t>
  </si>
  <si>
    <t>1906-1907</t>
  </si>
  <si>
    <t>60001271;60001271;60001271;60001271</t>
  </si>
  <si>
    <t>36985128100;7006680804;7004961264;35595788800</t>
  </si>
  <si>
    <t>Murakami, Y.;Chujo, W.;Chiba, I.;Fujise, M.</t>
  </si>
  <si>
    <t>Advanced Telecommunications Research Institute International (ATR)</t>
  </si>
  <si>
    <t>Murakami Y.</t>
  </si>
  <si>
    <t>Dual slot-coupled microstrip antenna for dual frequency operation</t>
  </si>
  <si>
    <t>10.1049/el:19931268</t>
  </si>
  <si>
    <t>2-s2.0-0027679016</t>
  </si>
  <si>
    <t>7898/88/NL/PB</t>
  </si>
  <si>
    <t>['theoretical model', 'polarized peaks', 'polarized peak', 'plane patterns', 'plane ).', 'bltsa type', 'antenna patterns', '802 ghz', '8 db']</t>
  </si>
  <si>
    <t>Tapered endfire slotline antennas, of the BLTSA type, have been fabricated on 1.7 Œºm thin SiO2/Si3N4 dielectric membranes. Antenna patterns of the E-, H-, and D-planes have been measured at 802 GHz. The -10 dB beaniwidths were found to be approximately 40¬∞ in all planes, with side lobe levels below -11 dB (-19 dB in the E-plane). The cross-polarized peaks in the D-plane are 8 dB below the co-polarized peak. A theoretical model for calculating the E- and H-plane patterns of tapered slotline antenna has been extended to include the co- and cross-polarized D-planes. Measured and calculated patterns show good agreement. ¬© 1993 IEEE</t>
  </si>
  <si>
    <t>1715-1719</t>
  </si>
  <si>
    <t>60000990;60000990;60000990;60000990;60000990;60025778;60025778</t>
  </si>
  <si>
    <t>7006412694;57198357260;57169884400;7005304586;35617942000;7004646209;7006384021</t>
  </si>
  <si>
    <t>Acharya, Pranay R.;Ekstr√∂m, Hans;Jacobsson, Stellan;Kollberg, Erik L.;Johansson, Joakim F.;Gearhart, Steven S.;Rebeiz, Gabriel M.</t>
  </si>
  <si>
    <t>Ann Arbor;Gothenburg</t>
  </si>
  <si>
    <t>University of Michigan, Ann Arbor;Chalmers University of Technology</t>
  </si>
  <si>
    <t>60025778;60000990</t>
  </si>
  <si>
    <t>Acharya P.</t>
  </si>
  <si>
    <t>Tapered Slotline Antennas at 802 GHz</t>
  </si>
  <si>
    <t>10.1109/22.247916</t>
  </si>
  <si>
    <t>2-s2.0-0027679065</t>
  </si>
  <si>
    <t>['wide range', 'tracing inside', 'therefore result', 'theoretical results', 'slot antenna', 'single units', 'silicon lenses', 'radiation patterns', 'peak directivity', 'high gaussian', 'hemispherical lenses', 'field patterns', 'extension lengths', 'extension length', 'different frequencies', 'different diameters', 'dielectric lens', 'coupling efficiencies', 'corresponding gaussian', 'cap layer', '60 %)', '4 matching', '246 ghz']</t>
  </si>
  <si>
    <t>In this paper, the far-field patterns and Gaussian-beam coupling efficiencies are investigated for a double-slot antenna placed on hemispherical lenses with varying extension lengths. The radiation patterns of a double-slot antenna on a silicon dielectric lens are computed using ray-tracing inside the dielectric lens and electric and magnetic field integration on the spherical dielectric surface. The measured radiation patterns at 246 GHz and Gaussian-beam coupling efficiencies show good agreement with theory. The theoretical results are presented in extension length/radius and radius/A and therefore result in universal design curves for silicon lenses of different diameters and at different frequencies. The theoretical and experimental results indicate that for single units, there exists a wide range of extension lengths (ext. length/radius = 0.32 to 0.35) which result in high Gaussian-coupling efficiencies (50-60%) to moderately high f#'s. These Gaussian-coupling efficiencies can be increased to 80-90% with the use of a Œõm/4 matching-cap layer. For imaging array applications with high packing densities, an extension length/radius = 0.38 to 0.39 (depending on frequency) will result in peak directivity and a corresponding Gaussian-coupling efficiency 15-20% lower than for single units. ¬© 1993 IEEE</t>
  </si>
  <si>
    <t>1738-1749</t>
  </si>
  <si>
    <t>7007076782;7004646209;7006384021</t>
  </si>
  <si>
    <t>Filipovic, Daniel F.;Gearhart, Steven S.;Rebeiz, Gabriel M.</t>
  </si>
  <si>
    <t>Filipovic D.</t>
  </si>
  <si>
    <t>Double-Slot Antennas on Extended Hemispherical and Elliptical Silicon Dielectric Lenses</t>
  </si>
  <si>
    <t>10.1109/22.247919</t>
  </si>
  <si>
    <t>2-s2.0-0027679109</t>
  </si>
  <si>
    <t>Academy of Finland</t>
  </si>
  <si>
    <t>['obtained easily', 'nontrivial solutions', 'magnetic sources', 'magnetic field', 'ground medium', 'form solution', 'elementary functions', 'electromagnetic fields', 'electric sources', 'e .,', 'duality transform', 'arbitrary permittivity', 'analog results']</t>
  </si>
  <si>
    <t>The present paper deals with the transient fields transmitted through the interface between the air and ground. Excitation for the electromagnetic fields is produced by a vertically or horizontally oriented impulsive dipole, which may be electric or magnetic. However, in this paper only electric sources are discussed, because the analog results for magnetic sources are obtained easily through the duality transform. The ground medium has arbitrary permittivity and permeability, but it is restricted to be lossless, i.e., the conductivity is assumed to be zero. In this study simple integral expressions are derived for the time-dependent Hertz vector in the ground from which the propagating transient fields can be obtained through differentiation. In certain specific cases some components of electric or magnetic field have a closed-form solution in terms of elementary functions. All the nontrivial solutions of this type in the ground medium are given in this publication. ¬© 1993 IEEE</t>
  </si>
  <si>
    <t>1399-1407</t>
  </si>
  <si>
    <t>Nikoskinen, Keijo I.</t>
  </si>
  <si>
    <t>Nikoskinen K.</t>
  </si>
  <si>
    <t>Time-Domain Study of Half-Space Transmission Problem with Vertical and Horizontal Dipoles</t>
  </si>
  <si>
    <t>10.1109/8.247780</t>
  </si>
  <si>
    <t>2-s2.0-0027680167</t>
  </si>
  <si>
    <t>['series solution', 'reflection coefficient', 'radiation field', 'plate waveguide', 'numerical computation', 'mode radiation', 'fourier transform', 'flanged parallel', 'fast convergent']</t>
  </si>
  <si>
    <t>TM-mode radiation from a flanged parallel-plate waveguide is reexamined. The Fourier transform is used to represent the radiation field and the reflection coefficient in simple series forms. Computations are performed to illustrate the behaviors of the angular radiation pattern and the reflection coefficient. The series solution is fast convergent so that it is very efficient for numerical computation. ¬© 1993 IEEE</t>
  </si>
  <si>
    <t>1469-1471</t>
  </si>
  <si>
    <t>60032144;60032144;60032144</t>
  </si>
  <si>
    <t>57203626060;55112893800;36347623100</t>
  </si>
  <si>
    <t>Kim, Chul H.;Eom, Hyo J.;Park, Tah J.</t>
  </si>
  <si>
    <t>Kim C.</t>
  </si>
  <si>
    <t>A Series Solution for TM-Mode Radiation from a Flanged Parallel-Plate Waveguide</t>
  </si>
  <si>
    <t>10.1109/8.247791</t>
  </si>
  <si>
    <t>2-s2.0-0027680168</t>
  </si>
  <si>
    <t>Sinclair, George</t>
  </si>
  <si>
    <t>Aurora</t>
  </si>
  <si>
    <t>Sinclair Radio Lab Ltd</t>
  </si>
  <si>
    <t>Sinclair G.</t>
  </si>
  <si>
    <t>Putting the Human Being Back Into Engineering</t>
  </si>
  <si>
    <t>10.1109/74.242175</t>
  </si>
  <si>
    <t>2-s2.0-0027680312</t>
  </si>
  <si>
    <t>AST91-15721</t>
  </si>
  <si>
    <t>['wide range', 'wavelength optics', 'study small', 'scale structure', 'recent progress', 'radiometric camera', 'passive modes', 'imaging receivers', 'focus system']</t>
  </si>
  <si>
    <t>We discuss critical aspects of imaging system design and describe several different imaging systems employing focal plane array receivers operating in the 3mm-2mm wavelength range. Recent progress in millimeter-wavelength optics, antennas, receivers and other components permits greatly enhanced system performance in a wide range of applications. We discuss a radiometric camera for all-weather autonomous aircraft landing capability and a high sensitivity cryogenically cooled array for use in radio astronomical spectroscopy. A near-focus system for identification of plastic materials concealed underneath clothing employs a two element lens, and has been demonstrated in active (transmitting) and passive (radiometric) modes. A dual mode imaging system for plasma diagnostics utilizes both active and passive modes at its 140 GHz operating frequency to study small-scale structure. The radiometric imaging systems employ between 15 and 256 Schottky barrier diode mixers while the imaging receivers for the active systems include 64 element video detector arrays. ¬© 1993 IEEE</t>
  </si>
  <si>
    <t>1664-1675</t>
  </si>
  <si>
    <t>60019493;;;;</t>
  </si>
  <si>
    <t>7102734848;7401723804;6603103300;6506375727;7402301315</t>
  </si>
  <si>
    <t>Goldsmith, P. F.;Hsieh, C. T.;Huguenin, G. R.;Kapitzky, J.;Moore, E. L.</t>
  </si>
  <si>
    <t>National Astronomy and Ionosphere Center, New York</t>
  </si>
  <si>
    <t>Goldsmith P.</t>
  </si>
  <si>
    <t>Focal Plane Imaging Systems for Millimeter Wavelengths</t>
  </si>
  <si>
    <t>10.1109/22.247910</t>
  </si>
  <si>
    <t>2-s2.0-0027680322</t>
  </si>
  <si>
    <t>['tuning ranges', 'several configurations', 'paper describes', 'optical circuits', 'important characteristics', 'fundamental data', 'experimental results', 'element two', 'dimensional quasi', 'design concept', 'antenna patterns', '8 ghz', '6 ghz', '4 ghz', '3 ghz', '0 ghz']</t>
  </si>
  <si>
    <t>This paper describes the design concept and the experimental results of prototypes of two-dimensional quasi-optical power combining arrays. Several different quasi-optical circuits were made to obtain the fundamental data for this study. How to incorporate the antenna input impedance into the active antenna circuit and how to analyze the strong coupling condition with two operation modes are addressed by using a large signal analysis. Several configurations of the circuits are demonstrated, such as a single active antenna operating at 9.3 GHZ and 24.0 GHZ, a 6-element linear power combining array operating at 15.6 GHZ and 4-element and 16-element two-dimensional power combining arrays operating at 10.4 GHz and 7.8 GHz. Important characteristics such as antenna patterns and tuning ranges are discussed. Finally, the prospects for a two-dimensional monolithic quasi-optical power combining array are discussed. ¬© 1993 IEEE</t>
  </si>
  <si>
    <t>1838-1844</t>
  </si>
  <si>
    <t>Quasi-Optical Planar Arrays with FET's and Slots</t>
  </si>
  <si>
    <t>10.1109/22.247930</t>
  </si>
  <si>
    <t>2-s2.0-0027680323</t>
  </si>
  <si>
    <t>1237-1243</t>
  </si>
  <si>
    <t>60025949-60022990</t>
  </si>
  <si>
    <t>D'Souza, K.</t>
  </si>
  <si>
    <t>Canada;Japan</t>
  </si>
  <si>
    <t>Thunder Bay;Chofu</t>
  </si>
  <si>
    <t>Lakehead University;Japan Aerospace Exploration Agency</t>
  </si>
  <si>
    <t>60025949;60022990</t>
  </si>
  <si>
    <t>D'Souza K.</t>
  </si>
  <si>
    <t>Further Results on LMSS Experiment in Kyoto City</t>
  </si>
  <si>
    <t>10.1109/7.259527</t>
  </si>
  <si>
    <t>2-s2.0-0027680569</t>
  </si>
  <si>
    <t>['resonant frequency', 'good agreement', 'francis ltd']</t>
  </si>
  <si>
    <t>A new fringing field extension expression is presented for the resonant frequency of electrically thick rectangular microstrip antennas. The theoretical resonant frequency results obtained by using this new fringing field extension expression are in very good agreement with the experimental results available in the literature. ¬© 1993 Taylor &amp; Francis Ltd.</t>
  </si>
  <si>
    <t>767-770</t>
  </si>
  <si>
    <t>G√ºney, Kerim</t>
  </si>
  <si>
    <t>A new edge extension expression for the resonant frequency of electrically thick rectangular microstrip antennas</t>
  </si>
  <si>
    <t>10.1080/00207219308907154</t>
  </si>
  <si>
    <t>2-s2.0-0027680711</t>
  </si>
  <si>
    <t>NSC 82-0404-E-022-237</t>
  </si>
  <si>
    <t>['suitable lumped', 'propagation problem', 'plane wave', 'gaussian pulse', 'field equations', 'etlc model', 'epoxy laminates', 'electromagnetic pulse', 'circuit models', 'anisotropic graphite']</t>
  </si>
  <si>
    <t>An equivalent-transmission-line-circuit (ETLC) model is developed to discuss the transient propagation problem of a plane wave in inhomogeneous, anisotropic, and transversely lossy slabs. This model is based on the analogy between the field equations and the coupled transmission line equations. By establishing the analogy, suitable lumped-circuit models are proposed to treat the equivalent transmission lines, which may then be solved by the circuit simulation program. In this study, the accuracy and convergence of the lumped-circuit models are examined. The ETLC model is then applied to discuss the propagation problem in anisotropic graphite / epoxy laminates with numerical results presented to show the transient responses due to the electromagnetic pulse and Gaussian pulse. ¬© 1993 IEEE</t>
  </si>
  <si>
    <t>1456-1459</t>
  </si>
  <si>
    <t>7404817756;7402943497;8434560800</t>
  </si>
  <si>
    <t>Lin, Ming Shing;Wu, Ruey Beei;Chen, Chun Hsiung</t>
  </si>
  <si>
    <t>Lin M.</t>
  </si>
  <si>
    <t>Time-Domain Analysis of Propagation in Inhomogeneous Anisotropic Lossy Slabs</t>
  </si>
  <si>
    <t>10.1109/8.247787</t>
  </si>
  <si>
    <t>2-s2.0-0027680727</t>
  </si>
  <si>
    <t>['wiley company', 'straightforward derivation', 'inc .,', 'arbitrarily shaped']</t>
  </si>
  <si>
    <t>A straightforward derivation is presented of three distinct mixed‚Äêpotential integral equations (MPIEs) that are well‚Äêsuited for the analysis of arbitrarily shaped, planar or nonplanar microstrip structures in multilayered, planar, uniaxially anisotropic media of infinite lateral extent. ¬© 1993 John Wiley &amp; Sons, Inc. Copyright ¬© 1993 Wiley Periodicals, Inc., A Wiley Company</t>
  </si>
  <si>
    <t>420-431</t>
  </si>
  <si>
    <t>Michalski, Krzysztof A.</t>
  </si>
  <si>
    <t>Michalski K.</t>
  </si>
  <si>
    <t>Mixed‚Äêpotential integral equation (MPIE) formulation for nonplanar microstrip structures of arbitrary shape in multilayered uniaxial media (invited article)</t>
  </si>
  <si>
    <t>10.1002/mmce.4570030414</t>
  </si>
  <si>
    <t>2-s2.0-0027680814</t>
  </si>
  <si>
    <t>['wiley company', 'two systems', 'scan properties', 'multibeam antenna', 'inc .,', 'gain patterns', 'future applications', 'discuss similarities']</t>
  </si>
  <si>
    <t>defocused radiation patterns | Fresnel‚Äêzone plate antenna | parabolic reflector antenna | scan performance</t>
  </si>
  <si>
    <t>Using Kirchhoffs diffraction theory, scalar field analyses of two off‚Äêaxis focused antenna systems, the Fresnel‚Äêzone plate antenna (FZPA) and parabolic reflector antenna, are presented. Expressions which describe the gain patterns of both antennas are derived and used to examine the scan properties of the two systems and to reveal and discuss similarities and differences between them. The results of the analysis give good insight into future applications of the FZPA as a multibeam antenna. ¬© 1993 John Wiley &amp; Sons, Inc. Copyright ¬© 1993 Wiley Periodicals, Inc., A Wiley Company</t>
  </si>
  <si>
    <t>769-774</t>
  </si>
  <si>
    <t>60032882;60032882;60032882</t>
  </si>
  <si>
    <t>6602279536;6505643933;7003821814</t>
  </si>
  <si>
    <t>Baggen, L. C.J.;Jeronimus, C. J.J.;Herben, M. H.A.J.</t>
  </si>
  <si>
    <t>Baggen L.C.J.</t>
  </si>
  <si>
    <t>The scan performance of the fresnel‚Äêzone plate antenna: A comparison with the parabolic reflector antenna</t>
  </si>
  <si>
    <t>10.1002/mop.4650061314</t>
  </si>
  <si>
    <t>2-s2.0-0027680826</t>
  </si>
  <si>
    <t>['thus allowing', 'technological solutions', 'research project', 'esa ).', 'devices tend', 'detailed simulations', 'communication satellites', 'antenna reflectors', 'antenna gain', 'adequate compromise']</t>
  </si>
  <si>
    <t>The evaluation of solar pressure effects over the antenna reflectors for communication satellites is becoming more and more important, since the diameters of such devices tend to be increased. For this purpose, a statistical approach based on the Monte Carlo method has been developed, as described in this paper, within a research project of the European Space Agency (ESA). In this way, detailed simulations can be carried out easily, thus allowing for analysing different geometrical and technological solutions and for defining an adequate compromise between antenna gain and pointing control capability of the satellite. Copyright ¬© 1993 John Wiley &amp; Sons, Ltd</t>
  </si>
  <si>
    <t>787-795</t>
  </si>
  <si>
    <t>Communications in Numerical Methods in Engineering</t>
  </si>
  <si>
    <t>Brunello, P.</t>
  </si>
  <si>
    <t>Udine</t>
  </si>
  <si>
    <t>Universit√† degli Studi di Udine</t>
  </si>
  <si>
    <t>Brunello P.</t>
  </si>
  <si>
    <t>Solar pressure evaluation on large reflectors for space applications</t>
  </si>
  <si>
    <t>10.1002/cnm.1640091002</t>
  </si>
  <si>
    <t>2-s2.0-0027681146</t>
  </si>
  <si>
    <t>['wide bandwidth', 'whole system', 'v supply', 'single 5', 'serial port', 'passing 400', 'optical sensitivity', 'oeic employs', 'low bit', 'highly tolerant', 'fully integrated', 'error rate', 'digital circuitry', 'cost means', 'circuit operates', 'chip provides', '780 nm', '20 dbm', '14 ber']</t>
  </si>
  <si>
    <t>A fully integrated burst-mode GaAs MESFET optoelectronic integrated circuit (OEIC) receiver, 215mil √ó 109mil, has been designed and implemented for point-to-point data links for application as a phased-array antenna controller. The chip provides a low-cost means for passing 400-Mb/s antenna control information using fiber optics with a very low bit-error rate. Approximately 350 source-coupled FET logic gates are present on the chip. A new data coding and timing recovery scheme has been developed which is highly tolerant to jitter over a wide bandwidth. The OEIC employs an on-chip MSM photodiode with 0.12-A/W responsivity measured at 780 nm and was fabricated in a 1.0-Œºm GaAs MESFET manufacturing technology. The low capacitance semi-insulating GaAs substrate minimizes the coupling between analog and digital circuitry. The circuit operates from a single 5-V supply, consumes 1 W of power, and provides an 8-b CMOS output bus together with various utility flags. Optical sensitivity is estimated at -20 dBm for 10-14 BER. As the chip is fully integrated, there is no means to permit BER testing at a serial port. The BER must therefore be evaluated as part of the whole system. ¬© 1993 IEEE</t>
  </si>
  <si>
    <t>1018-1022</t>
  </si>
  <si>
    <t>1558173X</t>
  </si>
  <si>
    <t>IEEE Journal of Solid-State Circuits</t>
  </si>
  <si>
    <t>60031098;60032995;60111599</t>
  </si>
  <si>
    <t>6602644366;6603165737;9041868000</t>
  </si>
  <si>
    <t>Mactaggart, I. Ross;Bendett, Mark;Taylor, Stewart S.</t>
  </si>
  <si>
    <t>Greensboro;Morris Plains;Minneapolis</t>
  </si>
  <si>
    <t>Qorvo, Inc;Honeywell International Inc.;Honeywell Technology Center</t>
  </si>
  <si>
    <t>60111599;60032995;60031098</t>
  </si>
  <si>
    <t>Mactaggart I.</t>
  </si>
  <si>
    <t>A Complete 400-Mb/s Burst-Mode Data OEIC Receiver</t>
  </si>
  <si>
    <t>10.1109/4.237516</t>
  </si>
  <si>
    <t>2-s2.0-0027681187</t>
  </si>
  <si>
    <t>['¬© 1993', 'usually found', 'substitution ",', 'structural designs', 'single objective', 'seemed difficult', 'ratio ",', 'qualitative understanding', 'qualitative optimization', 'proposed method', 'primary stage', 'parabolic antenna', 'optimum designs', 'often required', 'numerical examples', 'mathematical model', 'marginal rates', 'many studies', 'making process', 'make important', 'interactive multi', 'fuzzy reasoning', 'fundamental design', 'design process', 'design problem', 'conventional methods']</t>
  </si>
  <si>
    <t>In an ordinary optimum design process, designers are often required to express a design problem as a mathematical model with a single objective. However, a number of objectives are usually found in structural designs, and it may then be tedious and difficult for designers to choose just one objective among them. In such cases, it will be natural and reasonable to formulate a multi-objective optimization problem. Recently, many studies have been made on interactive multi-criteria optimum design problems. In conventional methods, designers have been forced to make important and difficult decisions concerning the "trade-off ratio", "marginal rates of substitution", "surrogate worth trade-off" and so on, which may give much information in the optimization. To reduce the load of the designer in both the decision-making process and formulation, we have done a series of studies on qualitative optimization which based on qualitative and fuzzy reasoning. In this paper, we review these studies, clarify the definition of the concept of qualitative optimization and then examine the efficiency of the algorithm. From numerical examples of the optimum designs of a parabolic antenna, it is shown that the proposed method is applicable and effective for optimizations of complex structural systems by qualitative understanding, and can well support decision-making by the designers. In the layout optimization problems of a parabolic antenna, we show an extension of the method to the primary stage of the design process, that is, the conceptual or fundamental design, which has seemed difficult to handle in the conventional optimization method. ¬© 1993.</t>
  </si>
  <si>
    <t>127-142</t>
  </si>
  <si>
    <t>0168874X</t>
  </si>
  <si>
    <t>Finite Elements in Analysis and Design</t>
  </si>
  <si>
    <t>60023462;60023462</t>
  </si>
  <si>
    <t>55669805100;55559343400</t>
  </si>
  <si>
    <t>Arakawa, Masao;Yamakawa, Hiroshi</t>
  </si>
  <si>
    <t>Waseda University</t>
  </si>
  <si>
    <t>Arakawa M.</t>
  </si>
  <si>
    <t>A study on multi-criteria structural optimum design using qualitative and fuzzy reasoning</t>
  </si>
  <si>
    <t>0168874X9390014H</t>
  </si>
  <si>
    <t>10.1016/0168-874X(93)90014-H</t>
  </si>
  <si>
    <t>2-s2.0-0027681311</t>
  </si>
  <si>
    <t>['wide range', 'several variously', 'phase centers', 'mode analysis', 'gain phase', 'field distances', 'defined phase', 'critically examined', 'corrugated feed']</t>
  </si>
  <si>
    <t>The notion of phase-center for a feed-horn is critically examined and, using Gaussian beam-mode analysis, several variously-defined phase-centers, including a maximal-gain phase-center, are investigated in detail for corrugated feed-horns in balanced hybrid mode. Expressions for the locations of these phase centers are derived which are applicable for a wide range of corrugated horn dimensions and for near-field as well as far-field distances. ¬© 1993 IEEE</t>
  </si>
  <si>
    <t>1691-1699</t>
  </si>
  <si>
    <t>6701623000;23001437400</t>
  </si>
  <si>
    <t>Wylde, Richard J.;Martin, Derek H.</t>
  </si>
  <si>
    <t>Wylde R.J.</t>
  </si>
  <si>
    <t>Gaussian Beam-Mode Analysis and Phase-Centers of Corrugated Feed Horns</t>
  </si>
  <si>
    <t>10.1109/22.247912</t>
  </si>
  <si>
    <t>2-s2.0-0027681459</t>
  </si>
  <si>
    <t>['waveguide technologies', 'wave circuits', 'third dimension', 'standard microstrip', 'si micromachining', 'rights reserved', 'provide shapes', 'processing techniques', 'presented herein', 'antenna designer']</t>
  </si>
  <si>
    <t>This article reviews recent developments in Si micromachining, as it applies to the design of millimeter- and sub-millimeter-wave circuits. Advances in semiconductor-processing techniques have made it possible to create monolithic geometries which are not bound to the surface of the wafer. These use a third dimension, to provide shapes and exhibit electrical functions, which are not possible through standard microstrip or coplanar-waveguide technologies. A variety of recently developed circuits are presented herein, which demonstrate the numerous capabilities micromachining offers to the circuit and antenna designer. 1045-9243/93/$03.00. ¬© 1993 IEEE. All Rights Reserved.</t>
  </si>
  <si>
    <t>60025778;60025778;60025778;60025778;60025778;60025778</t>
  </si>
  <si>
    <t>56246062600;7006384021;7102483892;7004553347;7404285544;7202748624</t>
  </si>
  <si>
    <t>Katehi, Linda P.B.;Rebeiz, Gabriel M.;Weller, Thomas M.;Drayton, Rhonda F.;Cheng, Heng Ju;Whitaker, John F.</t>
  </si>
  <si>
    <t>Katehi L.</t>
  </si>
  <si>
    <t>Micromachined Circuits for Millimeter- and Sub-millimeter-Wave Applications</t>
  </si>
  <si>
    <t>10.1109/74.242171</t>
  </si>
  <si>
    <t>2-s2.0-0027681627</t>
  </si>
  <si>
    <t>ECS-8913169</t>
  </si>
  <si>
    <t>['wideband log', 'well suited', 'wave operation', 'silicon lens', 'receiver consists', 'receiver arrays', 'periodic antenna', 'novel back', 'higher frequencies', 'easily extended', 'biased back', 'back schottky', '90 ghz', '7 db', '5 db', '182 ghz', '1080 k', '1 thz']</t>
  </si>
  <si>
    <t>A wideband planar subharmonic mixer has been designed for millimeter-wave operation. The receiver consists of a novel back-to-back Schottky-diode pair integrated at the base of a wideband log-periodic antenna and placed on a silicon lens. The wideband planar receiver results in state-of-the art-performance at 90 GHz (and 182 GHz) with a double-sideband conversion loss and noise-temperature of 6.7 dB (and 8.5 dB) and 1080 K (and 1820 K), respectively. These results are about 3 dB higher than the best tuned waveguide subharmonic mixers using planar diodes. The design is well suited for higher frequencies (up to 1 THz) and for the inclusion of biased back-to-back planar diodes to ease the LO power requirements. The planar subharmonic approach results in an inexpensive wideband receiver and the design can be easily extended to receiver arrays. ¬© 1993 IEEE</t>
  </si>
  <si>
    <t>1730-1737</t>
  </si>
  <si>
    <t>60025778;60025778;60020251;60021918;60021918</t>
  </si>
  <si>
    <t>6602130931;57211614875;57170516500;57169851200;35502419000</t>
  </si>
  <si>
    <t>Kormanyos, Brian K.;Rebeiz, Gabriel M.;Ostdiek, Paul H.;Bishop, William L.;Crowe, Thomas W.</t>
  </si>
  <si>
    <t>Ann Arbor;Charlottesville;Wright-Patterson AFB</t>
  </si>
  <si>
    <t>University of Michigan, Ann Arbor;University of Virginia;United States Air Force Institute of Technology</t>
  </si>
  <si>
    <t>60025778;60021918;60020251</t>
  </si>
  <si>
    <t>Kormanyos B.K.</t>
  </si>
  <si>
    <t>A Planar Wideband 80-200 GHz Subharmonic Receiver</t>
  </si>
  <si>
    <t>10.1109/22.247918</t>
  </si>
  <si>
    <t>2-s2.0-0027681681</t>
  </si>
  <si>
    <t>DAAL 03-88-K-0005</t>
  </si>
  <si>
    <t>['voltage distributions', 'time evolutions', 'stable modes', 'stable excitation', 'normal modes', 'moding problem', 'mode analysis', 'mode amplitudes', 'microstrip lines', 'inphase power', 'identified using', 'effective method', 'dimensional array', 'desired power', 'coupling lines', 'combining operations', 'combining mode', 'appropriate resistors', 'also calculated', 'active antennas']</t>
  </si>
  <si>
    <t>In order to attain stabilized power-combining operations of a strongly coupled active antenna array, mode analysis for the multi-moding problem of the array is presented, and an effective method for exciting only the inphase power-combining mode is proposed. In a one-dimensional array of active antennas coupled mutually through microstrip lines, the frequencies and the voltage distributions of the normal modes are obtained. Stable modes of the array are identified using the averaged potential theory. Time evolutions of the mode amplitudes are also calculated. In order for only the desired power-combining mode to oscillate, appropriate resistors are introduced at the midpoints of the coupling lines between the active antennas. An experiment for the arrays with up to eight active antennas has been carried out using Gunn diodes. It has been confirmed that the introduction of the resistors is effective for stable excitation of the inphase power-combining mode. ¬© 1993 IEEE</t>
  </si>
  <si>
    <t>1827-1837</t>
  </si>
  <si>
    <t>7004930680;57218092435;36041035600</t>
  </si>
  <si>
    <t>Nogi, Shigeji;Lin, Jenshan;Itoh, Tatsuo</t>
  </si>
  <si>
    <t>Nogi S.</t>
  </si>
  <si>
    <t>Mode Analysis and Stabilization of a Spatial Power Combining Array with Strongly Coupled Oscillators</t>
  </si>
  <si>
    <t>10.1109/22.247929</t>
  </si>
  <si>
    <t>2-s2.0-0027681682</t>
  </si>
  <si>
    <t>['slot discontinuity', 'slot admittance', 'single slot', 'radiation patterns', 'poynting theorems', 'numerical data', 'nrd waveguide', 'nonradiative dielectric', 'metal wall', 'good agreement', 'experimental results', 'equivalent network', 'also presented']</t>
  </si>
  <si>
    <t>A study of an inclined slot cut in the metal wall of nonradiative dielectric (NRD) waveguide is presented. The modal expansion method is applied to the development of an equivalent network of a slot discontinuity in NRD waveguide, using the reciprocity and Poynting theorems. The effect of the metal wall thickness is taken into consideration by applying microwave network analysis. Numerical data for the normalized slot admittance is obtained and compared with experimental results. Good agreement is observed. Numerical data for the slot admittance for various dielectric materials is also presented and the radiation patterns of a single slot are included.</t>
  </si>
  <si>
    <t>407-413</t>
  </si>
  <si>
    <t>60000854;60000854;60000854</t>
  </si>
  <si>
    <t>7403176992;57027512900;7004481899</t>
  </si>
  <si>
    <t>Reddy, C. J.;Ittipiboon, A.;Cuhaci, M.</t>
  </si>
  <si>
    <t>Hampton</t>
  </si>
  <si>
    <t>NASA Langley Research Center</t>
  </si>
  <si>
    <t>Reddy C.</t>
  </si>
  <si>
    <t>Admittance characteristics of narrow radiating slots in nonradiating dielectric waveguide</t>
  </si>
  <si>
    <t>10.1049/ip-h-2.1993.0066</t>
  </si>
  <si>
    <t>2-s2.0-0027681723</t>
  </si>
  <si>
    <t>['wiley company', 'various form', 'theoretical results', 'resonant frequency', 'radiating element', 'make use', 'input impedance', 'inc .,', 'good agreement', 'geometrical parameters', 'electrical characteristics', 'easily included', 'e .,', 'computer algebra', 'calculated values', 'cad system', 'analytical model']</t>
  </si>
  <si>
    <t>We propose an analytical model for the determination of the electrical characteristics (resonant frequency, input impedance) of probe‚Äêfed printed antennas with radiating element of various form. This model is original and is easily included in CAD system. The theoretical results are in good agreement with the experiments and with rigorous theoretical models. We make use of computer algebra to compute the uncertainty of the calculated values, i.e., the sensitivity to the physical and geometrical parameters. ¬© 1993 John Wiley &amp; Sons, Inc. Copyright ¬© 1993 Wiley Periodicals, Inc., A Wiley Company</t>
  </si>
  <si>
    <t>350-361</t>
  </si>
  <si>
    <t>60110693;60110693</t>
  </si>
  <si>
    <t>16050119900;7003385210</t>
  </si>
  <si>
    <t>Damiano, J. P.;Papiernik, A.</t>
  </si>
  <si>
    <t>Damiano J.P.</t>
  </si>
  <si>
    <t>A simple and accurate model for the resonant frequency and the input impedance of printed antennas</t>
  </si>
  <si>
    <t>10.1002/mmce.4570030407</t>
  </si>
  <si>
    <t>2-s2.0-0027681832</t>
  </si>
  <si>
    <t>['wiley company', 'solving eigenwave', 'proposed network', 'new technique', 'millimeter waves', 'main characteristics', 'inc .,', 'diffraction problems', 'design flexibility', 'basic structure']</t>
  </si>
  <si>
    <t>dielectric slotted waveguide | eigenwaves | Integrated beam‚Äêforming network | quasioptical antenna | wave diffraction</t>
  </si>
  <si>
    <t>An integrated beam‚Äêforming network analysis for multibeam antennas based on an array of dielectric slotted waveguides in millimeter waves is proposed. The advantages of such networks include low losses, high aperture efficiencies, and design flexibility in comparison with traditional quasitopical systems. A new technique for obtaining the main characteristics by solving eigenwave and diffraction problems of the basic structure of the proposed network has been developed. ¬© 1993 John Wiley &amp; Sons, Inc. Copyright ¬© 1993 Wiley Periodicals, Inc., A Wiley Company</t>
  </si>
  <si>
    <t>782-786</t>
  </si>
  <si>
    <t>60005913;60006131</t>
  </si>
  <si>
    <t>6701630340;6602502321</t>
  </si>
  <si>
    <t>Bankov, Sergey E.;Bugrova, Tatiana I.</t>
  </si>
  <si>
    <t>Ukraine;Russian Federation</t>
  </si>
  <si>
    <t>Zaporizhzhia;Moscow</t>
  </si>
  <si>
    <t>"Zaporizhzhia Polytechnic" National University;National Research University ‚ÄúMoscow Power Engineering Institute‚Äù</t>
  </si>
  <si>
    <t>60006131;60005913</t>
  </si>
  <si>
    <t>Bankov S.</t>
  </si>
  <si>
    <t>Analysis of a millimeter‚Äêwave integrated beam‚Äêforming network for quasioptical multibeam antennas</t>
  </si>
  <si>
    <t>10.1002/mop.4650061317</t>
  </si>
  <si>
    <t>2-s2.0-0027681842</t>
  </si>
  <si>
    <t>['vector approach', 'output signal', 'numerical results', 'derive expressions']</t>
  </si>
  <si>
    <t>In this communication, we derive expressions of the output signal-to-interference plus noise ratio (SINR) of the linearly constrained narrowband beamformer in noncoherent situations using a vector approach. Numerical results have been included. ¬© 1993 IEEE</t>
  </si>
  <si>
    <t>1462-1464</t>
  </si>
  <si>
    <t>60025778;60016912;60016912;60016912</t>
  </si>
  <si>
    <t>57220490166;7409318470;7006947969;56796457800</t>
  </si>
  <si>
    <t>Kwak, Byung J.;Kim, Ki M.;Cha, I. W.;Youn, Dae H.</t>
  </si>
  <si>
    <t>United States;South Korea</t>
  </si>
  <si>
    <t>Ann Arbor;Seoul</t>
  </si>
  <si>
    <t>University of Michigan, Ann Arbor;Yonsei University</t>
  </si>
  <si>
    <t>60025778;60016912</t>
  </si>
  <si>
    <t>Kwak B.J.</t>
  </si>
  <si>
    <t>The Output SINR of the Linearly Constrained Beamformer</t>
  </si>
  <si>
    <t>10.1109/8.247789</t>
  </si>
  <si>
    <t>2-s2.0-0027681880</t>
  </si>
  <si>
    <t>DAAL03-91-G-0116</t>
  </si>
  <si>
    <t>['single wafer', 'letter presents', 'first results', 'features result', 'cps ).', 'coplanar striplines', 'coherent 94', 'automotive applications']</t>
  </si>
  <si>
    <t>This letter presents the first results on a 94-GHz integrated monopulse receiver. The receiver is based on a 23-GHz local oscillator driving four separate phase-coherent 94-GHz subharmonic mixers, and performs monopulse processing on the IF signals. All circuits are integrated on a single wafer, and are realized using uniplanar coplanar-waveguide (CPW), slot lines and coplanar striplines (CPS). These features result in a compact, low-cost system suitable for tracking systems operating in poor visibility conditions, as well as in collision avoidance receivers for automotive applications. ¬© 1993 IEEE</t>
  </si>
  <si>
    <t>358-360</t>
  </si>
  <si>
    <t>36985970700;7006384021</t>
  </si>
  <si>
    <t>Ling, Curtis C.;Rebeiz, Gabriel M.</t>
  </si>
  <si>
    <t>Ling C.</t>
  </si>
  <si>
    <t>A 94-GHz Planar Monopulse Receiver</t>
  </si>
  <si>
    <t>10.1109/75.242260</t>
  </si>
  <si>
    <t>2-s2.0-0027681980</t>
  </si>
  <si>
    <t>NSC82-0404-E-110-012</t>
  </si>
  <si>
    <t>['study provides', 'new design', 'investigated theoretically', 'input impedance', 'hemispherical shape', 'ground plane', 'considerably enhanced', 'bandwidth enhancement', 'antenna bandwidth']</t>
  </si>
  <si>
    <t>A probe-fed hemispherical dielectric resonator antenna with an airgap of hemispherical shape between the dielectric and the ground plane is investigated theoretically by using a Green‚Äôs function formulation. Input impedance of the efficiently radiating mode of TE&lt;inf&gt;111&lt;/inf&gt; is calculated and analyzed. It is found that, with the presence of the airgap, the antenna bandwidth, obtained from the 3-dB impedance bandwidth, can be considerably enhanced. This study provides a new design for bandwidth enhancement of the dielectric resonator antenna. ¬© 1993 IEEE</t>
  </si>
  <si>
    <t>355-357</t>
  </si>
  <si>
    <t>35460663000;7401912051;7501612418</t>
  </si>
  <si>
    <t>Wong, Kin Lu;Chen, Nan Cheng;Chen, Hong Twu</t>
  </si>
  <si>
    <t>Analysis of a Hemispherical Dielectric Resonator Antenna with an Airgap</t>
  </si>
  <si>
    <t>10.1109/75.242259</t>
  </si>
  <si>
    <t>2-s2.0-0027681981</t>
  </si>
  <si>
    <t>['tem300 modes', 'mechanically tunable', '1 db']</t>
  </si>
  <si>
    <t>Low loss bandpass filters consisting of Fabry-Perot resonators excited by waveguide fed slots coupling to higher order resonator modes are demonstrated. For close reflector spacings, the waveguide couples efficiently through the slots to the TEM400 and TEM300 modes. The characteristics of both rectangular and circular waveguide feeds with various slot lengths and widths are presented. At X-band the filters have unloaded Q values which range from 1000 to 7000 with insertion losses less than 1 dB. The filters which have the rectangular waveguide feeds are mechanically tunable over a 20% bandwidth. ¬© 1993 IEEE</t>
  </si>
  <si>
    <t>1703-1709</t>
  </si>
  <si>
    <t>6701874389;56771612600;7404879378</t>
  </si>
  <si>
    <t>McCleary, James;Li, Ming yi;Chang, Kai</t>
  </si>
  <si>
    <t>McCleary J.</t>
  </si>
  <si>
    <t>Slot-Fed Higher Order Mode Fabry-Perot Filters</t>
  </si>
  <si>
    <t>10.1109/22.247914</t>
  </si>
  <si>
    <t>2-s2.0-0027681994</t>
  </si>
  <si>
    <t>['wiley company', 'network model', 'moments model', 'moments calculations', 'mechanical dimensions', 'large range', 'inc .,', 'electromagnetic arguments', 'described together', 'cad program', 'additional method']</t>
  </si>
  <si>
    <t>A network model for an aperture coupled microstrip patch is developed. The derivation of the topology of the network model is based on electromagnetic arguments. The values of the components in the network model are found by optimization using input reflection coefficient data computed from a method of moments model. The topology of the network model is described together with a procedure for the determination of the values of its components. After the determination of the values of the components, the network model can be used in a CAD program for a large range of mechanical dimensions, without the need of additional method of moments calculations. ¬© 1993 John Wiley &amp; Sons, Inc. Copyright ¬© 1993 Wiley Periodicals, Inc., A Wiley Company</t>
  </si>
  <si>
    <t>326-339</t>
  </si>
  <si>
    <t>60011373;60011373;60011373</t>
  </si>
  <si>
    <t>6603248498;14325451600;7801661408</t>
  </si>
  <si>
    <t>Dich, Mikael;√òstergaard, Allan;Gothelf, Ulrich</t>
  </si>
  <si>
    <t>Lyngby</t>
  </si>
  <si>
    <t>Danmarks Tekniske Universitet</t>
  </si>
  <si>
    <t>Dich M.</t>
  </si>
  <si>
    <t>A network model for the aperture coupled microstrip patch</t>
  </si>
  <si>
    <t>10.1002/mmce.4570030405</t>
  </si>
  <si>
    <t>2-s2.0-0027682036</t>
  </si>
  <si>
    <t>['weight vector', 'two stages', 'proposed based', 'power vectors', 'polynomial coefficients', 'physical properties', 'opposite case', 'new method', 'minimum polynomial', 'mentioned polynomials', 'fundamental role', 'francis ltd', 'direct cm', 'characteristic polynomial', 'adaptive arrays', 'aa channels']</t>
  </si>
  <si>
    <t>The development of the theory of adaptive arrays (AAs) is proposed based on the representation of the inverse covariance matrix (CM) of a noise in the AA channels as a finite power series expansion using the direct CM and by representation of a weight vector of the AA as a finite series expansion of the power vectors. The dimension of the power CM basis is equal to the power of the minimum polynomial of the CM. In the case when the number of external interference sources is less than the number of AA channels, such polynomials have the same fundamental role as the characteristic polynomial of the CM in an opposite case. Proofs for the existence of the above mentioned polynomials of the CM are given. A new method for the calculation of the polynomial coefficients is presented, and the physical properties of the power vector basis are studied. It is shown that the power vectors are correlated and that there are two stages of AA signal processing. ¬© 1993 Taylor &amp; Francis Ltd.</t>
  </si>
  <si>
    <t>753-765</t>
  </si>
  <si>
    <t>115937963;115937963</t>
  </si>
  <si>
    <t>6602809557;6602783965</t>
  </si>
  <si>
    <t>Ermolayev, V. T.;Flaksman, A. G.</t>
  </si>
  <si>
    <t>Nizhni Novgorod</t>
  </si>
  <si>
    <t>Nizhni Novgorod GTU</t>
  </si>
  <si>
    <t>Ermolayev V.</t>
  </si>
  <si>
    <t>Signal processing in adaptive arrays using power basis</t>
  </si>
  <si>
    <t>10.1080/00207219308907153</t>
  </si>
  <si>
    <t>2-s2.0-0027682075</t>
  </si>
  <si>
    <t>['two frequencies', 'study propagation', 'signal strength', 'show variations', 'rural areas', 'pcs ),', 'paper reports', 'microcellular environments', 'los measurements', 'fast hand', 'distinct near', 'different frequencies', 'different environments', 'calculated based', 'break point', 'break distance', 'approximately follow', 'antenna heights', 'antenna height', 'also found', '900 mhz', '1900 mhz']</t>
  </si>
  <si>
    <t>To acquire a knowledge of radio propagation characteristics in the microcellular environments for personal communications services (PCS), a comprehensive measurement program was conducted by Telesis Technologies Laboratoiy (TTL) in the San Francisco Bay area using three base station antenna heights of 3.2 m, 8.7 m, and 13.4 m and two frequencies at 900 MHz and 1900 MHz. Five test settings were chosen in urban, suburban, and rural areas in order to study propagation in a variety of environments. This paper reports the LOS measurements in different environments, all of which show variations of signal strength with distance that have distinct near and far regions separated by a break point. It was also found that the location of the break point for different frequencies and antenna heights can be calculated based on first Fresnel zone clearance. The regression analysis reveals a slope that is less than two before the break point, while it is greater than two after the break point. This break distance can be used to define the size of microcell and to design for fast hand-off. Beyond the first Fresnel zone break distance the base station antenna height gain was observed to approximately follow the square power law of antenna height. ¬© 1993 IEEE</t>
  </si>
  <si>
    <t>1439-1447</t>
  </si>
  <si>
    <t>;;;60108318;60108318</t>
  </si>
  <si>
    <t>56979443600;6507460926;55414358000;7005129354;35618290100</t>
  </si>
  <si>
    <t>Xia, Howard H.;Lindsay-Stewart, Andrew;Rowe, Robert;Bertoni, Henry L.;Maciel, Leandro R.</t>
  </si>
  <si>
    <t>Xia H.</t>
  </si>
  <si>
    <t>Radio Propagation Characteristics for Line-of-Sight Microcellular and Personal Communications</t>
  </si>
  <si>
    <t>10.1109/8.247785</t>
  </si>
  <si>
    <t>2-s2.0-0027682094</t>
  </si>
  <si>
    <t>['varied continuously', 'theory predicts', 'slightly detuning', 'phase shifters', 'linear arrays', 'experimental four', 'coupled oscillators', 'continuously variable', 'achievable inter', '90 ¬∞,', '88 ¬∞', '66 ¬∞.', '10 ghz']</t>
  </si>
  <si>
    <t>A method for electronic beam scanning in linear arrays of antenna-coupled oscillators is introduced which eliminates the need for phase shifters. It is shown that a constant phase progression can be established by slightly detuning the peripheral array elements, while maintaining mutual synchronization. This unusual nonlinear behavior is explained using coupled Van der Pol equations. A stability analysis provides theoretical limitations on the achievable inter-element phase shift. When the phase of the coupling is zero, the theory predicts an inter-element phase shift that can be varied continuously over the range ‚Äî90¬∞ &lt; Œ¥Œ∏ &lt; +90¬∞, and is independent of the number of oscillators in the array. An experimental four-element planar MESFET array was built, operating at 10 GHz with close to zero coupling phase, giving a measured phase progression that was continuously variable over the range -88¬∞ &lt; Œ¥Œ∏ &lt; 66¬∞. ¬© 1993 IEEE</t>
  </si>
  <si>
    <t>1810-1815</t>
  </si>
  <si>
    <t>7102792127;7103208478</t>
  </si>
  <si>
    <t>Liao, P.;York, R. A.</t>
  </si>
  <si>
    <t>Liao P.</t>
  </si>
  <si>
    <t>A New Phase-Shifterless beaM-Scanning Technique Using Arrays of Coupled Oscillators</t>
  </si>
  <si>
    <t>10.1109/22.247927</t>
  </si>
  <si>
    <t>2-s2.0-0027682246</t>
  </si>
  <si>
    <t>DAALO3-89-G-0030</t>
  </si>
  <si>
    <t>['strongly affected', 'state sources', 'source frequency', 'simulations using', 'port measurements', 'optical techniques', 'optical resonator', 'mode structure', 'lorentz integral', 'impedance matrix', 'impedance match', 'diffraction loss', 'array location', 'antennas radiating', 'active source', 'active antennas']</t>
  </si>
  <si>
    <t>The power from numerous millimeter wave Solid-State sources can be efficiently combined using quasi-optical techniques. One such technique is to place an array of active radiating sources within a quasi-optical resonator. The driving point impedance of each antenna is strongly affected by the presence of all other active antennas as well as by the mode structure and Q of the resonator. In this paper the impedance matrix for an array of antennas radiating into a plano-concave open resonator is determined through use of the Lorentz integral. The resulting expressions include the effect of diffraction loss and are valid for arbitrary reflector spacing, source frequency, array location and geometry. The result can be used to impedance match each active source to its antenna and thus facilitate design of an efficient power combining system. Simulations using the impedance matrix in conjunction with an antenna impedance model are compared with two-port measurements. ¬© 1993 IEEE</t>
  </si>
  <si>
    <t>1816-1826</t>
  </si>
  <si>
    <t>60002059;60002059;60002059;60011199;60004923</t>
  </si>
  <si>
    <t>7003552691;7004174770;7102090054;7003541666;7103146832</t>
  </si>
  <si>
    <t>Heron, Patrick L.;Monahan, Gregory P.;Mink, J. W.;Schwering, Felix K.;Steer, Michael B.</t>
  </si>
  <si>
    <t>Heron P.L.</t>
  </si>
  <si>
    <t>Impedance Matrix Of An Antenna Array In A Quasi-Optical Resonator</t>
  </si>
  <si>
    <t>10.1109/22.247928</t>
  </si>
  <si>
    <t>2-s2.0-0027682247</t>
  </si>
  <si>
    <t>['would allow', 'tracking sources', 'telescope facilities', 'rights reserved', 'fluctuation sensitivity', 'feed array', 'deep surveys', 'considerable extension', 'antenna adjustments', '600 radio']</t>
  </si>
  <si>
    <t>The possibility of a considerable extension of the RATAN-600 radio-telescope facilities, with the help of linear-feed array, is discussed. This would allow an increase in the fluctuation sensitivity, a decrease in the duration of deep surveys, it would permit realization of the mode for tracking sources, and would give new possibilities for antenna adjustments. 1045-9243/93/$03 00. ¬© 1993 IEEE. All Rights Reserved.</t>
  </si>
  <si>
    <t>18-27</t>
  </si>
  <si>
    <t>60012059;60012059;60012059;60012059</t>
  </si>
  <si>
    <t>56969314200;55917339700;6602698319;6602334221</t>
  </si>
  <si>
    <t>Pinclruk, G. A.;Parijskij, Y. N.;Majorova, E. K.;Shannikov, D. V.</t>
  </si>
  <si>
    <t>Nizhny Arkhyz</t>
  </si>
  <si>
    <t>Special Astrophysical Observatory, Russian Academy of Sciences</t>
  </si>
  <si>
    <t>Pinclruk G.</t>
  </si>
  <si>
    <t>Multibeam-Operational Mode at the RATAN-600 Radio Telescope</t>
  </si>
  <si>
    <t>10.1109/74.242172</t>
  </si>
  <si>
    <t>2-s2.0-0027682419</t>
  </si>
  <si>
    <t>['tests made', 'rights reserved', 'mariner venus', 'group delay', 'experimentally verified', 'delay measurements', 'analytical expression']</t>
  </si>
  <si>
    <t>An analytical expression is presented for calculating the effects of multipath on group delay. The expression was experimentally verified by tests made at the Telecommunications Development Laboratory of the Jet Propulsion Laboratory using the Mariner Venus/Mercury 1973 Radio Frequency Subsystem, Block 3 receiver, and the Mu 1 ranging machine. The motivation for the research is explained, and the results are put in the context of other applications to antenna and time-delay measurements. 1045-9243/93/$03.00. ¬© 1993 IEEE. All Rights Reserved.</t>
  </si>
  <si>
    <t>28-36</t>
  </si>
  <si>
    <t>Otoshi, Tom Y.</t>
  </si>
  <si>
    <t>Otoshi T.</t>
  </si>
  <si>
    <t>The Effects Of Multipath on the Measurement of Antenna Time Delays</t>
  </si>
  <si>
    <t>10.1109/74.242173</t>
  </si>
  <si>
    <t>2-s2.0-0027682420</t>
  </si>
  <si>
    <t>['¬© 1993', 'rights reserved', 'procedure based', 'potential uses', 'numerical analysis', 'hem12 modes', 'electrical engineers', 'coaxial probe', 'bor geometry', 'antenna configuration']</t>
  </si>
  <si>
    <t>Dielectric loaded antennas | Dielectric resonators | Numerical methods</t>
  </si>
  <si>
    <t>A numerical analysis of a half-split cylindrical dielectric resonator (CDR) antenna on a conducting ground plane excited by a coaxial probe is presented. A procedure based on the method of moments (MoM) for the coupling of a body of revolution (BOR) to a non-BOR geometry is implemented. The antenna is operating in the TE01 and HEM12 modes. This antenna configuration has potential uses where high power handling capabilities and wide operating bandwidth are required. ¬© 1993, The Institution of Electrical Engineers. All rights reserved.</t>
  </si>
  <si>
    <t>1810-1811</t>
  </si>
  <si>
    <t>7006498545;7004922524;7006839683</t>
  </si>
  <si>
    <t>Junker, G. P.;Kishk, A. A.;Glisson, A. W.</t>
  </si>
  <si>
    <t>Junker G.</t>
  </si>
  <si>
    <t>Numerical analysis of dielectric resonator antennas excited in quasi-TE modes</t>
  </si>
  <si>
    <t>10.1049/el:19931204</t>
  </si>
  <si>
    <t>2-s2.0-0027682425</t>
  </si>
  <si>
    <t>['¬© 1993', 'two trials', 'two sites', 'trial 2', 'trial 1', 'transmitted telemetrically', 'test period', 'tags attached', 'rights reserved', 'remained attached', 'rear legs', 'rear leg', 'pregnancy ).', 'predicted periods', 'predicted estrus', 'positive designations', 'personal computer', 'milking parlor', 'h intervals', 'five cows', 'either site', 'detect estrus', 'data recorded', 'dairy cattle', 'cyclic periods', 'approximately 35', 'activity tags', 'activity patterns', '24 cows', '2 mo', '12 h']</t>
  </si>
  <si>
    <t>activity | dairy automation | estrus | IAR | increased activity ratio | pedometers</t>
  </si>
  <si>
    <t>Two trials were conducted to characterize the performance of an automated electronic activity tag system as an aid for detection of estrus in dairy cattle. In trial 1, activity tags were attached to the rear leg of 24 cows at approximately 35 d postpartum and remained attached until pregnancy. Data collection included 66 periods of predicted estrus (cyclic periods of 18 to 24 d prior to the date of pregnancy). A summary of the data recorded in the activity tags was transmitted telemetrically to a personal computer at each milking via stationary antenna in the milking parlor. An electronic flag used an increased activity ratio to determine the ratio of activity in a test period of the previous 12 h to activity in the same 12 h during the 2 d previous to the test period, thus indicating estrus. Activity patterns were characterized from data recorded on the tags at 2-h intervals. The tag detected 74% of predicted periods of estrus versus 58% reported by herders. An increased activity ratio for at least 4 consecutive h reduced false-positive designations. In trial 2, activity tags were attached to front and rear legs on five cows, and activity patterns from the two sites were compared for 2 mo. Patterns of activity were similar from tags attached at either site, and the sites were not different in their discrimination between periods in which estrus did or did not occur. The activity tag system was an effective practical tool to detect estrus. ¬© 1993, American Dairy Science Association. All rights reserved.</t>
  </si>
  <si>
    <t>2906-2912</t>
  </si>
  <si>
    <t>Journal of Dairy Science</t>
  </si>
  <si>
    <t>7409293028;7003275886</t>
  </si>
  <si>
    <t>Liu, X.;Spahr, S. L.</t>
  </si>
  <si>
    <t>Liu X.</t>
  </si>
  <si>
    <t>Automated Electronic Activity Measurement for Detection of Estrus in Dairy Cattle</t>
  </si>
  <si>
    <t>S0022030293776304</t>
  </si>
  <si>
    <t>10.3168/jds.S0022-0302(93)77630-4</t>
  </si>
  <si>
    <t>2-s2.0-0027682653</t>
  </si>
  <si>
    <t>['strong couplings', 'he11œ ¥.', 'he11œ ¥', 'excited electromagnetically', 'driven dra']</t>
  </si>
  <si>
    <t>The effects of parasitic dielectric resonators on the HE11Œ¥ and HE13Œ¥ modes of a cylindrical dielectric resonator antenna (DRA) have been studied. The DRA was excited electromagnetically with a grounded coplanar waveguide through an aperture in the common ground plane. Strong couplings were observed for the HE11Œ¥. mode with the parasitic element superimposed on the driven DRA, and for the HE13Œ¥ mode with parasitic elements placed on both sides of the driven DRA. Results indicate significant enhancement in bandwidth for both modes, and good radiation patterns for the HE11Œ¥ mode.</t>
  </si>
  <si>
    <t>336-338</t>
  </si>
  <si>
    <t>60026717;60026717</t>
  </si>
  <si>
    <t>7202166511;24522606100</t>
  </si>
  <si>
    <t>Simons, R. N.;Lee, R. Q.</t>
  </si>
  <si>
    <t>Cleveland</t>
  </si>
  <si>
    <t>NASA Glenn Research Center</t>
  </si>
  <si>
    <t>Effect of parasitic dielectric resonators on cpw/aperture-coupled dielectric resonator antennas</t>
  </si>
  <si>
    <t>10.1049/ip-h-2.1993.0052</t>
  </si>
  <si>
    <t>2-s2.0-0027683083</t>
  </si>
  <si>
    <t>['simpler setups', 'several applications', 'radiating source', 'priori assumption', 'powerful tool', 'millimeter wave', 'method requiring', 'high precision', 'experimental feasibility', 'array testing', 'applied technique', 'amplitude data', 'also considered']</t>
  </si>
  <si>
    <t>The experimental feasibility of testing a radiating source by a method requiring only amplitude data is shown in the cylindrical scanning technique. The proposed innovative approach is applied to a set of measured near field data of a parabolic reflector antenna. The presence of a real probe antenna is also considered. No a priori assumption about the missing phase information is required; the solution is found by starting from a completely random first guess, The applied technique, especially at millimeter wave-lengths, provides a powerful tool for dealing with several applications, such as f.i. reflector or array testing and diagnostics. It has high precision and employs less expensive and simpler setups.</t>
  </si>
  <si>
    <t>395-400</t>
  </si>
  <si>
    <t>60017293;60017293;60017293</t>
  </si>
  <si>
    <t>7003402426;56963446400;7005281565</t>
  </si>
  <si>
    <t>Isernia, T.;Leone, G.;Pierri, R.</t>
  </si>
  <si>
    <t>Naples</t>
  </si>
  <si>
    <t>Universit√† degli Studi di Napoli Federico II</t>
  </si>
  <si>
    <t>Isernia T.</t>
  </si>
  <si>
    <t>Antenna testing from phaseless measurements : probe compensation and experimental results in the cylindrical case</t>
  </si>
  <si>
    <t>10.1049/ip-h-2.1993.0064</t>
  </si>
  <si>
    <t>2-s2.0-0027683084</t>
  </si>
  <si>
    <t>['wiley company', 'review article', 'pragmatic point', 'models used', 'model able', 'last part', 'inc .,', 'faster computers', 'ever faster', 'discussed briefly', 'different types', 'different improvements', 'continuous improvement']</t>
  </si>
  <si>
    <t>In this article, an overview will be given on the continuous improvement of the transmission line models, one of the different types of models used to analyze microstrip antenna structures. Starting from 1974, the year in which the simplest possible variant was introduced, the different improvements will be discussed briefly from a pragmatic point of view. More time will be devoted to a state‚Äêof‚Äêthe‚Äêart transmission line model. The last part of this review article will take a look into the future and try to guess which improvements and generalizations can (and maybe have to) be implemented to obtain a model able to compete with sophisticated integral equation models running on ever faster and faster computers. ¬© 1993 John Wiley &amp; Sons, Inc. Copyright ¬© 1993 Wiley Periodicals, Inc., A Wiley Company</t>
  </si>
  <si>
    <t>319-325</t>
  </si>
  <si>
    <t>60025063;60025063;60025063</t>
  </si>
  <si>
    <t>7005545716;6602576643;7003998197</t>
  </si>
  <si>
    <t>Vandenbosch, G. A.E.;Demuynck, F. J.;Van de Capelle, A. R.</t>
  </si>
  <si>
    <t>Vandenbosch G.</t>
  </si>
  <si>
    <t>The transmission line models: Past, present, and future (invited review article)</t>
  </si>
  <si>
    <t>10.1002/mmce.4570030404</t>
  </si>
  <si>
    <t>2-s2.0-0027683128</t>
  </si>
  <si>
    <t>['wind speed', 'specular c', 'ship motions', 'results illustrate', 'multipath c', 'method extending', 'limited effects', 'large effects', 'important dependence', 'experimental results', 'experimental models', 'elevation angle']</t>
  </si>
  <si>
    <t>A method extending the Kirchhoff classical approach for mobile maritime satellite communications is presented. Carrier to specular C/S and carrier to multipath C/M ratios are evaluated from scattering by the rough sea surface calculations using the boundary perturbation method. They are compared with experimental results and with other experimental models. The results illustrate the limited effects of the wind speed and significant wave height, the important dependence on the elevation angle and the very large effects of the ship motions. ¬© 1993 IEEE</t>
  </si>
  <si>
    <t>1525-1533</t>
  </si>
  <si>
    <t>60000874;60000874;60000874;60000874</t>
  </si>
  <si>
    <t>7004230882;7003922453;6602469427;6504303973</t>
  </si>
  <si>
    <t>Sobieski, Piotr;Guissard, Albert;Baufays, Christine;Siraut, Phillippe</t>
  </si>
  <si>
    <t>Louvain-la-Neuve</t>
  </si>
  <si>
    <t>Universit√© Catholique de Louvain</t>
  </si>
  <si>
    <t>Sobieski P.</t>
  </si>
  <si>
    <t>Sea Surface Scattering Calculations in Maritime Satellite Communications</t>
  </si>
  <si>
    <t>10.1109/26.237887</t>
  </si>
  <si>
    <t>2-s2.0-0027683159</t>
  </si>
  <si>
    <t>AST 90-15755</t>
  </si>
  <si>
    <t>['well suited', 'submillimeter wavelengths', 'structure antenna', 'special case', 'space efficient', 'planar antenna', 'modified version', 'integrated superconductor', 'hybrid antenna', 'hemispherical lens', 'found experimentally', 'flat side', 'diffraction limited', 'dielectric lens', 'beam pattern', 'array due', 'aperture efficiency', 'antenna using', '17 db', '115 ghz']</t>
  </si>
  <si>
    <t>The hybrid antenna discussed here is defined as a dielectric lens-antenna as a special case of an extended hemispherical dielectric lens that is operated in the diffraction limited regime. It is a modified version of the planar antenna on a lens scheme developed by Rutledge. The dielectric lens-antenna is fed by a planar-structure antenna, which is mounted on the flat side of the dielectric lens-antenna using it as a substrate, and the combination is termed a hybrid antenna. Beam pattern and aperture efficiency measurements were made at millimeter and submillimeter wavelengths as a function of extension of the hemispherical lens and different lens sizes. An optimum extension distance is found experimentally and numerically for which excellent beam patterns and simultaneously high aperture efficiencies can be achieved. At 115 GHz the aperture efficiency was measured to be (76 ¬± 6) % for a diffraction limited beam with sidelobes below -17 dB. Results of a single hybrid antenna with an integrated Superconductor-Insulator-Superconductor (SIS) detector and a broadband matching structure at submillimeter wavelengths are presented. The hybrid antenna is diffraction limited, space efficient in an array due to its high aperture efficiency, and is easily mass produced, thus being well suited for focal plane heterodyne receiver arrays. ¬© 1993 IEEE</t>
  </si>
  <si>
    <t>1750-1760</t>
  </si>
  <si>
    <t>Biittgenbach, Thomas H.</t>
  </si>
  <si>
    <t>California Institute of Technology</t>
  </si>
  <si>
    <t>Biittgenbach T.</t>
  </si>
  <si>
    <t>An Improved Solution for Integrated Array Optics in Quasi-Optical mm and Submm Receivers: The Hybrid Antenna</t>
  </si>
  <si>
    <t>10.1109/22.247920</t>
  </si>
  <si>
    <t>2-s2.0-0027683325</t>
  </si>
  <si>
    <t>['proposed antenna', 'frequency response', 'axial ratio', 'antenna gain']</t>
  </si>
  <si>
    <t>A one-point feed printed crossed dipole with a reflector antenna combined with a reactively loaded parasitic loop is proposed. The parasitic loop contributes mainly to the improvement of the antenna gain, and the reactive loads contribute mainly to the improvement of the frequency response of axial ratio. Using the proposed antenna, a 4-element printed array antenna is constructed for land mobile satellite communications to obtain highly efficient, compact, light weight array antenna.</t>
  </si>
  <si>
    <t>417-420</t>
  </si>
  <si>
    <t>Kazama, Y.</t>
  </si>
  <si>
    <t>Mitaka</t>
  </si>
  <si>
    <t>Japan Radio Corporation</t>
  </si>
  <si>
    <t>Kazama Y.</t>
  </si>
  <si>
    <t>One-point feed printed crossed dipole with a reflector antenna combined with a reactively loaded parasitic loop for land mobile satellite communication antennas</t>
  </si>
  <si>
    <t>10.1049/ip-h-2.1993.0068</t>
  </si>
  <si>
    <t>2-s2.0-0027683649</t>
  </si>
  <si>
    <t>['wiley company', 'spectral domain', 'radiation patterns', 'moment method', 'inc .,']</t>
  </si>
  <si>
    <t>The moment method in the spectral domain is used to perform a computer‚Äêaided analysis of printed antenna structures employing tuning stubs and electromagnetically coupled patches. Variation of the input VSWR versus frequency is obtained and the radiation patterns are plotted for various antenna configurations. Surface wave coupling effects are investigated. ¬© 1993 John Wiley &amp; Sons, Inc. Copyright ¬© 1993 Wiley Periodicals, Inc., A Wiley Company</t>
  </si>
  <si>
    <t>405-411</t>
  </si>
  <si>
    <t>60004305;60004305</t>
  </si>
  <si>
    <t>6507985286;6603139434</t>
  </si>
  <si>
    <t>Hayirlio«ßlu, Lale;Birand, M. Tuncay</t>
  </si>
  <si>
    <t>Ankara</t>
  </si>
  <si>
    <t>Middle East Technical University (METU)</t>
  </si>
  <si>
    <t>Hayirlio«ßlu L.</t>
  </si>
  <si>
    <t>Computer‚Äêaided analysis of microstrip antennas employing parasitic elements</t>
  </si>
  <si>
    <t>10.1002/mmce.4570030412</t>
  </si>
  <si>
    <t>2-s2.0-0027683753</t>
  </si>
  <si>
    <t>National Natural Science Foundation of China</t>
  </si>
  <si>
    <t>NSFC</t>
  </si>
  <si>
    <t>['‚ äòmeasurement', 'theoretical results', 'symmetrical dipole', 'simple formulae', 'several experiments', 'research aims', 'practical design', 'geological wells', 'francis ltd', 'em waves', 'electric field', 'different wells', 'buried non']</t>
  </si>
  <si>
    <t>The dependence of the electric field on frequency is studied in detail both theoretically and experimentally for the buried non-symmetrical dipole. This research aims at the ‚Äòmeasurement while drilling‚Äô with EM waves. It is interesting that there are many common features in different wells that may have greatly different depths. The theoretical results are confirmed by several experiments both in the laboratory and in geological wells. Based on these works, some simple formulae for practical design are given. ¬© 1993 Taylor &amp; Francis Ltd.</t>
  </si>
  <si>
    <t>787-793</t>
  </si>
  <si>
    <t>60027021;60027021</t>
  </si>
  <si>
    <t>7801374027;7102492347</t>
  </si>
  <si>
    <t>Zhiyu, Chen;Mingyao, Xia</t>
  </si>
  <si>
    <t>Institute of Electronics Chinese Academy of Sciences</t>
  </si>
  <si>
    <t>Zhiyu C.</t>
  </si>
  <si>
    <t>Frequency property of buried non-symmetrical dipole</t>
  </si>
  <si>
    <t>10.1080/00207219308907158</t>
  </si>
  <si>
    <t>2-s2.0-0027683903</t>
  </si>
  <si>
    <t>['wiley company', 'spectral domain', 'patch currents', 'numerical data', 'microstrip antenna', 'input impedance', 'inc .,', 'impedance bandwidth']</t>
  </si>
  <si>
    <t>The circular polarization characteristics of stacked microstrip antennas with a single coaxial feed are analyzed by the method of moments. Green's functions for the patch currents are formulated in the spectral domain. Galerkin's method is employed to determine the input impedance, far‚Äêfield patterns, impedance bandwidth, beamwidth, and axial‚Äêratio bandwidth. The possibility of improving the axial‚Äêratio bandwidth of the microstrip antenna is demonstrated. Numerical data are obtained to compare with the experimental data available in the literature. ¬© 1993 John Wiley &amp; Sons, Inc. Copyright ¬© 1993 Wiley Periodicals, Inc., A Wiley Company</t>
  </si>
  <si>
    <t>412-419</t>
  </si>
  <si>
    <t>60013983;60013983;60021624</t>
  </si>
  <si>
    <t>7006646156;55510527400;7501501369</t>
  </si>
  <si>
    <t>Au, T. ‚ÄêM;Luk, K. ‚ÄêM;Lee, K. ‚ÄêF</t>
  </si>
  <si>
    <t>United States;Hong Kong</t>
  </si>
  <si>
    <t>Toledo;Kowloon</t>
  </si>
  <si>
    <t>The University of Toledo;City University of Hong Kong</t>
  </si>
  <si>
    <t>60021624;60013983</t>
  </si>
  <si>
    <t>Au T.‚Äê.</t>
  </si>
  <si>
    <t>Moment method analysis of circularly polarized microstrip antenna with parasitic element</t>
  </si>
  <si>
    <t>10.1002/mmce.4570030413</t>
  </si>
  <si>
    <t>2-s2.0-0027684025</t>
  </si>
  <si>
    <t>['used together', 'underlying theory', 'symmetric stop', 'phase slippage', 'illuminated apertures', 'diagonal horns', 'corrugated horns', 'beam waveguides', 'beam waveguide']</t>
  </si>
  <si>
    <t>We present a technique for determining the power that is lost when the field in a beam waveguide is truncated by an axially-symmetric stop. The technique is based on the principles of multimode Gaussian optics. Although the underlying theory is applicable to any long-focal-length optical system, we concentrate on beam waveguides that are fed by diagonal horns, corrugated horns, smooth-walled conical horns, and uniformly-illuminated apertures. The results are summarized in a series of plots which show truncation loss as a function of normalised aperture size and phase slippage. These plots can be used together with single-mode design techniques to minimize the size of millimeter and submillimeter-wave optical systems. ¬© 1993 IEEE</t>
  </si>
  <si>
    <t>1408-1413</t>
  </si>
  <si>
    <t>60029024;60029024;60121115</t>
  </si>
  <si>
    <t>57206406892;57196700953;7005097473</t>
  </si>
  <si>
    <t>Murphy, J. Anthony;Egan, Aidan;Withington, Stafford</t>
  </si>
  <si>
    <t>United Kingdom;Ireland</t>
  </si>
  <si>
    <t>Cambridge;Maynooth</t>
  </si>
  <si>
    <t>Department of Physics;St Patrick's College, Maynooth</t>
  </si>
  <si>
    <t>60121115;60029024</t>
  </si>
  <si>
    <t>Murphy J.A.</t>
  </si>
  <si>
    <t>Truncation in Millimeter and Submillimeter-Wave Optical Systems</t>
  </si>
  <si>
    <t>10.1109/8.247781</t>
  </si>
  <si>
    <t>2-s2.0-0027684077</t>
  </si>
  <si>
    <t>['wiley company', 'thin substrates', 'proposed model', 'mnm approach', 'microstrip patches', 'inc .,', 'analysis procedure', 'also discussed', 'agreement validates']</t>
  </si>
  <si>
    <t>A CAD approach based on the multiport network model (MNM) has been developed for the design/analysis of rectangular microstrip patches gap‚Äêcoupled to a microstrip feed line. Microstrip patches on thin substrates with and without a dielectric cover layer are considered. Results of the analysis for sample two‚Äêport patches are compared with experimental and moment method results. The agreement validates the proposed model and the analysis procedure. Application of the MNM approach to CAD of linear series‚Äêfed arrays of gap‚Äêcoupled rectangular microstrip patches is also discussed, ¬© 1993 John Wiley &amp; Sons, Inc. Copyright ¬© 1993 Wiley Periodicals, Inc., A Wiley Company</t>
  </si>
  <si>
    <t>362-377</t>
  </si>
  <si>
    <t>60000221;60000221</t>
  </si>
  <si>
    <t>6602836798;7402592343</t>
  </si>
  <si>
    <t>Benalla, Abdelaziz;Gupta, K. C.</t>
  </si>
  <si>
    <t>Benalla A.</t>
  </si>
  <si>
    <t>CAD of two‚Äêport Gap‚Äêcoupled rectangular microstrip patches and linear series‚Äêfed arrays</t>
  </si>
  <si>
    <t>10.1002/mmce.4570030408</t>
  </si>
  <si>
    <t>2-s2.0-0027684548</t>
  </si>
  <si>
    <t>['¬© 1993', 'transmission properties', 'theoretical analysis', 'superconductive ring', 'shielding effect', 'series resistance', 'sensing coil', 'results given', 'paper deals', 'higher frequencies', 'band antenna', 'allowable limit']</t>
  </si>
  <si>
    <t>SQUIDs | stability performance | superconducting pick-up antennae</t>
  </si>
  <si>
    <t>This paper deals with the problem of operating mode stability in superconducting quantum magnetometers (SQMs) with negative internal feedback during measurements in strongly magnetically disturbed environments. We assume that the disturbing signal spectrum lies at higher frequencies than the measured signal spectrum. Decreasing the level of the disturbing signal applied to the SQUID below the allowable limit, which is given by the maximum slew rate of the SQM, is achieved using selective characteristics of a low-pass filter sensing antenna. Its transmission properties are based on the shielding effect of a superconductive ring with series resistance. The sensing coil of the SQM is put on to this. The conditions are derived under which the resistance to the impulse of disturbing magnetic fields is improved without deterioration of the magnetometer noise properties in comparison with the SQM with the wide-band antenna. Experiments are described and the results given which support the theoretical analysis. ¬© 1993.</t>
  </si>
  <si>
    <t>999-1004</t>
  </si>
  <si>
    <t>Cryogenics</t>
  </si>
  <si>
    <t>60078489;60078489;60078489</t>
  </si>
  <si>
    <t>6701507427;8372993700;6506491891</t>
  </si>
  <si>
    <t>Zrubec, V.;Ma≈àka, J.;Sk√°kala, M.</t>
  </si>
  <si>
    <t>Slovakia</t>
  </si>
  <si>
    <t>Bratislava</t>
  </si>
  <si>
    <t>Slovenskej akad√©mie vied √östav merania je vedeckou in≈°tit√∫ciou</t>
  </si>
  <si>
    <t>Zrubec V.</t>
  </si>
  <si>
    <t>Superconducting pick-up antenna with limited frequency bandwidth</t>
  </si>
  <si>
    <t>001122759390231C</t>
  </si>
  <si>
    <t>10.1016/0011-2275(93)90231-C</t>
  </si>
  <si>
    <t>2-s2.0-0027684566</t>
  </si>
  <si>
    <t>['‚ âà14', '‚ âà13', '‚ âà10', 'uniform weighting', 'uniform transmit', 'taylor weighting', 'reduces worst', 'receive patterns', 'receive gives', 'range clutter', 'previous case', 'paper evaluates', 'noise ratios', 'noise ratio', 'larger antenna', 'illumination function', 'either transmit', 'considerable impact', 'case clutter', 'best method', 'aperture diameter', 'antenna considerations', '7 db', '41 db', '2 db']</t>
  </si>
  <si>
    <t>Short-range clutter can limit the performance of radar systems using high pulse repetition frequency (PRF) waveforms. The paper evaluates the antenna pattern effects of short-range sea clutter for an example horizon search system. Clutter-to-noise ratio (C/N) and signal-to-noise ratios (S/N) are evaluated for several antenna designs, in which aperture illumination weighting can be achieved on either transmit or receive. Three antenna effects are studied: illumination function (pattern), elevation of the pattern with respect to horizontal (`upspot'), and aperture diameter. Of several cases examined, one with uniform weighting on transmit and Taylor weighting on receive gives the most desirable clutter response. With reference to the case of uniform transmit and receive patterns with no upspot, a Taylor receive pattern with -42 dB sidelobe level in combination with an optimal upspot angle reduces worst-case clutter by ‚âà14.7 dB at the expense of ‚âà10.25 dB increase in the transmit power required to equalize S/N to that of the reference. Doubling the aperture diameter further reduces worst-case clutter by ‚âà13.2 dB, with required transmit power actually decreasing (‚âà12.41 dB) over the previous case. Here, the cost is a larger antenna. Antenna considerations are shown to have a considerable impact on clutter and to be perhaps the best method of reducing radar dynamic range requirements.</t>
  </si>
  <si>
    <t>309-315</t>
  </si>
  <si>
    <t>60005248;60005248</t>
  </si>
  <si>
    <t>56362878300;6701848950</t>
  </si>
  <si>
    <t>Reilly, J. P.;Snelling, W. E.</t>
  </si>
  <si>
    <t>Baltimore</t>
  </si>
  <si>
    <t>Johns Hopkins University</t>
  </si>
  <si>
    <t>Reilly J.P.</t>
  </si>
  <si>
    <t>Short-range sea clutter in horizon search radar systems: Antenna pattern effects</t>
  </si>
  <si>
    <t>10.1049/ip-f-2.1993.0043</t>
  </si>
  <si>
    <t>2-s2.0-0027684611</t>
  </si>
  <si>
    <t>['spectral iteration', 'selective surfaces', 'maximum separation', 'illustrative example', 'grating responses', 'examined experimentally', 'curved surfaces', 'current distributions', 'crossed dipoles']</t>
  </si>
  <si>
    <t>The development of a range of convoluted elements derived from linear and crossed dipoles is traced and their performance is examined experimentally and analytically in relation to their application to frequency-selective surfaces. These configurations give highly packed structures for use on curved surfaces or where maximum separation from the onset of grating responses is required. Two potential methods of analysis are a Floquet modal approach and a spectral iteration. Current distributions on an illustrative example are given. Calculated transmission responses of a convoluted dipole containing three cycles agree well with experiment.</t>
  </si>
  <si>
    <t>378-380</t>
  </si>
  <si>
    <t>106628186;106628186;106628186</t>
  </si>
  <si>
    <t>7201840709;7006397700;24328775100</t>
  </si>
  <si>
    <t>Parker, E. A.;El Sheikh, A. N.A.;Lima, A. C.C.</t>
  </si>
  <si>
    <t>The University</t>
  </si>
  <si>
    <t>Parker E.</t>
  </si>
  <si>
    <t>Convoluted frequency-selective array elements derived from linear and crossed dipoles</t>
  </si>
  <si>
    <t>10.1049/ip-h-2.1993.0060</t>
  </si>
  <si>
    <t>2-s2.0-0027684748</t>
  </si>
  <si>
    <t>['wiley company', 'theoretical foundations', 'probe impedance', 'particular attention', 'inc .,', 'experimental results', 'every model', 'article presents']</t>
  </si>
  <si>
    <t>This article presents and compares the basic analytical expressions currently used to evaluate the probe impedance in coaxial‚Äêfed microstrip patches. These expressions belong essentially to two different families, namely the quasi‚Äêstatic models and the ‚Äútwo‚Äêinfinite‚Äêparallel‚Äêplates‚Äù models. Particular attention is paid to the theoretical foundations of every model. The qualities of each family are ascertained by comparing their predictions to experimental results and to rigorous numerical results obtained using a full‚Äêwave numerical model. ¬© 1993 John Wiley &amp; Sons, Inc. Copyright ¬© 1993 Wiley Periodicals, Inc., A Wiley Company</t>
  </si>
  <si>
    <t>397-404</t>
  </si>
  <si>
    <t>60008134;60008134;60028186</t>
  </si>
  <si>
    <t>7003360986;7003385210;7006665188</t>
  </si>
  <si>
    <t>Laheurte, J. M.;Papiernik, A.;Mosig, J. R.</t>
  </si>
  <si>
    <t>Switzerland;France</t>
  </si>
  <si>
    <t>Lausanne;Paris</t>
  </si>
  <si>
    <t>Swiss Federal Institute of Technology Lausanne;CNRS Centre National de la Recherche Scientifique</t>
  </si>
  <si>
    <t>60028186;60008134</t>
  </si>
  <si>
    <t>Laheurte J.</t>
  </si>
  <si>
    <t>Modeling of coaxial feed contribution to microstrip antenna impedance: Comparison of a numerical model with analytical expressions</t>
  </si>
  <si>
    <t>10.1002/mmce.4570030411</t>
  </si>
  <si>
    <t>2-s2.0-0027684781</t>
  </si>
  <si>
    <t>['wiley company', 'possible explanation', 'inc .,', 'erroneous solutions', 'article presents']</t>
  </si>
  <si>
    <t>basis functions | moment methods | Wire antennas</t>
  </si>
  <si>
    <t>It was observed in an article by Klein and Mittra that when the method of moments is used to solve thin‚Äêwire antenna problems, erroneous, highly oscillatory solutions can occur when certain wide‚Äêpulse testing functions are used. This article presents a possible explanation of the occurrence of these erroneous solutions. ¬© 1993 John Wiley &amp; Sons, Inc. Copyright ¬© 1993 Wiley Periodicals, Inc., A Wiley Company</t>
  </si>
  <si>
    <t>786-787</t>
  </si>
  <si>
    <t>Rynne, Bryan P.</t>
  </si>
  <si>
    <t>Edinburgh</t>
  </si>
  <si>
    <t>Heriot-Watt University</t>
  </si>
  <si>
    <t>Rynne B.</t>
  </si>
  <si>
    <t>A NOTE ON THE TESTING FUNCTIONS USED IN THE METHOD‚ÄêOF‚ÄêMOMENTS SOLUTION OF THIN‚ÄêWIRE ANTENNA PROBLEMS</t>
  </si>
  <si>
    <t>10.1002/mop.4650061318</t>
  </si>
  <si>
    <t>2-s2.0-0027684837</t>
  </si>
  <si>
    <t>['spherical mirrors', 'screen configuration', 'regularization technique', 'optical models', 'open resonators', 'open resonator', 'local coordinates', 'jacobi polynomials', 'intermode interaction', 'infinite system', 'francis group', 'equivalently reduced', 'electromagnetic waves', 'done using', 'diffraction problem', 'debye potentials', 'application boundaries']</t>
  </si>
  <si>
    <t>A mathematically rigorous solution is obtained for the diffraction problem of electromagnetic waves on an axially symmetric system of two infinitely thin perfectly conducting spherical caps. This screen configuration is a model of both open resonators with spherical mirrors and two mirror spherical antennas. The initial boundary problem is equivalently reduced to the infinite system of linear algebraic equations of the form (I + H)x = b with the compact operator H in the Hilbert space l2; the reduction is done using the variables separation technique in the local coordinates, theorems on addition of the Debye potentials, and the regularization technique for dual series equations involving the Jacobi polynomials. The spectrum of complex eigen frequencies of an open resonator with spherical mirrors is calculated, and classification is established for its own modes. Application boundaries are obtained for quasi-optical models of open resonators. A new theoretical model is suggested for the phenomenon of the intermode interaction in an open resonator with spherical mirrors. ¬© 1993 Taylor &amp; Francis Group, LLC.</t>
  </si>
  <si>
    <t>375-388</t>
  </si>
  <si>
    <t>Svishchov, Yu V.</t>
  </si>
  <si>
    <t>Svishchov Y.</t>
  </si>
  <si>
    <t>Electromagnetic wave diffraction on axially symmetric system of two spherical caps</t>
  </si>
  <si>
    <t>10.1080/02726349308908359</t>
  </si>
  <si>
    <t>2-s2.0-0027684858</t>
  </si>
  <si>
    <t>['results using', 'reduced kernel', 'probe length', 'probe current', 'piecewise sinusoidal', 'numerical computations', 'input impedance', 'form convenient', 'feed position', 'expansion modes', 'exact kernel', 'entire basis', 'dr antenna', 'dielectric constant', 'derived rigorously', 'delta gap', 'coaxial probe']</t>
  </si>
  <si>
    <t>A hemispherical dielectric resonator antenna fed by a coaxial probe is studied both theoretically and experimentally. The Green‚Äôs function for the evaluation of the input impedance is derived rigorously and expressed in a form convenient for numerical computations. The method of moments is used to obtain the probe current from which the input impedance of the DR antenna is calculated. Both delta gap and magnetic frill source models are considered in this paper. Moreover, the results using a reduced kernel as well as the exact kernel are presented. Both entire basis (EB) and piecewise sinusoidal (PWS) expansion modes are used and the results are compared. The effects of the probe length, feed position, and dielectric constant on the input impedance are discussed. Finally, the theoretical radiation patterns for the first three resonant modes (TE111, TM101, and TE221) of the DR antenna are presented. ¬© 1993 IEEE</t>
  </si>
  <si>
    <t>1390-1398</t>
  </si>
  <si>
    <t>60002798;60002798;60008928;60025278</t>
  </si>
  <si>
    <t>Tsinghua University;Hong Kong Polytechnic University;Chinese University of Hong Kong</t>
  </si>
  <si>
    <t>60025278;60008928;60002798</t>
  </si>
  <si>
    <t>Leung K.W.</t>
  </si>
  <si>
    <t>Theory and Experiment of a Coaxial Probe Fed Hemispherical Dielectric Resonator Antenna</t>
  </si>
  <si>
    <t>10.1109/8.247779</t>
  </si>
  <si>
    <t>2-s2.0-0027684872</t>
  </si>
  <si>
    <t>N66604-90-C-0685</t>
  </si>
  <si>
    <t>['two parts', 'propagates slowly', 'particular distance', 'part attenuates', 'optimum waveform', 'maximum intensity', 'inverse power', 'impulsive current', 'impulse wave', 'first part', 'fields excited', 'exponential decay', 'exact solutions', 'em pulse', 'em fields', 'decays exponentially', 'conducting medium', 'antenna current']</t>
  </si>
  <si>
    <t>Exact solutions are given for the transient electro magnetic (EM) fields excited by an electric dipole antenna with an impulsive current in a conducting medium. There exists an optimum waveform for the antenna current which can generate an EM pulse with a maximum intensity at a particular distance from the antenna. It is found that the EM fields of an EM pulse excited by an antenna in a conducting medium can be divided into two parts. The first part is an impulse wave which propagates with the speed of light (1 / ‚àöŒº‚àä) and decays exponentially. The second part builds up gradually and propagates slowly, and more importantly this part attenuates as an inverse power of distance which is a much slower rate than an exponential decay. ¬© 1993 IEEE</t>
  </si>
  <si>
    <t>1414-1421</t>
  </si>
  <si>
    <t>60031707;60031707</t>
  </si>
  <si>
    <t>57201897045;7410241808</t>
  </si>
  <si>
    <t>Song, Jiming;Chen, Kun Mu</t>
  </si>
  <si>
    <t>Song J.</t>
  </si>
  <si>
    <t>Propagation of EM Pulses Excited by an Electric Dipole in a Conducting Medium</t>
  </si>
  <si>
    <t>10.1109/8.247782</t>
  </si>
  <si>
    <t>2-s2.0-0027684873</t>
  </si>
  <si>
    <t>['wiley company', 'undesired effects', 'significant distortions', 'radiation pattern', 'numerical results', 'microstrip antenna', 'inc .,', 'cylindrical substrate', 'curvature radius', 'certain combinations']</t>
  </si>
  <si>
    <t>cylindrical curvature | lossy cover layer | magnetic line source | Microstrip patch | radiation pattern</t>
  </si>
  <si>
    <t>The fundamental radiation characteristics of a microstrip antenna on a cylindrical substrate with a thick cover layer is investigated by using a magnetic line source model. Numerical results for the radiation pattern and conductance are presented. It is found that certain combinations of curvature radius and cover‚Äêlayer thickness could result in significant distortions in the pattern. Lossy dielectric material may be used to reduce these undesired effects. ¬© 1993 John Wiley &amp; Sons, Inc. Copyright ¬© 1993 Wiley Periodicals, Inc., A Wiley Company</t>
  </si>
  <si>
    <t>762-766</t>
  </si>
  <si>
    <t>60000009;60000221;60000221</t>
  </si>
  <si>
    <t>7004169306;7402592343;7403319959</t>
  </si>
  <si>
    <t>Hoorfar, Ahmad;Gupta, K. C.;Chang, D. C.</t>
  </si>
  <si>
    <t>Boulder;Villanova</t>
  </si>
  <si>
    <t>University of Colorado Boulder;Villanova University</t>
  </si>
  <si>
    <t>60000221;60000009</t>
  </si>
  <si>
    <t>Hoorfar A.</t>
  </si>
  <si>
    <t>Effects of cylindrical curvature on radiation from a microstrip antenna with a thick cover layer</t>
  </si>
  <si>
    <t>10.1002/mop.4650061312</t>
  </si>
  <si>
    <t>2-s2.0-0027684979</t>
  </si>
  <si>
    <t>['two parallel', 'time characteristics', 'representation formula', 'reflected space', 'reflected characteristics', 'oscillating normally', 'main result', 'iterated maps', 'interval yield', 'initial data', 'finite number', 'careful analysis']</t>
  </si>
  <si>
    <t>We study the phenomenon of a wave reflected back and forth between two parallel, perfectly conducting plates, one of which is oscillating normally to itself. By making a careful analysis of the reflected space-time characteristics we establish a representation formula for the solutions of Maxwell‚Äôs equations in terms of the initial data. This representation formula together with properties of iterated maps of an interval yield a precise asymptotic description as t‚Üí‚àû of the solutions. Our main result is that if there is a finite number of reflected characteristics which are periodic, then the energy of all solutions grows without bound as t‚Üí‚àû irrespective of the initial data. ¬© 1993 IEEE</t>
  </si>
  <si>
    <t>1365-1370</t>
  </si>
  <si>
    <t>Cooper, Jeffery</t>
  </si>
  <si>
    <t>College Park</t>
  </si>
  <si>
    <t>University of Maryland, College Park</t>
  </si>
  <si>
    <t>Cooper J.</t>
  </si>
  <si>
    <t>Long-Time Behavior and Energy Growth for Electromagnetic Waves Reflected by a Moving Boundary</t>
  </si>
  <si>
    <t>10.1109/8.247776</t>
  </si>
  <si>
    <t>2-s2.0-0027685293</t>
  </si>
  <si>
    <t>['transmission line', 'signal injection', 'signal flow', 'plate waveguides', 'performance monitoring', 'linear array', 'ground plane', 'fault isolation', 'electromagnetic coupling', 'dipole elements', 'dipole element', 'array aperture', 'aperture distributions']</t>
  </si>
  <si>
    <t>In a performance monitoring / fault isolation and correction (PM / FIC) system of a phased array antenna, a built-in transmission line embedded in the array aperture is used for signal injection to check the signal flow. In this paper we present an analysis of electromagnetic coupling between a twin-lead transmission line and a dipole element. An analysis of the coupling between a transmission line and a linear array of dipole elements over a ground plane has also been developed. The calculated data compared with the measured data favorably. A development of microstrip line signal injectors embedded in an aperture of a 2 D array of monopole excited parallel-plate waveguides has also been made. Measurements of the feed and aperture distributions have been made and the measured distributions follow the designed feed distribution closely. ¬© 1993 IEEE</t>
  </si>
  <si>
    <t>1464-1469</t>
  </si>
  <si>
    <t>7102122144;7501503817</t>
  </si>
  <si>
    <t>Chu, Ruey Shi;Lee, Kuan Min</t>
  </si>
  <si>
    <t>Chu R.</t>
  </si>
  <si>
    <t>Analysis and Development of a Signal Injection Technique Using Transmission Lines Embedded at Phased Array Aperture</t>
  </si>
  <si>
    <t>10.1109/8.247790</t>
  </si>
  <si>
    <t>2-s2.0-0027685294</t>
  </si>
  <si>
    <t>['theoretical results', 'spectral domain', 'power transfer', 'moment method', 'modular design', 'models developed', 'layers makes', 'individual transitions', 'encouraging results', 'analyzed using']</t>
  </si>
  <si>
    <t>The problem of modular design of multilayer printed arrays is addressed in this paper. The use of slot as a means of power transfer between layers makes the use of multilayer feeding networks attractive. In this paper four different transitions are analyzed using the moment method in the spectral domain. A typical equivalent circuit valid for all these transitions is used, and the comparison between the theoretical results and measurements is presented. Finally, the models developed for the individual transitions are used in the design of three multilayer antennas. In most of the cases, encouraging results are obtained in one design iteration. ¬© 1993 IEEE</t>
  </si>
  <si>
    <t>1371-1378</t>
  </si>
  <si>
    <t>56039602600;7006061921</t>
  </si>
  <si>
    <t>Herscovici, Naftali I.;Pozar, D. M.</t>
  </si>
  <si>
    <t>Herscovici N.</t>
  </si>
  <si>
    <t>Analysis and Design of Multilayer Printed Antennas: A Modular Approach</t>
  </si>
  <si>
    <t>10.1109/8.247777</t>
  </si>
  <si>
    <t>2-s2.0-0027685426</t>
  </si>
  <si>
    <t>['¬© 1993', 'tremendous decrease', 'rights reserved', 'identical elements', 'exact calculation', 'electrical engineers', 'current distribution', 'computation time', 'complex shaped']</t>
  </si>
  <si>
    <t>Microstrip antennas | Microstrip arrays</t>
  </si>
  <si>
    <t>To reduce the number of unknowns in the moment method solution for microstrip array antennas consisting of complex shaped but identical elements, the current distribution of each element is approximated by the distribution of an isolated single element. The so computed coupling shows excellent agreement with an exact calculation and leads to a tremendous decrease in computation time. ¬© 1993, The Institution of Electrical Engineers. All rights reserved.</t>
  </si>
  <si>
    <t>1809-1810</t>
  </si>
  <si>
    <t>Heinstadt, J.</t>
  </si>
  <si>
    <t>Heinstadt J.</t>
  </si>
  <si>
    <t>New approximation technique for current distribution in microstrip array antennas</t>
  </si>
  <si>
    <t>10.1049/el:19931203</t>
  </si>
  <si>
    <t>2-s2.0-0027685525</t>
  </si>
  <si>
    <t>['¬© 1993', 'rights reserved', 'return loss', 'experimental results', 'electrical engineers', 'computed theoretically', 'analysis method']</t>
  </si>
  <si>
    <t>Antenna theory | Microstrip antennas</t>
  </si>
  <si>
    <t>An analysis method for the broadband rectangular microstrip antenna geometry using E-plane gap coupling is considered. The return loss of the designed broadband antenna is computed theoretically and compared with experimental results for illustrating the usefulness of this method. ¬© 1993, The Institution of Electrical Engineers. All rights reserved.</t>
  </si>
  <si>
    <t>1907-1909</t>
  </si>
  <si>
    <t>60012704;60012704;60012704;60012704;60012704</t>
  </si>
  <si>
    <t>7404469777;7003374067;55252166400;24785602500;7404118511</t>
  </si>
  <si>
    <t>Cho, Y. K.;Son, G. H.;Chae, G. S.;Yun, L. H.;Hong, J. P.</t>
  </si>
  <si>
    <t>Improved analysis method for broadband rectangular microstrip antenna geometry using E-plane gap coupling</t>
  </si>
  <si>
    <t>10.1049/el:19931269</t>
  </si>
  <si>
    <t>2-s2.0-0027685528</t>
  </si>
  <si>
    <t>['weakly coupled', 'turnon period', 'pulsed operation', 'pulsed arrays', 'preventing overheating', 'paper describes', 'observed throughout', 'locking behavior', 'locked operation', 'khz bias', 'ghz quasi', 'four arrangement', 'eight elements', 'dc power', 'cw operation', '2 w']</t>
  </si>
  <si>
    <t>This paper describes the design and operation of a 60-GHz quasi-optical power combining array employing IMPATT diodes in a weakly coupled, hybrid, two by four arrangement. Frequency-locked operation of all eight elements has been achieved for CW operation with a total radiated power in excess of 2 W. Approximately 61 W of DC power was required to drive the array. Pulsed operation was investigated as a means of preventing overheating. In particular, the locking behavior of these pulsed arrays was characterized. The array was pulsed with a 2-ŒºS rise time, low duty cycle, 4-kHz bias. Under these conditions, single frequency operation was observed throughout the duration of the pulse, including the turnon period. ¬© 1993 IEEE</t>
  </si>
  <si>
    <t>1845-1850</t>
  </si>
  <si>
    <t>60007776;60007776;60007776</t>
  </si>
  <si>
    <t>7402001613;7005999684;7202478023</t>
  </si>
  <si>
    <t>Davidson, Andrew C.;Wise, Frank W.;Compton, Richard C.</t>
  </si>
  <si>
    <t>Davidson A.</t>
  </si>
  <si>
    <t>A 60-GHz IMPATT Oscillator Array with Pulsed Operation</t>
  </si>
  <si>
    <t>10.1109/22.247931</t>
  </si>
  <si>
    <t>2-s2.0-0027685577</t>
  </si>
  <si>
    <t>['including 33', 'advanced millimeter', 'added efficiency', '47 in0', '44 ghz']</t>
  </si>
  <si>
    <t>Advanced millimeter-wave systems require high-efficiency MMIC power amplifiers to reduce physical size, weight, and prime power consumption. A high-efficiency MMIC power amplifier was developed using 0.15 um InP-based (Al0.48In0.53As/Ga0.47 In0.53 As) HEMT MMIC technology. The amplifier demonstrated state-of-the-art power performance, including 33% power-added efficiency and 24 dBm output power at 44 GHz. Potential applications include communication terminals and phased array antennas. ¬© 1993 IEEE</t>
  </si>
  <si>
    <t>420-422</t>
  </si>
  <si>
    <t>100546531;100546531;100546531;60021939;60021939;60021939;60021939;60021939;60021939;60021939</t>
  </si>
  <si>
    <t>57216388157;56999024100;36951826100;57213737054;7201836109;7403593442;6602846674;35460459600;56883072100;7005184321</t>
  </si>
  <si>
    <t>Lam, W.;Kurdoghlian, A.;Igawa, A.;Matloubian, M.;Larson, L.;Chou, C.;Jelloian, L.;Brown, A.;Thompson, M.;Ngo, C.</t>
  </si>
  <si>
    <t>Malibu;Torrance</t>
  </si>
  <si>
    <t>HRL Laboratories;Hughes Microelectronic Circuits Div</t>
  </si>
  <si>
    <t>60021939;100546531</t>
  </si>
  <si>
    <t>Lam W.</t>
  </si>
  <si>
    <t>High-Efficiency InP-Based HEMT MMIC Power Amplifier for Q-Band Applications</t>
  </si>
  <si>
    <t>10.1109/75.248519</t>
  </si>
  <si>
    <t>2-s2.0-0027693731</t>
  </si>
  <si>
    <t>['statistical study', 'since 1987', 'recently reconfigured', 'large number', 'fault rate', 'failures given', 'expected number', 'eliminate interference', 'distribution system', 'connected line', 'actual number']</t>
  </si>
  <si>
    <t>Since 1987 the Upper Peninsula Power Company (UPPCO) has been experiencing a large number of lightning arrester failures on a portion of their distribution system in southern Marquette County, Michigan. It was in the area of the Navy's Extremely Low Frequency (ELF) antenna where the distribution system had been recently reconfigured so that the transformers were connected line-to-line in order to eliminate interference from the antenna. A study was done which determined that the system was susceptible to ferroresonance during single line faults under lightly loaded conditions and that the overvoltages experienced could be causing the lightning arrester failures. This conclusion was further strengthened by a statistical study which compared the actual number of failures to an expected number of failures given the systems loading condition and fault rate. ¬© 1993 IEEE</t>
  </si>
  <si>
    <t>1189-1195</t>
  </si>
  <si>
    <t>November/December 1993</t>
  </si>
  <si>
    <t>60016536;;60024728</t>
  </si>
  <si>
    <t>6603692591;57198384763;7005720820</t>
  </si>
  <si>
    <t>Bohmann, L. J.;McDaniel, J.;Stanek, E. K.</t>
  </si>
  <si>
    <t>Rolla;Houghton</t>
  </si>
  <si>
    <t>Missouri University of Science and Technology;Michigan Technological University</t>
  </si>
  <si>
    <t>60024728;60016536</t>
  </si>
  <si>
    <t>Bohmann L.</t>
  </si>
  <si>
    <t>Lightning arrester failure and ferroresonance on a distribution system</t>
  </si>
  <si>
    <t>10.1109/28.259732</t>
  </si>
  <si>
    <t>2-s2.0-0027694020</t>
  </si>
  <si>
    <t>['wiley company', 'sudden change', 'sidelobe canceler', 'main antenna', 'interference signals', 'interference signal', 'inc .,', 'fundamental characteristics', 'desired signal', 'conventional slc', 'computer simulation', 'auxiliary antennas', 'auxiliary antenna', 'automatically suppresses', 'adjusted automatically']</t>
  </si>
  <si>
    <t>adaptive filter | Gram‚ÄêSchmidt | Sidelobe canceler | switching the number of auxiliary antennas</t>
  </si>
  <si>
    <t>In the SLC (sidelobe canceler) which automatically suppresses the interference signals received by the side‚Äêlobe of the main antenna, there is a problem of suppression of the desired signal in addition to the interference signal if the desired signal power in the auxiliary antenna is larger than the receiver noise power and if the number of received interference signal is smaller than that of the auxiliary antennas. In this paper, an SLC is proposed in which the number of auxiliary antennas is adjusted automatically to be equal to that of the interference signals so that the problem of suppression of the desired signal is prevented. It is assumed here that both the desired signal and the interference signals have narrow band widths. In this SLC, with a view to adjusting the number of auxiliary antennas and the weights at the same time, the Gram‚ÄêSchmidt SLC (GS‚ÄêSLC) is used so that a sudden change of the input‚Äêoutput signal power ratio of the Gram‚ÄêSchmidt processor is detected and the number of auxiliary antennas are made to coincide with that of the received interference signals. By way of a computer simulation, the fundamental characteristics of the present GS‚ÄêSLC are evaluated. It is confirmed that the desired signal preservation property is improved in comparison with the conventional SLC. Copyright ¬© 1993 Wiley Periodicals, Inc., A Wiley Company</t>
  </si>
  <si>
    <t>105-116</t>
  </si>
  <si>
    <t>7003602516;7003883695</t>
  </si>
  <si>
    <t>Harasawa, Yasuhiro;Kirimoto, Tetsuo</t>
  </si>
  <si>
    <t>Harasawa Y.</t>
  </si>
  <si>
    <t>A gram‚Äêschmidt SLC controlling the number of auxiliary antennas to preserve desired signals</t>
  </si>
  <si>
    <t>10.1002/ecja.4410761110</t>
  </si>
  <si>
    <t>2-s2.0-0027694053</t>
  </si>
  <si>
    <t>['video line', 'tv sound', 'three types', 'picture quality', 'multipath distortions', 'intermodulation interferences', 'integrated circuit', 'indicator sensitive', 'fm broadcasting', 'diversity systems', 'copyright 1993', 'adjacent channel']</t>
  </si>
  <si>
    <t>The presented mobile multiantenna scanning diversity system for terrestrial TV highly improves the reception in cars making use of four active broadband TV antennas. The diversity systems for picture and sound choose independently from each other the optimum antenna signal among the four TV antennas based upon different diversity criteria. An indicator sensitive to the RF level evaluates the picture quality at the end of each video line. The TV sound is optimized by application of a diversity processor originally designed for FM broadcasting and is available now as an integrated circuit. This processor is sensitive to noise, multipath distortions, and three types of interferences: cochannel, adjacent channel, and intermodulation interferences. Copyright 1993 by the American Geophysical Union.</t>
  </si>
  <si>
    <t>1267-1276</t>
  </si>
  <si>
    <t>7004170397;7005458300;7004522558</t>
  </si>
  <si>
    <t>Lindenmeier, H. K.;Reiter, L. M.;Hopf, J. F.</t>
  </si>
  <si>
    <t>Lindenmeier H.</t>
  </si>
  <si>
    <t>Multiantenna scanning diversity system for mobile TV reception with independently optimized picture and sound quality</t>
  </si>
  <si>
    <t>10.1029/93RS01830</t>
  </si>
  <si>
    <t>2-s2.0-0027694073</t>
  </si>
  <si>
    <t>['various parameters', 'slant paths', 'revised method', 'rainfall medium', 'present paper', 'numerical results', 'lognormal form', 'interference problem', 'intended satellite', 'general problem', 'elevation angles', 'copyright 1993']</t>
  </si>
  <si>
    <t>The main propagation effect on interference between adjacent Earth‚Äêspace paths is differential rain attenuation. In the present paper, a revised method to predict the rain differential attenuation statistics is proposed which is based on a model convective rain cell structure of the rainfall medium and the assumption that the point rainfall statistics follows a lognormal form. Moreover, the revised model analyzes the general problem of differential attenuation taking into account the difference of elevation angles of the slant paths under consideration. The numerical results are referred to the interference problem from an adjacent satellite located in symmetrical geostationary positions in relation to the intended satellite and examine the significance of the difference of elevation angles for various parameters of the problem. Copyright 1993 by the American Geophysical Union.</t>
  </si>
  <si>
    <t>1071-1086</t>
  </si>
  <si>
    <t>7102473576;57203101499;6602659059</t>
  </si>
  <si>
    <t>Kanellopoulos, J. D.;Ventouras, S.;Vazouras, C. N.</t>
  </si>
  <si>
    <t>Kanellopoulos J.</t>
  </si>
  <si>
    <t>A revised model for the prediction of differential rain attenuation on adjacent Earth‚Äêspace propagation paths</t>
  </si>
  <si>
    <t>10.1029/93RS01404</t>
  </si>
  <si>
    <t>2-s2.0-0027694092</t>
  </si>
  <si>
    <t>['universal two', 'time diversity', 'symbol interleavers', 'state interleaver', 'multidimensional trellis', 'matched bit', 'interleaving delay', 'general rules', 'fading channels', 'extensively evaluated', 'dimensional trellis']</t>
  </si>
  <si>
    <t>antenna diversity | cellular mobile radio | Coded modulation | fading channels | interleaver | phase-shift keying | time diversity</t>
  </si>
  <si>
    <t>Good coded modulation for fading channels requires built-in time diversity. Under a constraint on the interleaving delay, we construct and compare three categories of coded MDPSK schemes with 4 M 16 for fading channels: two-dimensional trellis-coded, multidimensional trellis-coded, and block-coded. General rules for designing these schemes and their matched bit or symbol interleavers are given. A universal two-state interleaver is shown. These schemes have been extensively evaluated, using computer simulations, for a narrowband cellular radio channel at different vehicle speeds, with and without twofold antenna diversity. ¬© 1993 IEEE</t>
  </si>
  <si>
    <t>1820-1839</t>
  </si>
  <si>
    <t>IEEE Transactions on Information Theory</t>
  </si>
  <si>
    <t>Wei, Lee Fang</t>
  </si>
  <si>
    <t>Murray</t>
  </si>
  <si>
    <t>Nokia Bell Labs</t>
  </si>
  <si>
    <t>Wei L.</t>
  </si>
  <si>
    <t>Coded MDPSK with Built-In Time Diversity for Fading Channels</t>
  </si>
  <si>
    <t>10.1109/18.265492</t>
  </si>
  <si>
    <t>2-s2.0-0027694744</t>
  </si>
  <si>
    <t>['performance specifications', 'incident wave', 'film optics', 'exact thicknesses', 'dielectric layers', 'aided design']</t>
  </si>
  <si>
    <t>A procedure for the computer-aided design of dielectric layered frequency selective surfaces is introduced. Emphasis is placed on millimeter-wave applications involving circularly polarized incident signals. The design routine incorporates filter theory for high-low impedance structures and analysis concepts known from thin-film optics which include the losses of the materials. For given material constants and performance specifications, the exact thicknesses of the dielectric layers as well as the angle of the incident wave are determined by applying optimization strategies. A 40-GHz design example demonstrates the attractiveness of the design in circularly polarized millimeter-wave frequency selective surface applications. ¬© 1993 IEEE</t>
  </si>
  <si>
    <t>1588-1591</t>
  </si>
  <si>
    <t>Bornemann, Jens</t>
  </si>
  <si>
    <t>Centre for Advanced Materials and Related Technology</t>
  </si>
  <si>
    <t>Bornemann J.</t>
  </si>
  <si>
    <t>Computer-Aided Design of Multilayered Dielectric Frequency Selective Surfaces for Circularly Polarized Millimeter-Wave Applications</t>
  </si>
  <si>
    <t>10.1109/8.267362</t>
  </si>
  <si>
    <t>2-s2.0-0027694781</t>
  </si>
  <si>
    <t>['scattering behavior', 'refractive index', 'quite sensitive', 'numerically efficient', 'interesting features', 'indirect mode', 'host dielectric', 'either free', 'dielectric slab', 'cant angle', 'calculations focus', 'analytical approach']</t>
  </si>
  <si>
    <t>The characteristic spectral response of an inclined strip grating, either free-standing or embedded in a dielectric slab, is quite sensitive to variations of the cant angle. It is an attractive frequency selective surface which allows considerable design flexibility through the cant angle and / or the refractive index of the host dielectric. The inclined strip grating is analyzed through an indirect mode-matching technique based on Green‚Äôs second theorem. The analytical approach is simple and numerically efficient. Calculations focus on the effect of cant angle on the magnitude of all propagating Floquet harmonics on both sides of the structure. Interesting features of the scattering behavior are discussed. ¬© 1993 IEEE</t>
  </si>
  <si>
    <t>1473-1480</t>
  </si>
  <si>
    <t>60015331;60015331</t>
  </si>
  <si>
    <t>16550332700;7003881102</t>
  </si>
  <si>
    <t>Kriezis, Emmanouil;Chrissoulidis, Dimitris P.</t>
  </si>
  <si>
    <t>Thessaloniki</t>
  </si>
  <si>
    <t>Aristotle University of Thessaloniki</t>
  </si>
  <si>
    <t>Kriezis E.</t>
  </si>
  <si>
    <t>EM-Wave Scattering by an Inclined Strip Grating</t>
  </si>
  <si>
    <t>10.1109/8.267346</t>
  </si>
  <si>
    <t>2-s2.0-0027694921</t>
  </si>
  <si>
    <t>['zero function', 'synthesize arrays', 'square error', 'quadratic program', 'proposed method', 'planar arrays', 'phase response', 'including rectangular', 'error sense', 'different shapes', 'design template', 'chebyshev polynomial', 'best approximate', 'basic idea', 'array response', 'array accurately', 'arbitrary shape', 'arbitrary array', 'appropriate pattern']</t>
  </si>
  <si>
    <t>In this paper, a highly flexible synthesis method for an arbitrary array is proposed to best approximate a desired array pattern in a minimum-mean-square-error sense. The basic idea of the technique is to form a quadratic program with its cost function given by the mean-square error between the array response and a properly selected pattern described by a known mathematical function. This quadratic program can be a constrained or unconstrained optimization problem depending on the requirements of the desired array pattern. In formulating the quadratic program, no assumption has been made on the gain / phase response or characteristics of the individual array elements. Therefore, one can synthesize an array of arbitrary shape to any appropriate pattern with the characteristic of the array elements taken into consideration as long as one is able to model the array accurately. In this paper, the proposed method is used to synthesize arrays of different shapes, linear as well as planar arrays (including rectangular and circular planar arrays), using a Chebyshev polynomial or zero function as a design template, to illustrate the feasibility of the proposed method. ¬© 1993 IEEE</t>
  </si>
  <si>
    <t>1541-1550</t>
  </si>
  <si>
    <t>60019102;60005510;60005510</t>
  </si>
  <si>
    <t>24341657200;7102842938;35588578100</t>
  </si>
  <si>
    <t>Ng, Boon Poh;Er, Meng Hwa;Kot, Chichung</t>
  </si>
  <si>
    <t>Singapore City;Singapore City</t>
  </si>
  <si>
    <t>Singapore Polytechnic;Nanyang Technological University</t>
  </si>
  <si>
    <t>60019102;60005510</t>
  </si>
  <si>
    <t>Ng B.</t>
  </si>
  <si>
    <t>A Flexible Array Synthesis Method using Quadratic Programming</t>
  </si>
  <si>
    <t>10.1109/8.267354</t>
  </si>
  <si>
    <t>2-s2.0-0027694922</t>
  </si>
  <si>
    <t>['two curls', 'two aspects', 'radiation element', 'radiation characteristics', 'numerically analyzed', 'decoupling factor', 'curl antenna', 'calculations show', 'approximately 8', 'also presented', '95 %.', '7 %.', '4 db', '168 curls']</t>
  </si>
  <si>
    <t>A radiation element, designated as a curl antenna, is proposed for a circularly polarized antenna. The radiation characteristics of the curl are numerically analyzed. The gain is approximately 8.4 dB, and the 3-dB axial ratio criterion is 6.7%. Two aspects of curl array antennas are also presented: a decoupling factor between two curls and a circular array antenna consisting of 168 curls. Calculations show how the decoupling factor depends on the relative rotation angle of the two curls. The 168-curl array antenna shows a high aperture efficiency of 95%. ¬© 1993 IEEE</t>
  </si>
  <si>
    <t>1570-1575</t>
  </si>
  <si>
    <t>60030526;60030526;60030526;60030526;60030526</t>
  </si>
  <si>
    <t>55633340100;7801637865;7101800455;7003298527;57220533028</t>
  </si>
  <si>
    <t>Nakano, H.;Okuzawa, S.;Ohishi, K.;Mimaki, H.;Yamauchi, J.</t>
  </si>
  <si>
    <t>A Curl Antenna</t>
  </si>
  <si>
    <t>10.1109/8.267357</t>
  </si>
  <si>
    <t>2-s2.0-0027695053</t>
  </si>
  <si>
    <t>['weight vector', 'variance distortionless', 'square algorithm', 'response beam', 'proposed algorithm', 'measurement equation', 'look direction', 'kalman filter', 'convergence rate', 'also analyzed', 'adaptive array']</t>
  </si>
  <si>
    <t>From the viewpoint of achieving rapid convergence, application of a Kalman filter to an adaptive array is considered. Compared with the Frost‚Äôs constrained least-mean-square algorithm, the constrained Kalman algorithm for adaptive beam forming is proposed to overcome the problem of signal distortion along the look direction which occurs in the unconstrained Kalman beam-former of Baird. A constraint on the array response along the look direction is added to the measurement equation of the Kalman filter. The weight vector of the constrained Kalman beam-former is derived and shown to converge to that of the minimum-variance distortionless-response beam-former. The convergence rate of the proposed algorithm is also analyzed. Compared to Baird‚Äôs algorithm and the side lobe canceller with one-step Kalman predictor, simulation results show the effectiveness of the proposed algorithm. ¬© 1993 IEEE</t>
  </si>
  <si>
    <t>1576-1580</t>
  </si>
  <si>
    <t>7601433253;7402434057</t>
  </si>
  <si>
    <t>Chen, Yuan Hwang;Chiang, Ching Tai</t>
  </si>
  <si>
    <t>Adaptive Beamforming Using the Constrained Kalman Filter</t>
  </si>
  <si>
    <t>10.1109/8.267359</t>
  </si>
  <si>
    <t>2-s2.0-0027695054</t>
  </si>
  <si>
    <t>['¬© 1993', 'rights reserved', 'letter describes', 'high crosspolarisation', 'feed line', 'electrical engineers', '15db across', '1 band']</t>
  </si>
  <si>
    <t>Antennas | Slot antennas</t>
  </si>
  <si>
    <t>The conventional Vivaldi antenna typically has a bandwidth of less than 3:1, limited by the feed line to radiating slot transition. The antipodal Vivaldi antenna removes this limitation but gives very high crosspolarisation which is undesirable for phased array applications. The Letter describes a new balanced antipodal Vivaldi antenna that retains the wide bandwidth characteristics while reducing the crosspolarisation by 15dB across an 18:1 band. Measurements are presented that compare the performance of existing antenna structures with this novel antenna element. ¬© 1993, The Institution of Electrical Engineers. All rights reserved.</t>
  </si>
  <si>
    <t>2004-2005</t>
  </si>
  <si>
    <t>60009658;60009658;100314005</t>
  </si>
  <si>
    <t>7101653806;57213425197;6603691406</t>
  </si>
  <si>
    <t>Langley, J. D.S.;Hall, P. S.;Newham, P.</t>
  </si>
  <si>
    <t>Swindon;Stanmore</t>
  </si>
  <si>
    <t>Defence College of Management and Technology;Marconi Defence Systems Ltd</t>
  </si>
  <si>
    <t>60009658;100314005</t>
  </si>
  <si>
    <t>Langley J.</t>
  </si>
  <si>
    <t>Novel ultrawide-bandwidth Vivaldi antenna with low crosspolarisation</t>
  </si>
  <si>
    <t>10.1049/el:19931336</t>
  </si>
  <si>
    <t>2-s2.0-0027695079</t>
  </si>
  <si>
    <t>['¬© 1993', 'rights reserved', 'magnetic dipole', 'letter reports', 'fed rectangular', 'electrical engineers']</t>
  </si>
  <si>
    <t>Dielectric resonators | Dipole antennas</t>
  </si>
  <si>
    <t>The Letter reports the results of investigations on aperture-fed rectangular and triangular shaped dielectric resonators for use as magnetic-dipole antenna elements. Measured results show that both antennas have a large bandwidth (&gt;10%) and their far field patterns are similar to that of a magnetic dipole. ¬© 1993, The Institution of Electrical Engineers. All rights reserved.</t>
  </si>
  <si>
    <t>2001-2002</t>
  </si>
  <si>
    <t>60018714;60028897;60026338;60028897;60018714</t>
  </si>
  <si>
    <t>57027512900;57208023373;35566584200;57027395900;7004481899</t>
  </si>
  <si>
    <t>Ittipiboon, A.;Mongia, R. K.;Antar, Y. M.M.;Bhartia, P.;Cuhaci, M.</t>
  </si>
  <si>
    <t>Ittipiboon A.</t>
  </si>
  <si>
    <t>Aperture fed rectangular and triangular dielectric resonators for use as magnetic dipole antennas</t>
  </si>
  <si>
    <t>10.1049/el:19931334</t>
  </si>
  <si>
    <t>2-s2.0-0027695394</t>
  </si>
  <si>
    <t>['toggling technique', 'toggling method', 'test array', 'signal detection', 'measurement accuracy', 'hardware components', 'good results', 'four dual', 'fic functions', 'fault isolation', 'column array', 'channel transmit', 'array antenna', 'active phased']</t>
  </si>
  <si>
    <t>A built-in performance-monitoring/fault isolation and correction (PM/FIC) system for an active phased-array antenna has been developed and tested. This PM/FIC system employs a transmission line signal injector embedded at the radiating aperture together with a phase-toggling technique for signal detection. Hardware components for a demonstration test array have been developed, fabricated, and assembled. Eight active elements are fed by four dual-channel transmit/receive (T/R) modules in a column array. Far-field range tests and fault correction tests have also been performed to demonstrate the PM/FIC functions on this test array. Good results have been obtained from these tests. The measurement accuracy of the phase-toggling method is compared with a HP8510 measurement system. ¬© 1993 IEEE</t>
  </si>
  <si>
    <t>1530-1540</t>
  </si>
  <si>
    <t>7501503817;7102122144;7409461996</t>
  </si>
  <si>
    <t>Lee, Kuan Min;Chu, Ruey Shi;Liu, Sien Chang</t>
  </si>
  <si>
    <t>Lee K.</t>
  </si>
  <si>
    <t>A Built-In Performance-Monitoring/Fault Isolation and Correction (PM/FIC) System for Active Phased-Array Antennas</t>
  </si>
  <si>
    <t>10.1109/8.267353</t>
  </si>
  <si>
    <t>2-s2.0-0027695483</t>
  </si>
  <si>
    <t>Ministero dell‚ÄôIstruzione, dell‚ÄôUniversit√† e della Ricerca</t>
  </si>
  <si>
    <t>92.03158.07</t>
  </si>
  <si>
    <t>MIUR</t>
  </si>
  <si>
    <t>['uniform ones', 'relative errors', 'rapid convergence', 'one correspondence', 'nyquist one', 'nonuniform samples', 'iterative algorithm', 'electromagnetic fields', 'computationally much', 'central type', 'applied whenever']</t>
  </si>
  <si>
    <t>An iterative algorithm is developed which allows the interpolation of two-dimensional band limited functions from nonuniformly distributed samples. Such a scheme is based on optimal sampling expansions of central type and is applied to the interpolation of electromagnetic fields over a plane. The algorithm can be applied whenever the ‚Äúaverage‚Äù sample‚Äôs density is higher than the Nyquist one and there is a one-to-one correspondence between the nonuniform samples and a lattice of the uniform ones, which associates at each uniform sampling point the nearest nonuniform sampling point. As compared with the optimal linear estimation algorithm, the procedure is computationally much more efficient. Many numerical simulations have assessed the rapid convergence of the method as well as its stability with respect to both absolute and relative errors in the data. ¬© 1993 IEEE</t>
  </si>
  <si>
    <t>1501-1508</t>
  </si>
  <si>
    <t>60017293;60007061;126745109</t>
  </si>
  <si>
    <t>7006499276;7003785247;7004082336</t>
  </si>
  <si>
    <t>Bucci, O. M.;Gennarelli, C.;Savarese, C.</t>
  </si>
  <si>
    <t>Naples;Salerno;Acton</t>
  </si>
  <si>
    <t>Universit√† degli Studi di Napoli Federico II;Universit√† degli Studi di Salerno;Istituto di Teoria e Tecnica delle Onde Elettromagnetiche, Istituto Universitario Navale</t>
  </si>
  <si>
    <t>Bucci O.M.</t>
  </si>
  <si>
    <t>Interpolation of EIectromagnetic Radiated Fields over a Plane by Nonuniform Samples</t>
  </si>
  <si>
    <t>10.1109/8.267349</t>
  </si>
  <si>
    <t>2-s2.0-0027695713</t>
  </si>
  <si>
    <t>['¬© 1993', 'rights reserved', 'receiving horns', 'quadrature detectors', 'patch antennas', 'imperfect isolation', 'electrical engineers', 'combining arrays', 'amplifier cell']</t>
  </si>
  <si>
    <t>Amplifiers | Antennas | Microstrip</t>
  </si>
  <si>
    <t>A quasioptical amplifier cell suitable for power-combining arrays is presented. Orthogonally polarised patch antennas are coupled to the input and output of a resistive-feedback MESFET amplifier. A simple polarimetric reflectometer was developed to test the amplifier cell which solves the problem of imperfect isolation between transmitting and receiving horns and the DC offset problem of quadrature detectors. A peak effective isotropic power gain (EIPG) of 17dB was measured at 4.2GHz with 1% bandwidth which is limited by patch antennas. ¬© 1993, The Institution of Electrical Engineers. All rights reserved.</t>
  </si>
  <si>
    <t>2125-2127</t>
  </si>
  <si>
    <t>7402649236;7103208478</t>
  </si>
  <si>
    <t>Tsai, H. S.;York, R. A.</t>
  </si>
  <si>
    <t>Tsai H.</t>
  </si>
  <si>
    <t>Polarisation-rotating quasioptical reflection amplifier cell</t>
  </si>
  <si>
    <t>10.1049/el:19931421</t>
  </si>
  <si>
    <t>2-s2.0-0027695992</t>
  </si>
  <si>
    <t>Caltech</t>
  </si>
  <si>
    <t>['vehicle moves', 'tracking mobile', 'shared aperture', 'september 1993', 'satellite soon', 'paper describes', 'mechanical characteristics', 'laboratory measurements', 'geostationary orbit', 'frequency bands', 'antenna performance', 'antenna controller', 'amt task']</t>
  </si>
  <si>
    <t>This paper describes the development of the K- and ka-band, satellite-tracking mobile-vehicular antenna system for NASA‚Äôs ACTS Mobile Terminal (AMT) project. ACTS is NASA‚Äôs Advanced Communications Technology Satellite, which will be launched into its geostationary orbit in September 1993. The AMT task will make the first experimental use of the satellite soon after the satellite is operation, to demonstrate mobile communications via the satellite from a van on the road. The AMT antenna system consists of a mechanically steered small reflector antenna that uses a shared aperture for both frequency bands and fits under a radome of 23 cm diameter and 10 cm height, and an antenna controller that tracks the satellite as the vehicle moves about. The RF and mechanical characteristics of the antenna and the antenna tracking control system are discussed. Laboratory measurements of the antenna performance are presented. ¬© 1993 IEEE</t>
  </si>
  <si>
    <t>502-513</t>
  </si>
  <si>
    <t>7004510677;6701419948</t>
  </si>
  <si>
    <t>Densmore, Arthur C.;Jamnejad, Vahraz</t>
  </si>
  <si>
    <t>Densmore A.</t>
  </si>
  <si>
    <t>A Satellite-Tracking K- and K&lt;inf&gt;a&lt;/inf&gt;-Band Mobile Vehicle Antenna System</t>
  </si>
  <si>
    <t>10.1109/25.260761</t>
  </si>
  <si>
    <t>2-s2.0-0027696071</t>
  </si>
  <si>
    <t>['¬© 1993', 'rights reserved', 'antenna axis', 'angle difference']</t>
  </si>
  <si>
    <t>In microwave and millimetre wave systems with angle tracking capabilities antennas are used that allow antenna beam forming to measure the angle difference between the direction of an object and the antenna axis very accurately. A millimetre wave feed system for beam forming applications is described. ¬© 1993, Walter de Gruyter. All rights reserved.</t>
  </si>
  <si>
    <t>276-280</t>
  </si>
  <si>
    <t>Frequenz</t>
  </si>
  <si>
    <t>Huder, Bernhard</t>
  </si>
  <si>
    <t>Leiden</t>
  </si>
  <si>
    <t>Airbus Group SE</t>
  </si>
  <si>
    <t>Huder B.</t>
  </si>
  <si>
    <t>Antenna Feed System for Millimetre Wave Angle Tracking</t>
  </si>
  <si>
    <t>10.1515/FREQ.1993.47.11-12.276</t>
  </si>
  <si>
    <t>2-s2.0-0027696077</t>
  </si>
  <si>
    <t>['wiley company', 'strip grating', 'reflected fields', 'integral expressions', 'inc .,', 'galerkin procedure', 'electromagnetic scattering', 'beam radiated', 'aperture antenna', 'angular shift']</t>
  </si>
  <si>
    <t>Galerkin method | Scattering | strip grating</t>
  </si>
  <si>
    <t>An angular‚Äêspectrum method combined with the Galerkin procedure has been used to evaluate the electromagnetic scattering of a beam radiated by an aperture antenna after being incident obliquely upon a strip grating. Integral expressions for the transmitted and reflected fields are obtained. The incident beam radiated by the antenna is diffracted in several beams corresponding to the propagative Floquet harmonics. An angular shift of the transmitted and reflected fundamental harmonic beams has been shown. Comparison between numerical and experimental results validates this method. ¬© 1993 John Wiley &amp; Sons, Inc. Copyright ¬© 1993 Wiley Periodicals, Inc., A Wiley Company</t>
  </si>
  <si>
    <t>813-815</t>
  </si>
  <si>
    <t>7004534603;55376914400;6602649194;6602995656</t>
  </si>
  <si>
    <t>Gimeno, B.;Marquina, J. L.;Navasquillo, J.;Pomer, F.</t>
  </si>
  <si>
    <t>Gimeno B.</t>
  </si>
  <si>
    <t>Electromagnetic scattering by a strip grating with nonplanar illumination</t>
  </si>
  <si>
    <t>10.1002/mop.4650061411</t>
  </si>
  <si>
    <t>2-s2.0-0027696088</t>
  </si>
  <si>
    <t>['paper describes', 'multipath fading', 'multipath environment', 'implemented using', 'directing nulls', 'delayed signals', 'central tokyo', 'array succeeds', 'adaptive array', 'adaptation process', '22 db']</t>
  </si>
  <si>
    <t>This paper describes the performance of an adaptive array as a countermeasure to multipath fading for a 256 kbps Gaussian-filtered minimum shift keying (GMSK) mobile communication system operating in the 1.5 GHz band. An adaptive array having four antenna elements is implemented using the digital beam forming concept. The constant modulus algorithm (CMA) is employed for the adaptation process to ease the implementation. Measurements in central Tokyo of the bit error rate (BER) performance and an array pattern arising in the multipath environment are presented. Analysis of the array pattern confirms that the array succeeds in directing nulls to the delayed signals. BER performance shows an improvement in E&lt;inf&gt;b&lt;/inf&gt;/N&lt;inf&gt;0&lt;/inf&gt;, compared with that of a single antenna system, of 17.5 to 22 dB at a BER of 1.0 x 10&lt;sup&gt;-2&lt;/sup&gt; in a frequency-selective fading channel. ¬© 1993 IEEE</t>
  </si>
  <si>
    <t>484-490</t>
  </si>
  <si>
    <t>60092258-60003381;60092258-60003381</t>
  </si>
  <si>
    <t>7003280529;56838338500</t>
  </si>
  <si>
    <t>Ohgane, Takeo;Mizunc, Mitsuhiko</t>
  </si>
  <si>
    <t>BER Performance of CMA Adaptive Array for High-Speed GMSK Mobile Communication‚ÄîA Description of Measurements in Central Tokyo</t>
  </si>
  <si>
    <t>10.1109/25.260763</t>
  </si>
  <si>
    <t>2-s2.0-0027696507</t>
  </si>
  <si>
    <t>['reflector provides', 'reflector consists', 'novel high', 'inhomogeneous array', 'grounded substrate', 'geometrical parameters']</t>
  </si>
  <si>
    <t>A novel high-efficiency Fresnel zone plate reflector antenna is presented. The reflector consists of an inhomogeneous array of circular conducting rings printed on a grounded substrate. By adjusting the geometrical parameters of the rings and the distances between them, the reflector provides a space-varying phase correction required for focusing an incoming plane wave. Compared with a phase reversal zone plate, an average of 3-dB gain improvement and significant sidelobe reduction have been obtained. ¬© 1993 IEEE</t>
  </si>
  <si>
    <t>417-419</t>
  </si>
  <si>
    <t>Fresnel Zone Plate Reflector Incorporating Rings</t>
  </si>
  <si>
    <t>10.1109/75.248518</t>
  </si>
  <si>
    <t>2-s2.0-0027696840</t>
  </si>
  <si>
    <t>Defense Advanced Research Projects Agency</t>
  </si>
  <si>
    <t>DARPA</t>
  </si>
  <si>
    <t>['transmitted signal', 'switching time', 'simply varying', 'rf phase', 'rf isolation', 'rf fiber', 'remote synchronization', 'phase shifting', 'phase resolution', 'optical transmitters', 'optical networks', 'optic links', 'locked self', 'disk self', 'controlled phased', 'continuously adjusted', 'bias current', 'antenna stations', '80 db', '5 ns', '180 ¬∞', '10 db', '1 ¬∞.']</t>
  </si>
  <si>
    <t>We report the use of injection-locked self-pulsing laser diodes as optical transmitters in RF fiber-optic links, in which the RF phase of the transmitted signal can be continuously adjusted by simply varying the bias current into the laser. These devices are intended for use in optically-controlled phased-array antenna systems or in optical networks for the remote synchronization of antenna stations. We demonstrate that by using a commercial, low-cost, compact-disk self-pulsing laser diode, phase shifting over a range of 180¬∞ is possible over a broad operational frequency band of 1‚Äì7 GHz, with a switching time of &gt; 5 ns and a phase resolution of &lt; 1¬∞. The ‚Äúphase shifter/optical link‚Äù can also exhibit inherent electrical gain of up to 10 dB and an RF isolation of &gt; 80 dB by proper impedance matching of the laser and photodetector. ¬© 1993 IEEE</t>
  </si>
  <si>
    <t>1344-1346</t>
  </si>
  <si>
    <t>7102484340;7401559989</t>
  </si>
  <si>
    <t>Georges, John B.;Lau, Kam Y.</t>
  </si>
  <si>
    <t>Georges J.</t>
  </si>
  <si>
    <t>Broadband microwave fiber-optic links with RF phase control for phased-array antennas</t>
  </si>
  <si>
    <t>10.1109/68.250064</t>
  </si>
  <si>
    <t>2-s2.0-0027697250</t>
  </si>
  <si>
    <t>['radiation properties', 'different diameters', 'conducting masts', 'compact fashion']</t>
  </si>
  <si>
    <t>The radiation properties of individual folded dipole antennas mounted at various radial distances from the center of conducting masts of different diameters are described in a compact fashion. ¬© 1993 IEEE</t>
  </si>
  <si>
    <t>393-398</t>
  </si>
  <si>
    <t>60021902;60013272</t>
  </si>
  <si>
    <t>57203176700;35560866400</t>
  </si>
  <si>
    <t>McNamara, Derek A.;Botha, Louis</t>
  </si>
  <si>
    <t>South Africa;South Africa</t>
  </si>
  <si>
    <t>Pretoria;Pretoria</t>
  </si>
  <si>
    <t>University of Pretoria;The Council for Scientific and Industrial Research</t>
  </si>
  <si>
    <t>On the Functioning of Folded Dipole Antennas on Conducting Masts</t>
  </si>
  <si>
    <t>10.1109/25.260774</t>
  </si>
  <si>
    <t>2-s2.0-0027697491</t>
  </si>
  <si>
    <t>['variational formula', 'paper describes', 'numerical calculations', 'input resistance', 'input impedance', 'dielectric hemisphere', 'dielectric constant', 'copyright 1993', 'coaxial probe', 'calculated using']</t>
  </si>
  <si>
    <t>This paper describes the analysis of a hemispherical dielectric resonator antenna fed by a coaxial probe. The electric field Green's function of a vertical point current located inside the dielectric hemisphere is derived by mode matching technique. Delta gap source excitation model is employed. The input impedance of the antenna is calculated using a variational formula. Both the broadside TE111 mode (the lowest‚Äêorder transverse electric mode) and the end‚Äêfire TM101 mode (the lowest‚Äêorder transverse magnetic mode) are considered. Numerical calculations and experimental results validating the theory are shown. The variation of input resistance with dielectric constant of the antenna is studied. Copyright 1993 by the American Geophysical Union.</t>
  </si>
  <si>
    <t>1211-1218</t>
  </si>
  <si>
    <t>55510527400;56415172000;56912776300;7403692161</t>
  </si>
  <si>
    <t>Luk, K. M.;Leung, K. W.;Lai, K. Y.A.;Lin, D.</t>
  </si>
  <si>
    <t>Luk K.M.</t>
  </si>
  <si>
    <t>Analysis of hemispherical dielectric resonator antenna</t>
  </si>
  <si>
    <t>10.1029/93RS00945</t>
  </si>
  <si>
    <t>2-s2.0-0027697565</t>
  </si>
  <si>
    <t>['surface error', 'surface accuracy', 'successive projections', 'spatially bandlimited', 'significant improvement', 'reflector surface', 'panel positions', 'panel boundaries', 'microwave holography', 'measured data', 'large reflectors', 'large number', 'incorrect assessment', 'incorporate information', 'established technique', 'diameter radiotelescope', 'applied successfully']</t>
  </si>
  <si>
    <t>Microwave holography is an established technique for measuring the surface accuracy of large reflector antennas. It suffers from the disadvantage that the resulting surface error map is spatially bandlimited. Most large reflectors are constructed with panels, and misaligned panels give discontinuities in the surface error which cannot be resolved. This can lead to incorrect assessment of panel positions. Significant improvement can be obtained by recognizing at the outset that the reflector surface is approximated by a collection of individual rigid panels. The method of successive projections is used to incorporate information about the panel boundaries into the data reduction process. It has been applied successfully to measured data for a 26-m diameter radiotelescope, and an investigation of a large number of simulated experiments indicates that good results may be achieved while minimizing measurement time. ¬© 1993 IEEE</t>
  </si>
  <si>
    <t>1523-1529</t>
  </si>
  <si>
    <t>60030000;;60015356</t>
  </si>
  <si>
    <t>9742599600;7003443054;55977079700</t>
  </si>
  <si>
    <t>James, G. C.;Poulton, G. T.;McCulloch, P. M.</t>
  </si>
  <si>
    <t>Australia;Australia</t>
  </si>
  <si>
    <t>Sydney;Hobart</t>
  </si>
  <si>
    <t>CSIRO Industrial Physics;University of Tasmania</t>
  </si>
  <si>
    <t>60030000;60015356</t>
  </si>
  <si>
    <t>James G.C.</t>
  </si>
  <si>
    <t>Panel Setting from Microwave Holography by the Method of Successive Projections</t>
  </si>
  <si>
    <t>10.1109/8.267352</t>
  </si>
  <si>
    <t>2-s2.0-0027697817</t>
  </si>
  <si>
    <t>['reflected currents', 'reflected current', 'open end', 'improved f', 'evaluated numerically', 'current distribution', 'calculations show', 'b ratio']</t>
  </si>
  <si>
    <t>The current distribution of a bifilar helical antenna which radiates a circularly polarized wave in the backward endfire direction is decomposed into forward and reflected currents, and the contribution of each current to the radiation is evaluated numerically. Calculations show that the presence of the reflected current deteriorates the front-to-back (F/B) ratio of radiation. To reduce the reflected current and to improve the F/B ratio, flaring of the open end is proposed and investigated. The flared configuration leads to an improved F/B ratio, with an almost constant input impedance. ¬© 1993 IEEE</t>
  </si>
  <si>
    <t>1591-1595</t>
  </si>
  <si>
    <t>60030526;60030526;60030526</t>
  </si>
  <si>
    <t>55633340100;36819908500;56405174700</t>
  </si>
  <si>
    <t>Nakano, Hisamatsu;Iio, Shinichi;Yamauchi, Junji</t>
  </si>
  <si>
    <t>Improvement in Front-to-Back Ratio of a Bifilar Backfire Helix by a Flared Open End</t>
  </si>
  <si>
    <t>10.1109/8.267363</t>
  </si>
  <si>
    <t>2-s2.0-0027697818</t>
  </si>
  <si>
    <t>['mutual coupling', 'fading field', 'element spacing', 'difference influences', 'design criteria', 'copyright 1993', 'antenna signals']</t>
  </si>
  <si>
    <t>The spatial cross‚Äêcorrelation function for antenna signals in multipath environments depends on the mutual coupling between the antennas. In general, this function is different from the spatial autocorrelation coefficient function of the multipath, fading field. This difference influences the design criteria for the element spacing of compact (that is, closely spaced elements) antennas. The relationship between the spatial autocorrelation function and the cross‚Äêcorrelation function is presented and used for practical, compact diversity antenna design. Copyright 1993 by the American Geophysical Union.</t>
  </si>
  <si>
    <t>1259-1266</t>
  </si>
  <si>
    <t>7201481830;7202746189</t>
  </si>
  <si>
    <t>Vaughan, Rodney G.;Scott, Neil L.</t>
  </si>
  <si>
    <t>Vaughan R.</t>
  </si>
  <si>
    <t>Closely spaced monopoles for mobile communications</t>
  </si>
  <si>
    <t>10.1029/93RS01079</t>
  </si>
  <si>
    <t>2-s2.0-0027697860</t>
  </si>
  <si>
    <t>['direction error']</t>
  </si>
  <si>
    <t>In this note, we propose a signal subspace approach that improves the performance of a beam steered adaptive array in the presence of steering errors due to look- direction error (LDE) and/or. ¬© 1993 IEEE</t>
  </si>
  <si>
    <t>3166-3171</t>
  </si>
  <si>
    <t>115913799;60032144</t>
  </si>
  <si>
    <t>57191682362;56796471200</t>
  </si>
  <si>
    <t>Kim, J. W.;Un, C. K.</t>
  </si>
  <si>
    <t>South Korea;United States</t>
  </si>
  <si>
    <t>Daejeon;</t>
  </si>
  <si>
    <t>Korea Advanced Institute of Science and Technology;Suwon University</t>
  </si>
  <si>
    <t>60032144;115913799</t>
  </si>
  <si>
    <t>Kim J.</t>
  </si>
  <si>
    <t>A Robust Adaptive Array Based on Signal Subspace Approach</t>
  </si>
  <si>
    <t>10.1109/78.257247</t>
  </si>
  <si>
    <t>2-s2.0-0027697985</t>
  </si>
  <si>
    <t>['theoretical results', 'theoretical means', 'probe designed', 'numerically solve', 'nonlinear characteristics', 'iteration method', 'experimental measurements', 'empirical approach', 'dipole lumped', 'diode v', 'diode capacitances', 'combined theoretical', 'circuit model', 'circuit elements', '1000 mhz', '10 ghz']</t>
  </si>
  <si>
    <t>A circuit model for a diode-loaded dipole electric field measurement probe is developed which is valid for frequencies below 10 GHz. A nonnegligible dipole radius and the nonlinear characteristics of the diode are taken into consideration. The dipole lumped-circuit elements and diode capacitances are determined by theoretical means while the diode V-I characteristics and resistance are determined by a combined theoretical and empirical approach. Newton's iteration method is used to numerically solve the resulting nonlinear differential equation. Experimental measurements on a probe designed for operation between 1 and 1000 MHz and comparison with the theoretical results are presented. ¬© 1993 IEEE</t>
  </si>
  <si>
    <t>480-483</t>
  </si>
  <si>
    <t>;60020583</t>
  </si>
  <si>
    <t>7006735740;6601963887</t>
  </si>
  <si>
    <t>Strickland, Brian R.;Audeh, N. F.</t>
  </si>
  <si>
    <t>Strickland B.</t>
  </si>
  <si>
    <t>Numerical Analysis Technique for Diode-Loaded Dipole Antennas</t>
  </si>
  <si>
    <t>10.1109/15.247862</t>
  </si>
  <si>
    <t>2-s2.0-0027698178</t>
  </si>
  <si>
    <t>['¬© 1993', 'zero gravity', 'supporting structures', 'study described', 'structural parameters', 'spacecraft appendages', 'preloaded mast', 'overall structure', 'mast subjected', 'mass moment', 'governing equation', 'general solution', 'flexible beam', 'dynamic behavior', 'developed formulations', 'cost considerations', 'circular frequencies', 'bending vibrations', 'antennas supported']</t>
  </si>
  <si>
    <t>Earth-orbiting spacecraft often contain solar arrays or antennas supported by a preloaded mast. Due to weight and cost considerations, the supporting structures of the spacecraft appendages are made extremely light and flexible. Therefore, it is essential to investigate the influence of all physical and structural parameters on the dynamic behavior of the overall structure. The governing equation of motion and its general solution for the preloaded mast are developed. Furthermore, the mass moment of inertia of the mast subjected to bending vibrations is included in the governing equation of motion to investigate its influence on determining the circular frequencies. To verify the developed formulations, a finite element technique was implemented. The accuracy and limitation of the technique on calculating the circular frequencies are discussed. Although the study described in this paper primarily focuses on the mast for the space station solar arrays, the developed formulations and techniques can be applied to any large and flexible beam in zero gravity. ¬© 1993.</t>
  </si>
  <si>
    <t>313-324</t>
  </si>
  <si>
    <t>60026717;60004154</t>
  </si>
  <si>
    <t>7003866483;7403225119</t>
  </si>
  <si>
    <t>Armand, Sasan C.;Lin, Paul P.</t>
  </si>
  <si>
    <t>NASA Glenn Research Center;Cleveland State University</t>
  </si>
  <si>
    <t>Armand S.C.</t>
  </si>
  <si>
    <t>Influence of mass moment of inertia on the normal modes of a preloaded solar array mast</t>
  </si>
  <si>
    <t>0168874X9390029P</t>
  </si>
  <si>
    <t>10.1016/0168-874X(93)90029-P</t>
  </si>
  <si>
    <t>2-s2.0-0027698332</t>
  </si>
  <si>
    <t>['¬© 1993', 'rights reserved', 'predictions based', 'electrical engineers', 'band measurements']</t>
  </si>
  <si>
    <t>Dielectric-loaded antennas | Integrated circuits</t>
  </si>
  <si>
    <t>A novel interchip communication technique for very high speed multichip modules is presented. The feasibility of using a dielectric guide leaky wave antenna integrated on a chip for transmission and reception is discussed. J-band measurements and predictions based on a model developed using the transmission line matrix (TLM) method are compared. ¬© 1993, The Institution of Electrical Engineers. All rights reserved.</t>
  </si>
  <si>
    <t>2030-2031</t>
  </si>
  <si>
    <t>35554701200;7003531756;35562114200</t>
  </si>
  <si>
    <t>Iyer, M. K.;Seager, R. D.;Vardaxoglou, J. C.</t>
  </si>
  <si>
    <t>Iyer M.K.</t>
  </si>
  <si>
    <t>Wireless chip to chip interconnections for murtichip modules using leaky wave antennas</t>
  </si>
  <si>
    <t>10.1049/el:19931355</t>
  </si>
  <si>
    <t>2-s2.0-0027698487</t>
  </si>
  <si>
    <t>['weights even', 'vehicle speeds', 'suppress interference', 'signals received', 'rapid fading', 'performance gains', 'paper considers', 'multiple antennas', 'lms algorithm', 'improves performance', 'ideal performance', 'dynamic performance', 'dmi algorithm', 'differential detection', 'coherent detection', 'also suppressed', 'algorithms permits', 'adaptive arrays', 'adaptive array', '60 mph', '5 db', '20 mph', '1 db']</t>
  </si>
  <si>
    <t>This paper considers the dynamic performance of adaptive arrays in wireless communication systems. With an adaptive array, the signals received by multiple antennas are weighted and combined to suppress interference and combat desired signal fading. In these systems, the weight adaptation algorithm must acquire and track the weights even with rapid fading. Here, we consider the performance of the Least-Mean-Square (LMS) and Direct Matrix Inversion (DMI) algorithms in the North American digital mobile radio system IS-54. We show that implementation of these algorithms permits the use of coherent detection, which improves performance by 1 dB over differential detection. Results for two base station antennas with flat Rayleigh fading show that the LMS algorithm has large tracking loss for vehicle speeds above 20 mph, but the DMI algorithm can acquire and track the weights to combat desired signal fading at vehicle speeds up to 60 mph with less than 0.2 dB degradation from ideal performance with differential detection. Similarly, interference is also suppressed with performance gains over maximal ratio combining within 0.5 dB of the predicted ideal gain. ¬© 1993 IEEE</t>
  </si>
  <si>
    <t>377-384</t>
  </si>
  <si>
    <t>Winters, Jack H.</t>
  </si>
  <si>
    <t>Winters J.</t>
  </si>
  <si>
    <t>Signal Acquisition and Tracking with Adaptive Arrays in the Digital Mobile Radio System IS-54 with Flat Fading</t>
  </si>
  <si>
    <t>10.1109/25.260776</t>
  </si>
  <si>
    <t>2-s2.0-0027698932</t>
  </si>
  <si>
    <t>['repetition frequency', 'radio facility', 'produces profiles', 'possible increase', 'modified version', 'model takes', 'microwave pulses', 'microwave beam', 'lesser energy', 'kinetic theory', 'isolated pulse', 'ionizing pulse', 'intense pulse', 'height range', 'generate microwaves', 'form pulses', 'electron production', 'electron concentration', 'electromagnetic propagation', 'copyright 1993', 'breakdown followed', 'arecibo antenna', 'approximately 0', '38 ghz', '15 œºs', '103 hz']</t>
  </si>
  <si>
    <t>A computer model simulating the formation of an artificially ionized layer in the atmosphere by a series of microwave pulses was developed and is presented. A modified version of the kinetic theory of the breakdown of air by a powerful microwave emission was incorporated into a model of electromagnetic propagation through the atmosphere by a converging ionizing microwave pulse. This model takes into consideration radio wave self‚Äêaction as well as absorption and produces profiles of electron concentration formed in the atmosphere by both an isolated pulse and a series of pulses. Effects of varying the shape of the ionizing pulse are considered as well as the influence of the ambient electron concentration. Also, the dependence of the electron concentration on the energy and duration of the pulse is investigated. The possible increase in the rate of electron production is considered when using an intense pulse to initiate the breakdown followed by a series of pulses of lesser energy. The influence of the refraction of the microwave beam is estimated. The computer model presented shows that an artificial ionized layer of electrons reaching concentrations of the order of 108 cm‚àí3 could be formed over a height range of 40‚Äì70 km, if the Arecibo antenna and radio facility were reconfigured so that it would be able to generate microwaves with f = 2.38 GHz and a power of approximately 1‚Äì4 MW. In addition, a pulse compressor would be used to form pulses with durations of approximately 0.1‚Äì0.15 Œºs with a repetition frequency of 103 Hz. Copyright 1993 by the American Geophysical Union.</t>
  </si>
  <si>
    <t>1029-1038</t>
  </si>
  <si>
    <t>7003875116;7005077683;16196773500</t>
  </si>
  <si>
    <t>Milikh, G. M.;Hinds, J. M.;Duncan, L. M.</t>
  </si>
  <si>
    <t>Milikh G.</t>
  </si>
  <si>
    <t>A computer simulation of the production of an artificially ionized layer using the Arecibo facility</t>
  </si>
  <si>
    <t>10.1029/93RS00358</t>
  </si>
  <si>
    <t>2-s2.0-0027698973</t>
  </si>
  <si>
    <t>['¬© 1993', 'undetected signal', 'unavoidably subjected', 'similar perturbations', 'signal directions', 'parameter estimates', 'order expressions', 'often achieved', 'noise ratio', 'multiplicative scalar', 'modeling errors', 'high signal', 'fundamental assumption', 'factor equal', 'e .,', 'different assumptions', 'background noise', 'array covariance']</t>
  </si>
  <si>
    <t>Array signal processing | direction finding | performance analysis | sensitivity analysis</t>
  </si>
  <si>
    <t>A fundamental assumption for most direction finding algorithms is that the spatial correlation structure of the background noise (i.e., the correlation from sensor to sensor) is known to within a multiplicative scalar. In practive, this is often achieved by measuring the array covariance when no signals are present, a procedure which is unavoidably subjected to errors. The presence of undetected weak signals gives rise to similar perturbations. In this paper, the effect of such modeling errors on parametric estimation techniques is examined. First-order expressions for the mean square error (MSE) of the parameter estimates are derived for the deterministic and stochastic maximum likelihood methods and the weighted subspace fitting technique. The spatial noise correlation structures that lead to maximum performance loss are identified under different assumptions. In case of high signal-to-noise ratio, it is found that the MSE can be increased by a factor equal to the number of sensors in the array, as compared to spatially white noise. Furthermore, it is demonstrated that the presence of a relatively weak (- 15 dB) undetected signal can result in a large bias (‚âà1¬∞) on the estimates of the other signal directions. ¬© 1993.</t>
  </si>
  <si>
    <t>207-222</t>
  </si>
  <si>
    <t>Viberg, Mats</t>
  </si>
  <si>
    <t>Palo Alto</t>
  </si>
  <si>
    <t>Stanford University</t>
  </si>
  <si>
    <t>Viberg M.</t>
  </si>
  <si>
    <t>Sensitivity of parametric direction finding to colored noise fields and undermodeling</t>
  </si>
  <si>
    <t>0165-1684(93)90163-5</t>
  </si>
  <si>
    <t>10.1016/0165-1684(93)90163-5</t>
  </si>
  <si>
    <t>2-s2.0-0027699029</t>
  </si>
  <si>
    <t>['torus antenna', 'terrestrial applications', 'sixth order', 'scanned beam', 'polynomial terms', 'peak gain', 'outgoing beam', 'offset design', 'novel antenna', 'least squares', 'good results', 'elevation plane', 'different portions', 'comparable performance', 'azimuth scanning', '30 ¬∞', '3 db', '15 ¬∞']</t>
  </si>
  <si>
    <t>A unique single offset reflector antenna has been designed which provides as much as + 30¬∞ of scanning in azimuth while maintaining a much higher aperture efficiency than a torus antenna. Like a torus antenna, different portions of the reflector are illuminated for each scanned beam. The reflector profile curve in the plane of scan is found by least squares to minimize the error for the beams with the greatest scan angle, and then polynomial terms of up to sixth order which minimize nonplanar phase errors are added to produce a three-dimensional reflector surface. Numerical simulation indicates very good results for all 0.5¬∞ beams in the ¬±30¬∞ azimuth field of view, with peak gain no more than 0.3 dB below ideal and highest side lobe levels no worse than 13.3 dB below the peak gain. Additionally, comparable performance can be extended to the elevation plane out to 15¬∞ / -30¬∞, although full azimuth performance becomes compromised at extreme elevation scan angles. By using an offset design, there is no blockage of the outgoing beam by the feed array assembly for azimuth scanning. With better scan performance than comparably sized paraboloids, and being more compact than similar torus reflectors, this novel antenna should find numerous uses in spacecraft and terrestrial applications. ¬© 1993 IEEE</t>
  </si>
  <si>
    <t>1481-1490</t>
  </si>
  <si>
    <t>60022791;60028628;60028628</t>
  </si>
  <si>
    <t>7201655550;56838537700;56922365600</t>
  </si>
  <si>
    <t>Craig, William P.;Rappaport, M.;Mason, Jeffrey S.</t>
  </si>
  <si>
    <t>Boston;Newport</t>
  </si>
  <si>
    <t>Northeastern University;Naval Undersea Warfare Center Division Newport</t>
  </si>
  <si>
    <t>60028628;60022791</t>
  </si>
  <si>
    <t>Craig W.P.</t>
  </si>
  <si>
    <t>A High Aperture Efficiency, Wide-Angle Scanning Offset Reflector Antenna</t>
  </si>
  <si>
    <t>10.1109/8.267347</t>
  </si>
  <si>
    <t>2-s2.0-0027699123</t>
  </si>
  <si>
    <t>['¬© 1993', 'rights reserved', 'proposed approach', 'multiple sources', 'good performance', 'genetic approach', 'electrical engineers']</t>
  </si>
  <si>
    <t>Adaptive arrays | Array signal processing | Genetic algorithms</t>
  </si>
  <si>
    <t>A genetic approach which combines a genetic optimisation algorithm with an adaptive weighting function has been developed to estimate the bearing or direction of arrival (DOA) of multiple sources in the presence of sensor location uncertainties. Computer simulations show the good performance of the proposed approach. ¬© 1993, The Institution of Electrical Engineers. All rights reserved.</t>
  </si>
  <si>
    <t>2013-2014</t>
  </si>
  <si>
    <t>Hong J.S.</t>
  </si>
  <si>
    <t>Genetic approach to bearing estimation with sensor location uncertainties</t>
  </si>
  <si>
    <t>10.1049/el:19931343</t>
  </si>
  <si>
    <t>2-s2.0-0027699151</t>
  </si>
  <si>
    <t>['¬± 3', '¬± 1', '¬© 1993', 'uniform plasma', 'produced plasma', 'mode launching', 'microwave power', 'japan society', 'applied physics', '600 w', '20 cm', '17 v', '16 cm', '100 h']</t>
  </si>
  <si>
    <t>Curvature drift | ECR | Grad B drift | Permanent magnets | Slotted array antenna | Whistler-mode launching</t>
  </si>
  <si>
    <t>A large-area electron cyclotron resonance (ECR) plasma is generated by using permanent magnets and applying the whistler-mode launching of microwaves. A uniform plasma is produced with the uniformity of ¬±3.5% over 20 cm and ¬±1.8% over 16 cm in diameter; the plasma space potential is about 17 V with the uniformity of ¬±1% over 20 cm. The maximum ion current density is about 11.5 mA-cm-2. The purity of the produced plasma is high. No damage was found after the operation for 100 h with the microwave power of 600 W. ¬© 1993 The Japan Society of Applied Physics.</t>
  </si>
  <si>
    <t>L1635-L1637</t>
  </si>
  <si>
    <t>116289602;116290195;116290195;116289860;101509375;101509375;101509375</t>
  </si>
  <si>
    <t>7004294684;55471632500;6603372381;24426741100;6507674450;56230611900;57194963527</t>
  </si>
  <si>
    <t>Shida, Noriyoshi;Inoue, Takashi;Kokai, Hideki;Sakamoto, Yuichi;Miyazawa, Wataru;Den, Shoji;Hayashi, Yuzo</t>
  </si>
  <si>
    <t>Japan;Japan;Japan;Japan</t>
  </si>
  <si>
    <t>Kawagoe;Kawagoe;Saitama;Kawagoe</t>
  </si>
  <si>
    <t>Togo University;Nichimen Electronic Technology Corporation;Pioneer Electronic Corporation Tokorozawa Plant;Irie Koken Co., Ltd.</t>
  </si>
  <si>
    <t>116290195;116289860;116289602;101509375</t>
  </si>
  <si>
    <t>Shida N.</t>
  </si>
  <si>
    <t>Large-area electron cyclotron resonance plasma source with permanent magnets</t>
  </si>
  <si>
    <t>10.1143/JJAP.32.L1635</t>
  </si>
  <si>
    <t>2-s2.0-0027699487</t>
  </si>
  <si>
    <t>['¬© 1993', 'shaped aperture', 'rights reserved', 'radiation pattern', 'pattern data', 'electrical engineers', 'antenna employs']</t>
  </si>
  <si>
    <t>An aperture coupled patch antenna with a dual-lobed (cavity mode TM200) radiation pattern is described. The antenna employs a full-wavelength long patch fed via a butterfly-shaped aperture and a stripline feed network. This configuration provides high patch to feed network coupling and reduced back radiation. Measured return loss and pattern data are presented with proposals for several potential applications of this element. ¬© 1993, The Institution of Electrical Engineers. All rights reserved.</t>
  </si>
  <si>
    <t>2073-2074</t>
  </si>
  <si>
    <t>Hall, R. C.</t>
  </si>
  <si>
    <t>Herisau</t>
  </si>
  <si>
    <t>HUBER+SUHNER AG</t>
  </si>
  <si>
    <t>Hall R.</t>
  </si>
  <si>
    <t>Full-wave aperture coupled patch antenna</t>
  </si>
  <si>
    <t>10.1049/el:19931384</t>
  </si>
  <si>
    <t>2-s2.0-0027699583</t>
  </si>
  <si>
    <t>['¬© 1993', 'virtual sources', 'transmission within', 'transmission remarkably', 'suitable polarization', 'spread within', 'rights reserved', 'rectangular cross', 'investigated theoretically', 'dielectric properties', 'chosen individually']</t>
  </si>
  <si>
    <t>Radio-transmission within a tunnel of rectangular cross-section is investigated theoretically. Thealgorithm uses multiple reflections of the antennas as virtual sources. The dielectric properties of thewalls, the roof, and the bottom can be chosen individually, as well as different antenna diagramms andpolarizations. Examples for attenuation and delay-spread within a tunnel and within a hall for somefrequencies and polarizations are given. A suitable polarization can reduce the delay-spread of theradio-transmission remarkably. ¬© 1993, Walter de Gruyter. All rights reserved.</t>
  </si>
  <si>
    <t>270-275</t>
  </si>
  <si>
    <t>Rembold, Bernhard</t>
  </si>
  <si>
    <t>Rembold B.</t>
  </si>
  <si>
    <t>Simulation of Radio Transmission in a Tunnel</t>
  </si>
  <si>
    <t>10.1515/FREQ.1993.47.11-12.270</t>
  </si>
  <si>
    <t>2-s2.0-0027699596</t>
  </si>
  <si>
    <t>Korea Science and Engineering Foundation</t>
  </si>
  <si>
    <t>921-0800-002-2</t>
  </si>
  <si>
    <t>KOSEF</t>
  </si>
  <si>
    <t>['¬© 1993', 'without knowing', 'statistical properties', 'signal sources', 'proposed method', 'new problem', 'music method', 'exactly known', 'estimation error']</t>
  </si>
  <si>
    <t>Array signal processing | direction of arrival estimation | MUSIC</t>
  </si>
  <si>
    <t>A new problem, estimation of the direction of arrival (DOA) without knowing (or assuming) the number of signal sources, is addressed. In this paper we propose a method which is related to both the multiple signal classification (MUSIC) and Capon's methods. The performance of the proposed method when the number of signal sources is unknown is shown to be almost the same as that of the MUSIC method when the number of signal sources is exactly known. In addition, from the statistical properties, it is observed that the estimation error of the proposed method has almost the same variance as the MUSIC method, although the proposed method yields a slightly biased estimate. ¬© 1993.</t>
  </si>
  <si>
    <t>193-205</t>
  </si>
  <si>
    <t>7501393707;57209945485;34769714400</t>
  </si>
  <si>
    <t>Choi, Jinho;Song, Iickho;Kim, Hyung Myung</t>
  </si>
  <si>
    <t>Choi J.</t>
  </si>
  <si>
    <t>On estimating the direction of arrival when the number of signal sources is unknown</t>
  </si>
  <si>
    <t>10.1016/0165-1684(93)90162-4</t>
  </si>
  <si>
    <t>2-s2.0-0027700655</t>
  </si>
  <si>
    <t>['whistler waves', 'whistler mode', 'small portion', 'severe singularity', 'results show', 'resonance surfaces', 'radiated power', 'parametric form', 'one inside', 'near zone', 'logarithmic type', 'fourier component', 'field displays', 'field close', 'electric field', 'different values', 'copyright 1993', 'antenna loop', 'also curves', 'aligned parallel']</t>
  </si>
  <si>
    <t>In this paper we examine the electric field and radiated power produced in the near zone of a ring VLF antenna whose loop plane is aligned parallel to the external magnetic field. In this case there exist two resonance surfaces, one inside the other, which can be given in parametric form. The electric field singularity on the resonance surfaces is of a logarithmic type, but there are also curves and points (focuses) where the field displays a more severe singularity (branch pole type). The asymptotes of the field close to the resonance surfaces are given. Using the expression for the Fourier component of the antenna generated magnetic current, the radiated power and the percentage of the power that goes into the whistler mode are calculated for different values of the angle between the antenna loop and the external magnetic field. The results show that only a small portion of the radiated power is transferred to the whistler mode. Suggestions as to how to increase the portion of the radiated power that goes into whistler waves are discussed. Copyright 1993 by the American Geophysical Union.</t>
  </si>
  <si>
    <t>1087-1103</t>
  </si>
  <si>
    <t>;;;;</t>
  </si>
  <si>
    <t>7102269095;36934437700;6603919933;8437838100;6701368960</t>
  </si>
  <si>
    <t>Sotnikov, V. I.;Solovyev, G. I.;Ashour‚ÄêAbdalla, M.;Schriver, D.;Fiala, V.</t>
  </si>
  <si>
    <t>Sotnikov V.</t>
  </si>
  <si>
    <t>Structure of the near zone electric field and the power radiated from a VLF antenna in the ionosphere</t>
  </si>
  <si>
    <t>10.1029/93RS01369</t>
  </si>
  <si>
    <t>2-s2.0-0027700790</t>
  </si>
  <si>
    <t>['technique combines', 'storage requirement', 'solved via', 'radiation properties', 'proposed technique', 'integral methods', 'inhomogeneous dielectrics', 'ground plane', 'gradient method', 'element method', 'arbitrary shape']</t>
  </si>
  <si>
    <t>A hybrid numerical technique is presented for a characterization of the scattering and radiation properties of three-dimensional cavity arrays recessed in a ground plane. The technique combines the finite-element and boundary-integral methods and invokes Floquet‚Äôs representation to formulate a system of equations for the fields at The apertures and those inside the cavities. The system is solved via the conjugate-gradient method in conjunction with the fast Fourier transform thus achieving an O(N) storage requirement. By virtue of the finite-element method, the proposed technique is applicable to periodic arrays comprised of cavities having arbitrary shape and filled with inhomogeneous dielectrics. Several numerical results are presented, along with new measured data, which demonstrate the validity, efficiency, and capability of the technique. ¬© 1993 IEEE</t>
  </si>
  <si>
    <t>1580-1586</t>
  </si>
  <si>
    <t>7403588231;7102576479</t>
  </si>
  <si>
    <t>Jin, Jian Ming;Volakis, John L.</t>
  </si>
  <si>
    <t>Jin J.</t>
  </si>
  <si>
    <t>Scattering and Radiation Analysis of Three-Dimensional Cavity Arrays Via A Hybrid Finite-Element Method</t>
  </si>
  <si>
    <t>10.1109/8.267360</t>
  </si>
  <si>
    <t>2-s2.0-0027701001</t>
  </si>
  <si>
    <t>['transformed domain', 'substrate materials', 'rigorous full', 'principal axes', 'permeability tensors', 'galerkin method', 'formulation includes', 'every structure', 'domain approach', 'coordinate system']</t>
  </si>
  <si>
    <t>A rigorous full-wave analysis based on the spectral-domain approach for open and shielded slotline transmission lines is presented. The substrate materials under consideration are anisotropic, characterized by both their permittivity and permeability tensors. The formulation includes off-diagonal tensor elements to represent gyroelectric media, Ferrites, or the misalignment between the principal axes of the substrate and the coordinate system of the waveguide. Dyadic admittance Green‚Äôs functions for every structure are obtained with the help of differential matrix operators in the Fourier-transformed domain, and the Galerkin method is employed to find the propagation constants numerically. ¬© 1993 IEEE</t>
  </si>
  <si>
    <t>1872-1877</t>
  </si>
  <si>
    <t>7601449620;7103260492</t>
  </si>
  <si>
    <t>Chen, Yinchao;Benjamin, Beker</t>
  </si>
  <si>
    <t>Spectral-Domain Analysis of Open and Shielded Slotlines Printed on Various Anisotropic Substrates</t>
  </si>
  <si>
    <t>10.1109/22.273411</t>
  </si>
  <si>
    <t>2-s2.0-0027701169</t>
  </si>
  <si>
    <t>ECS-8957434</t>
  </si>
  <si>
    <t>['wavelength greater', 'various conductivity', 'thus demonstrating', 'study focuses', 'short circuit', 'one end', 'numerical results', 'normal mode', 'lossy media', 'helical antennas', 'heating characteristics', 'good agreement', 'free media', 'faster mode', 'experimental study', 'experimental studies', 'experimental data', 'combined theoretical', 'coaxial feedpoint', 'cathewter ablation', 'aqueous electrolyte', 'antenna diameter', 'analytical model']</t>
  </si>
  <si>
    <t>We report a combined theoretical and experimental study of the heating characteristics of helical antennas in lossy dielectric media. Proposed biomedical application of such antennas include angioplasty, hyperthermia, and cathewter ablation of tissue. The study focuses on helical antennas, operated in the normal mode (wavelength greater than antenna diameter but comparable to antenna length), that are terminated at one end by a short circuit and at the other by a coaxial feedpoint. The analytical model is based on the helical sheath approximation, extended to the case of lossy media. In addition, experimental studies were performed on helical antennas immersed in aqueous electrolyte of various conductivity. The antennas show two distinct modes of propagation: a slow mode similar to that observed in helical antennas in loss-free media, and a faster mode. The analytical/numerical results are in good agreement with experimental data, thus demonstrating the validity of the model. ¬© 1993 IEEE</t>
  </si>
  <si>
    <t>1878-1886</t>
  </si>
  <si>
    <t>60020444;60006297;60006297</t>
  </si>
  <si>
    <t>7003863537;7005850584;7202155857</t>
  </si>
  <si>
    <t>Mirotznik, Mark S.;Engheta, Nader;Foster, Kenneth R.</t>
  </si>
  <si>
    <t>Washington, D.C.;Philadelphia</t>
  </si>
  <si>
    <t>Catholic University of America;University of Pennsylvania</t>
  </si>
  <si>
    <t>60020444;60006297</t>
  </si>
  <si>
    <t>Mirotznik M.S.</t>
  </si>
  <si>
    <t>Heating Characteristics of Thin Helical Antennas with Conducting Cores in a Lossy Medium‚ÄîI: Noninsulated Antennas</t>
  </si>
  <si>
    <t>10.1109/22.273412</t>
  </si>
  <si>
    <t>2-s2.0-0027701170</t>
  </si>
  <si>
    <t>['¬© 1993', 'superconducting elements', 'rights reserved', 'possible applications', 'new end', 'measurements illustrate', 'length reduction', 'geometric changes', 'electrical engineers', 'corporate feed', 'array directivity']</t>
  </si>
  <si>
    <t>Antenna arrays | Directive antennas</t>
  </si>
  <si>
    <t>A new end-fire helical superdirective array configuration is described that achieves both height and length reduction but does not need a corporate feed. Computations and measurements illustrate the sensitivity of the array directivity and efficiency to geometric changes for significant electrical size reductions. Possible applications and the use of superconducting elements are discussed. ¬© 1993, The Institution of Electrical Engineers. All rights reserved.</t>
  </si>
  <si>
    <t>2002-2004</t>
  </si>
  <si>
    <t>60009658;60009658</t>
  </si>
  <si>
    <t>6602536785;7403018268</t>
  </si>
  <si>
    <t>Andrasic, G.;James, J. R.</t>
  </si>
  <si>
    <t>Andrasic G.</t>
  </si>
  <si>
    <t>Height reduced superdirective array with helical directors</t>
  </si>
  <si>
    <t>10.1049/el:19931335</t>
  </si>
  <si>
    <t>2-s2.0-0027701181</t>
  </si>
  <si>
    <t>['wavefront approximation', 'transient scattering', 'transient response', 'order plane', 'late time', 'hankel function', 'evaluate efficiently', 'early time', 'computed results', 'complex zeros']</t>
  </si>
  <si>
    <t>In this paper, the real axis integration technique is developed to compute the oscillatory infinite spectral integrals occurring in transient scattering by a perfect electrically conducting cylinder excited by a magnetic line source. Davidenko‚Äôs method is used to evaluate efficiently the complex azimuthal wavenumbers, namely, the complex zeros of the Hankel function in the order plane. The computed results of the transient Green‚Äôs function compare very well with those obtained by the wavefront approximation at early time, and by the singularity expansion method at late time. The real axis integration method can be used to compute the transient response for all time. ¬© 1993 IEEE</t>
  </si>
  <si>
    <t>1509-1515</t>
  </si>
  <si>
    <t>60018306;60018306</t>
  </si>
  <si>
    <t>57214294447;57202646895</t>
  </si>
  <si>
    <t>Yao, Hui Wen;Naishadham, Krishna</t>
  </si>
  <si>
    <t>Dayton</t>
  </si>
  <si>
    <t>Wright State University</t>
  </si>
  <si>
    <t>Yao H.W.</t>
  </si>
  <si>
    <t>An Efficient Computation of Transient Scattering by a Perfectly Conducting Cylinder</t>
  </si>
  <si>
    <t>10.1109/8.267350</t>
  </si>
  <si>
    <t>2-s2.0-0027701374</t>
  </si>
  <si>
    <t>['wiley company', 'weight reduction', 'transient response', 'system design', 'studied including', 'sap realizes', 'qr decomposition', 'processing equipment', 'paper describes', 'multipath fading', 'mass production', 'least squares', 'inc .,', 'identical functions', 'givens rotations', 'fundamental performances', 'enables miniaturization', 'data processing', 'algorithm based']</t>
  </si>
  <si>
    <t>adaptive array | digital radio system | parallel pipeline processing | Systolic array</t>
  </si>
  <si>
    <t>This paper describes an adaptive array antenna using a signal processing system which is implemented by a systolic array processor (SAP), SAP‚ÄêAA. Computer simulations show the behavior of the SAP‚ÄêAA against multipath fading. The SAP realizes a parallel pipelined processing by regularly placing many SAP cells with identical functions and structures so that it achieves the high throughput rate in the data processing. Also, the SAP has many desirable features for very large‚Äêscale integration (VLSI) system design and enables miniaturization, weight reduction, and mass production of the processing equipment. In this paper, first, the SAP‚ÄêAA is described which realizes the least squares (LS) algorithm based on the QR decomposition for the input data matrix using the Givens rotations. In addition, the fundamental performances of the SAP‚ÄêAA are studied including both the transient response and the steady‚Äêstate behavior in multipath signal environments. To date, there has been no report which treats the multipath signal suppression performance of the SAP‚ÄêAA. Finally, it is concluded from the discussion that the SAP‚ÄêAA is effective for unwanted signal suppression in a multipath signal environment. Copyright ¬© 1993 Wiley Periodicals, Inc., A Wiley Company</t>
  </si>
  <si>
    <t>95-104</t>
  </si>
  <si>
    <t>60014652;60014652;60014652;60014652</t>
  </si>
  <si>
    <t>6603767346;7203002051;35516180700;7404897527</t>
  </si>
  <si>
    <t>Ohmiya, Manabu;Kawabata, Tatsuya;Ogawa, Yasutaka;Itoh, Kiyohiko</t>
  </si>
  <si>
    <t>Ohmiya M.</t>
  </si>
  <si>
    <t>Multipath suppression performance of an adaptive array antenna with a systolic array processor</t>
  </si>
  <si>
    <t>10.1002/ecja.4410761109</t>
  </si>
  <si>
    <t>2-s2.0-0027701835</t>
  </si>
  <si>
    <t>F49620-92-C-0055</t>
  </si>
  <si>
    <t>['theoretical analysis', 'nonlinear circuit', 'measured data', 'fdtd algorithm']</t>
  </si>
  <si>
    <t>The FDTD algorithm is extended to perform a theoretical analysis of a two-element active antenna. A description is given of the procedures that were used to produce a stable large signal simulation of the active, nonlinear circuit. Some results are given and a comparison is made with measured data. ¬© 1993 IEEE</t>
  </si>
  <si>
    <t>423-425</t>
  </si>
  <si>
    <t>60027550;60027550;60027550;60027550</t>
  </si>
  <si>
    <t>6701754500;57218092435;7004288007;36041035600</t>
  </si>
  <si>
    <t>Toland, B.;Lin, J.;Houshmand, B.;Itoh, T.</t>
  </si>
  <si>
    <t>Toland B.</t>
  </si>
  <si>
    <t>FDTD Analysis of an Active Antenna</t>
  </si>
  <si>
    <t>10.1109/75.248520</t>
  </si>
  <si>
    <t>2-s2.0-0027701974</t>
  </si>
  <si>
    <t>['geometrical theory', 'copyright 1993', 'accurate representation']</t>
  </si>
  <si>
    <t>An accurate representation of circular aperture near fields, including those in the projected aperture region, is obtained through a modification of the geometrical theory of diffraction launching coefficient. Copyright 1993 by the American Geophysical Union.</t>
  </si>
  <si>
    <t>1253-1258</t>
  </si>
  <si>
    <t>24512080300;6603390006</t>
  </si>
  <si>
    <t>Hansen, R. C.;Libelo, Louis F.</t>
  </si>
  <si>
    <t>Hansen R.</t>
  </si>
  <si>
    <t>Near‚Äêfield patterns of circular aperture antennas</t>
  </si>
  <si>
    <t>10.1029/93RS02119</t>
  </si>
  <si>
    <t>2-s2.0-0027702138</t>
  </si>
  <si>
    <t>Advanced Research Projects Agency</t>
  </si>
  <si>
    <t>['true time', 'octave bandwidth', 'nominally equal', 'microwave signal', 'elegant optical', 'delay operation', 'delay function', 'delay fibers', 'control technique', 'beam angle', 'array antennas', 'antenna element']</t>
  </si>
  <si>
    <t>We describe and present experimental results for a novel and elegant optical-control technique for implementing a true time-delay function for array antennas. A microwave signal is transmitted on a wavelength-tunable optical carrier through a fiber-optic prism‚Äîa set of nominally equal-delay fibers with differing net dispersion‚Äîto photodetectors that feed each antenna element. The relative interelement time-delay (beam angle) adjustment is accomplished by tuning the optical carrier wavelength. Measured antenna patterns of a two-element array clearly demonstrate beam steering and true time-delay operation over a two-octave bandwidth of 2‚Äì8 GHz. ¬© 1993 IEEE</t>
  </si>
  <si>
    <t>1347-1349</t>
  </si>
  <si>
    <t>60027271;60027271;60027271;60027271;60027271;60027271;60027271</t>
  </si>
  <si>
    <t>7005229250;35458989800;7007145670;23003948200;7101852187;36804356200;7404354832</t>
  </si>
  <si>
    <t>Esman, Ronald D.;Frankel, Michael Y.;Dexter, J. L.;Goldberg, L.;Parent, M. G.;Stilwell, D.;Cooper, D. G.</t>
  </si>
  <si>
    <t>Esman R.</t>
  </si>
  <si>
    <t>Fiber-optic prism true time-delay antenna feed</t>
  </si>
  <si>
    <t>10.1109/68.250065</t>
  </si>
  <si>
    <t>2-s2.0-0027702205</t>
  </si>
  <si>
    <t>['small distances', 'series representation', 'proposed technique', 'planar junction', 'perturbative method', 'perfectly conducting', 'integral representation', 'integer order', 'field scattered', 'field calculations', 'bessel functions', 'asymptotic expression']</t>
  </si>
  <si>
    <t>By using a perturbative method, an integral representation for the field scattered by a planar junction between a perfectly conducting and a periodically loaded impedance surface is determined, when the junction is illuminated by a plane wave perpendicularly incident on its edge. Both a uniform, asymptotic expression and a series representation are presented for the first-order perturbative correction to the field scattered by the junction. The series representation is expressed in terms of Bessel functions of integer order and is suitable for field calculations at small distances from the edge. Several numerical results are presented to demonstrate the applicability of the proposed technique. ¬© 1993 IEEE</t>
  </si>
  <si>
    <t>1516-1522</t>
  </si>
  <si>
    <t>60021859;60021859;60028868;</t>
  </si>
  <si>
    <t>7102464308;55575947900;57202013456;57209635776</t>
  </si>
  <si>
    <t>Pelosi, Giuseppe;Freni, Angelo;Manara, Giuliano;Bernard, Jean Michel</t>
  </si>
  <si>
    <t>Italy;Italy</t>
  </si>
  <si>
    <t>Pisa;Florence</t>
  </si>
  <si>
    <t>Universit√† di Pisa;Universit√† degli Studi di Firenze</t>
  </si>
  <si>
    <t>60028868;60021859</t>
  </si>
  <si>
    <t>Pelosi G.</t>
  </si>
  <si>
    <t>Diffraction by a Planar Junction between a Perfectly Conducting and a Periodically Loaded Impedance Surface</t>
  </si>
  <si>
    <t>10.1109/8.267351</t>
  </si>
  <si>
    <t>2-s2.0-0027702504</t>
  </si>
  <si>
    <t>['v ).', 'transmitted polarization', 'reciprocity assumption', 'radar systems', 'provide tests', 'model linearity', 'make use', 'distortion matrices', 'calibration method', 'calibration approach']</t>
  </si>
  <si>
    <t>A general polarimetrie model for orbital and earth SAR systems, which explicitly includes key radar architecture elements and is not dependent on the reciprocity assumption has been developed. The model includes systems whose receiving configuration is independent of the transmitted polarization (one configuration), as well as systems with two distinct receiving configurations according to the commanded transmitted polarization (H or V). The distortion matrices in this model separately consider parameters that are independent of target illumination angle and those with illumination angle dependence, thus allowing calibration approaches which are valid for targets at different illumination angles, provided that the complex antenna elevation gains are known. The calibration methods presented here make use of the model linearity to provide tests for the radar model accuracy and for SAR data quality. X-band polarimetric SAR data acquired by CCRS in 1989, is used to validate the theory and to illustrate the calibration approach. Extension of the model and calibration method to other radar systems is discussed. ¬© 1993 IEEE</t>
  </si>
  <si>
    <t>1132-1145</t>
  </si>
  <si>
    <t>60005603-60084866;60005603;;60005603</t>
  </si>
  <si>
    <t>7004370821;7006165751;7004291464;55947137500</t>
  </si>
  <si>
    <t>Touzi, Ridha;Livingstone, Charles E.;Lafontaine, J. R.C.;Lukowski, Tom I.</t>
  </si>
  <si>
    <t>St Jean-sur-Richelieu;Ottawa</t>
  </si>
  <si>
    <t>Coll√®ge Militaire Royal de Saint-Jean;Canada Centre for Remote Sensing</t>
  </si>
  <si>
    <t>60084866;60005603</t>
  </si>
  <si>
    <t>Touzi R.</t>
  </si>
  <si>
    <t>Consideration of Antenna Gain and Phase Patterns for Calibration of Polarimetric SAR Data</t>
  </si>
  <si>
    <t>10.1109/36.317449</t>
  </si>
  <si>
    <t>2-s2.0-0027702686</t>
  </si>
  <si>
    <t>['wave velocity', 'velocity excess', 'typical examples', 'stepped bore', 'soliton nature', 'soliton manifestations', 'shelf zone', 'precursor waves', 'nonlinear nature', 'measured waves', 'linear waves', 'journal summary', 'internal waves', 'first mode', 'dispersion relation', 'caspian sea']</t>
  </si>
  <si>
    <t>Discusses results obtained for measurements of intense internal waves by spatial distributed temperature sensor antennas in the shelf zone of the Caspian Sea and Sea of Japan. It is shown that the discrepancy in the dispersion relation for linear internal waves of the first mode from the parameters of the measured waves is associated with the nonlinear nature of the latter. The observed waves showed characteristic properties indicating their soliton nature: the velocity excess for linear waves, the variation in wave velocity as a function of amplitude, etc. Typical examples are given for soliton manifestations of internal waves on the self-waves on a stepped bore and precursor waves, and their closeness to solitons for the Korteweg-de Vries equation is shown. -Journal Summary</t>
  </si>
  <si>
    <t>229-238</t>
  </si>
  <si>
    <t>Izvestiya - Atmospheric &amp; Oceanic Physics</t>
  </si>
  <si>
    <t>Serebryanyy, A. N.</t>
  </si>
  <si>
    <t>Serebryanyy A.</t>
  </si>
  <si>
    <t>Manifestation of soliton properties on internal waves on a shelf</t>
  </si>
  <si>
    <t>2-s2.0-0027705515</t>
  </si>
  <si>
    <t>['¬© 1994', 'work currently', 'stored data', 'shielded volume', 'rre presented', 'optimum operation', 'intertransputer communication', 'improve run', 'electrical signals', 'decreased run', 'concurrent processing', 'based pc']</t>
  </si>
  <si>
    <t>3D FDTD method | EMP propagation | Maxwell≈õ equations | microstrip antenna | parallel processing</t>
  </si>
  <si>
    <t>The authors have applied the 3D FDTD technique to simulate the propagation of electrical signals on a microstrip antenna using a four-transputer array connected to a 386-based PC. This relates to work currently being carried out into the propagation of very high speed digital pulse in printed circuit boards in high bandwidth systems. Methods have been devised by the authors which reduce the amount of stored data and improve run-time. These methods include subgridding, shielded volume and concurrent processing of the problem. Results have been obtained and rre presented in this paper to show improved accuracy and decreased run-time. An analysis of run-time to the number of transputers in an array for optimum operation has been presented. A trade-off between intertransputer communication of segment boundary conditions and the size of each segment has also been discussed in the paper. ¬© 1994.</t>
  </si>
  <si>
    <t>149-159</t>
  </si>
  <si>
    <t>Advances in Engineering Software</t>
  </si>
  <si>
    <t>60018186;60018186</t>
  </si>
  <si>
    <t>56206746600;55323707600</t>
  </si>
  <si>
    <t>Buchanan, W. J.;Gupta, N. K.</t>
  </si>
  <si>
    <t>Edinburgh Napier University</t>
  </si>
  <si>
    <t>Buchanan W.</t>
  </si>
  <si>
    <t>Parallel processing techniques in EMP propagation using 3D Finite-Difference Time-Domain (FDTD) method</t>
  </si>
  <si>
    <t>096599789390062X</t>
  </si>
  <si>
    <t>10.1016/0965-9978(93)90062-X</t>
  </si>
  <si>
    <t>2-s2.0-0027706598</t>
  </si>
  <si>
    <t>['wiley company', 'tsukuba university', 'schottky diodes', 'radial distribution', 'inc .,']</t>
  </si>
  <si>
    <t>imaging | Millimeter wave | plasma diagnostics | Yagi antenna</t>
  </si>
  <si>
    <t>A ten‚Äêelement imaging array which consists of an integrated antenna‚Äêdetector system that incorporates trap‚Äêloaded Yagi antennas and Schottky diodes has been developed for operation in the millimeter‚Äêwave band around 70 GHz. Also, a prototype optical system that comprises a millimeter‚Äêwave phase‚Äêimaging interferometer has been designed and fabricated. They were fitted to the GAMMA 10 tandem mirror at Tsukuba University. A real‚Äêtime measurement of the radial distribution of the plasma electron density was successfully demonstrated using those systems. Copyright ¬© 1993 Wiley Periodicals, Inc., A Wiley Company</t>
  </si>
  <si>
    <t>103-112</t>
  </si>
  <si>
    <t>60008435;60008435;60008435;60008435;60008435</t>
  </si>
  <si>
    <t>7201993763;7004067332;23016189800;7202708368;36818671300</t>
  </si>
  <si>
    <t>Uehara, Kazuhiro;Yonekura, Takeshi;Nishimura, Hiroshi;Miyashita, Kazuhito;Mizuno, Koji</t>
  </si>
  <si>
    <t>Uehara K.</t>
  </si>
  <si>
    <t>Optics design for a millimeter‚Äêwave phase‚Äêimaging system and its application to plasma diagnostics</t>
  </si>
  <si>
    <t>10.1002/ecja.4410761210</t>
  </si>
  <si>
    <t>2-s2.0-0027710049</t>
  </si>
  <si>
    <t>['terminal galactose', 'present system', 'erythroagglutinating phytohemagglutinin', 'desialylated afp', 'cord blood', 'carbohydrate structures', 'biantennary structures', 'arm also', 'affinity electrophoresis']</t>
  </si>
  <si>
    <t>Erythroagglutinating phytohemagglutinin (E‚ÄêPHA)‚Äêdependent isoforms of human Œ±‚Äêfetoprotein (AFP) from cord blood were analyzed for their carbohydrate structures by two‚Äêdimensional electrophoresis with E‚ÄêPHA combined with extended agarose gel electrophoresis or with affinity electrophoresis with concanavalin A or Allomyrina dichtoma lectin. By means of neuraminidase and/or Œ≤‚Äêgalactosidase treatment, AFP‚ÄêP2 was identified as Œ±2‚Üí6 disialo‚ÄêAFP, AFP‚ÄêP3 as having biantennary structures with Œ±2‚Üí6 monosialylated galactose of the Mannose (Man) Œ±1‚Üí6 arm, AFP‚ÄêP4 as having Œ±2‚Üí6 monosialylated galactose of the Man Œ±1‚Üí3 arm, and AFP‚ÄêP5 as disialo‚ÄêAFP with Œ±2‚Üí3 sialylated galactose of the Man Œ±1‚Üí6 antenna and with Œ±2‚Üí6 sialylated galactose of the other antenna. Desialylated AFP with the terminal galactose of the Man Œ±1‚Üí6 antenna with or without the galactose of the other arm also had a migration of AFP‚ÄêP4, and other hydrolytic intermediates without the terminal galactose of the Man Œ±1‚Üí6 arm with and without the galactose of the other antenna had mobilities of AFP‚ÄêP3s and AFP‚ÄêP3, respectively. Thus, the present system of two‚Äêdimensional lectin affinity electrophoreses would provide a model for the determination of the sugar chain structure of glycoproteins. Copyright ¬© 1993 VCH Verlagsgesellschaft mbH</t>
  </si>
  <si>
    <t>1333-1337</t>
  </si>
  <si>
    <t>60022154;60022154;100508350</t>
  </si>
  <si>
    <t>55572366800;56801951000;7006227050</t>
  </si>
  <si>
    <t>Taketa, Kazuhisa;Fujii, Yasuto;Taga, Hiroko</t>
  </si>
  <si>
    <t>Okayama;Kokubunji</t>
  </si>
  <si>
    <t>Okayama University Medical School;Tumor Laboratory</t>
  </si>
  <si>
    <t>60022154;100508350</t>
  </si>
  <si>
    <t>Characterization of E‚ÄêPHA‚Äêreactive Œ±‚Äêfetoprotein isoforms by two‚Äêdimensional lectin affinity electrophoresis</t>
  </si>
  <si>
    <t>10.1002/elps.11501401205</t>
  </si>
  <si>
    <t>2-s2.0-0027715073</t>
  </si>
  <si>
    <t>['wiley company', 'planar structure', 'planar patch', 'patch surface', 'numerical analysis', 'msas normally', 'msas ).', 'mobile communication', 'microstrip antennas', 'input impedance', 'inc .,', 'experimental results', 'cylindrical surfaces', 'curved surface', 'conformal msas', 'conformal antenna', 'close agreement', 'analyzed using', 'analytical results', 'actual experiment', 'active research']</t>
  </si>
  <si>
    <t>conformal antenna | conformal grids FD‚ÄêTD method | curved structure | FD‚ÄêTD method | Microstrip antenna</t>
  </si>
  <si>
    <t>With the development of mobile communication, active research is being done on the small‚Äêsized antennas such as microstrip antennas (MSAs). Moreover, MSAs normally are placed on spherical or cylindrical surfaces as a conformal antenna. Conformal MSAs are expected to have different characteristics compared to planar structure. In this case, numerical analysis is needed before the actual experiment. The method of analysis which has wide applications may be considered as efficient for this purpose. One such method is the conformal grids finite‚Äêdifferent time‚Äêdomain method (FD‚ÄêTD method). In this paper, an MSA on a curved surface is analyzed using the conformal grids FD‚ÄêTD method. Moreover, comparison with the experimental values also is performed. The experimental results and the analytical results are in close agreement which shows the validity of the method of analysis. As a result, it is confirmed that in the range of this paper, the input impedance and radiation pattern varies from their values for the planar patch when the patch surface is curved. Copyright ¬© 1993 Wiley Periodicals, Inc., A Wiley Company</t>
  </si>
  <si>
    <t>73-81</t>
  </si>
  <si>
    <t>60104206;60014652;60014652</t>
  </si>
  <si>
    <t>6701751818;55574713100;57214925937</t>
  </si>
  <si>
    <t>Oonishi, Teruo;Kashiwa, Tatsuya;Fukai, Ichiro</t>
  </si>
  <si>
    <t>Kanagawa;Sapporo</t>
  </si>
  <si>
    <t>Toyo Communication Equipment Co., Ltd.;Hokkaido University</t>
  </si>
  <si>
    <t>60104206;60014652</t>
  </si>
  <si>
    <t>Oonishi T.</t>
  </si>
  <si>
    <t>Analysis of microstrip antennas on a curved surface using the conformal grids fd‚Äêtd method</t>
  </si>
  <si>
    <t>10.1002/ecja.4410761207</t>
  </si>
  <si>
    <t>2-s2.0-0027720935</t>
  </si>
  <si>
    <t>['well tolerated', 'weak stream', 'urethral temperatures', 'symmetrical trilobar', 'study demonstrates', 'site study', 'single session', 'side effects', 'seek treatment', 'primary objective', 'patient tolerability', 'obstructive score', 'motivating symptom', 'microwave antenna', 'mean power', 'daytime frequency', 'continuously monitored', 'considered mild', 'august 1991', '60 minutes', '6 weeks', '296 mhz', '20f catheter', '150 patients', '150 cc', '12 months', '1 watts', '0001 ).']</t>
  </si>
  <si>
    <t>heating | microwaves | prostate | prostatic hypertrophy</t>
  </si>
  <si>
    <t>The primary objective of the study was to determine the safety and efficacy of transurethral microwave thermotherapy for the treatment of symptomatic benign prostatic hyperplasia. From March to August 1991, 150 patients were entered into a multi-site study and treated with transurethral microwave thermotherapy under a Food and Drug Administration approved protocol. Only patients with symmetrical trilobar or bilobar prostatic hypertrophy, peak flow rate of less than 15 cc per second (on 2 voided volumes of 150 cc or greater) and a total Madsen symptom score of more than 8 were treated. Transurethral microwave thermotherapy was performed with a 20F catheter and 1,296 MHz. microwave antenna for 60 minutes. The mean power achieved for this single session was 32.1 watts, with a mean power at maximum urethral temperature of 41.1 watts. Mean urethral temperature was 44.3C and the mean rectal temperature was 42.2C. The rectal and urethral temperatures were continuously monitored. Mean peak urinary flow rates, Madsen symptom score, post-void residual volume and improvement in motivating symptom to seek treatment were measured at 6 weeks, and 3, 6 and 12 months. Mean peak urinary flow rates improved 33% at 12 months (p &lt;0.0001). Overall, the mean Madsen symptom score improved 61% (p &lt;0.0001). The obstructive score and the irritative score improved 67% and 43%, respectively. Of 17 patients 12 (71%) reported improvement in weak stream when that was the motivating symptom to seek treatment. Of 28 men 18 (64%) reported improvement in nocturia, while 11 of 30 (37%) reported improvement in daytime frequency and 12 of 17 (71%) reported improvement in urgency. There was no statistically significant difference in post-void residual volume at 12 months from baseline. The treatment was well tolerated by all patients, and side effects were considered mild and transitory. Our study demonstrates the safety, effectiveness, patient tolerability and durability of transurethral microwave thermotherapy.</t>
  </si>
  <si>
    <t>1591-1596</t>
  </si>
  <si>
    <t>5 II</t>
  </si>
  <si>
    <t>60009553;60009553;60009553;60009553;60009553;60009553;60009553</t>
  </si>
  <si>
    <t>35406072700;6701698228;7006229529;6701329691;57189634195;7201419768;6506199192</t>
  </si>
  <si>
    <t>Blute, M. L.;Tomera, K. M.;Hellerstein, D. K.;McKiel, C. F.;Lynch, J. H.;Regan, J. B.;Sankey, N. E.</t>
  </si>
  <si>
    <t>Mayo Clinic Education and Research</t>
  </si>
  <si>
    <t>Blute M.L.</t>
  </si>
  <si>
    <t>Transurethral microwave thermotherapy for management of benign prostatic hyperplasia: Results of the United States Prostatron Cooperative Study</t>
  </si>
  <si>
    <t>S0022534717358524</t>
  </si>
  <si>
    <t>10.1016/s0022-5347(17)35852-4</t>
  </si>
  <si>
    <t>2-s2.0-0027737054</t>
  </si>
  <si>
    <t>['varying parameters', 'treatment planning', 'solved using', 'interstitial antennas', 'inhomogeneous tissue', 'human body', 'heat conduction', 'distribution patterns', 'difference time', 'determined using', 'cancerous regions', 'bioheat equation']</t>
  </si>
  <si>
    <t>In this paper, the heating (temperature) distribution patterns of an array of uniformly and step-insulated interstitial antennas located in inhomogeneous tissue and cancerous regions of the human body are calculated. Specifically, the bioheat equation, which takes into account various heat exchange mechanisms such as blood flow rate, heat conduction, and metabolic heat generation, was solved using the finite difference method, while the electromagnetic power absorbed (SAR) in the tissue region heated using an array of interstitial antennas was determined using the finite-difference time-domain (FDTD) method. Numerical results showing the validation of the developed computer program are presented, and the effect of varying parameters such as the bluod How rate on the resulting heating rate and patterns are examined. Possible clinical implementation of the developed temperature distribution-EM power deposition pattern computer code in treatment planning is described. ¬© 1993 IEEE</t>
  </si>
  <si>
    <t>771-779</t>
  </si>
  <si>
    <t>60025488;60025488</t>
  </si>
  <si>
    <t>7006909319;34769915200</t>
  </si>
  <si>
    <t>Cherry, Paul C.;Iskander, Magdy F.</t>
  </si>
  <si>
    <t>Salt Lake City</t>
  </si>
  <si>
    <t>The University of Utah</t>
  </si>
  <si>
    <t>Cherry P.C.</t>
  </si>
  <si>
    <t>Calculations of Heating Patterns of an Array of Microwave Interstitial Antennas</t>
  </si>
  <si>
    <t>10.1109/10.238461</t>
  </si>
  <si>
    <t>2-s2.0-0027740976</t>
  </si>
  <si>
    <t>['wiley company', 'sector beamwidth', 'increasing rapidly', 'inc .,', 'driven element', 'corner reflector', 'corner length', 'comer angle', 'absolute beamwidth', '140 ¬∞.']</t>
  </si>
  <si>
    <t>corner angle | corner length | corner reflector antenna | Dual frequency | parasitic element | same beamwidth</t>
  </si>
  <si>
    <t>The demand for expanded mobile communication capacity is increasing rapidly. It is expected that in addition to the currently used 900‚ÄêMHz band, the 1.5‚ÄêGHz band will have to be utilized. An antenna is designed so that it has the same sector beamwidth in both bands. The antenna is realized by placing a rod‚Äêtype parasitic element close to the driven element which is parallel to a corner reflector having a comer angle of 140¬∞. The absolute beamwidth is determined by the corner length. Copyright ¬© 1993 Wiley Periodicals, Inc., A Wiley Company</t>
  </si>
  <si>
    <t>64-72</t>
  </si>
  <si>
    <t>56130232400;35564404500</t>
  </si>
  <si>
    <t>Suzuki, Tamami;Kagoshima, Kenichi</t>
  </si>
  <si>
    <t>Suzuki T.</t>
  </si>
  <si>
    <t>Corner reflector antenna with the same beamwidth in two frequency bands</t>
  </si>
  <si>
    <t>10.1002/ecja.4410761206</t>
  </si>
  <si>
    <t>2-s2.0-0027745070</t>
  </si>
  <si>
    <t>['wiley company', 'tilt angle', 'studied theoretically', 'shown clearly', 'radiation characteristics', 'planar antenna', 'paper proposes', 'new type', 'inc .,', 'following conclusions', 'fabricated based', 'effectively applicable', 'design method', 'boresight antenna', 'aperture efficiency', '90 percent']</t>
  </si>
  <si>
    <t>beamtilt | high‚Äêefficiency microstrip antenna | Planar antenna | radial line</t>
  </si>
  <si>
    <t>This paper proposes a new type of radial line microstrip antenna and studies both the design method and radiation characteristics. The following conclusions are obtained. (1) The relationship between the basic design parameters of this new type of planar antenna and the radiation characteristics was demonstrated, and the essential design data of this type of antenna were obtained. (2) A boresight antenna was fabricated based on the design data obtained in the foregoing, and it was shown clearly that such a type of antenna system offers an aperture efficiency of above 90 percent, ranging from the small‚Äêaperture (low‚Äêgain) type to the large‚Äêaperture (high‚Äêgain) type. (3) A beam‚Äêtilt type antenna also was studied theoretically as well as experimentally, and the relationship of its radiation characteristics with the tilt angle and aperture efficiency was explained. It was demonstrated that such an antenna system may be considered to be effectively applicable as a high‚Äêefficiency circularly polarized planar antenna. Copyright ¬© 1993 Wiley Periodicals, Inc., A Wiley Company</t>
  </si>
  <si>
    <t>93-102</t>
  </si>
  <si>
    <t>36800643100;7404854253;6603687544</t>
  </si>
  <si>
    <t>Shibata, Osamu;Saito, Sakuyoshi;Haneishi, Misao</t>
  </si>
  <si>
    <t>Shibata O.</t>
  </si>
  <si>
    <t>Radiation properties of microstrip array antennas fed by radial line</t>
  </si>
  <si>
    <t>10.1002/ecja.4410761209</t>
  </si>
  <si>
    <t>2-s2.0-0027760607</t>
  </si>
  <si>
    <t>P01CA042745</t>
  </si>
  <si>
    <t>780-787</t>
  </si>
  <si>
    <t>60008724;60008724;60113147;60113147</t>
  </si>
  <si>
    <t>55876267500;7004721662;35829765600;35475361200</t>
  </si>
  <si>
    <t>Zhang, Yang;Joines, William T.;Jirtle, Randy L.;Samulski, Thaddeus V.</t>
  </si>
  <si>
    <t>Durham;Durham</t>
  </si>
  <si>
    <t>Duke University Medical Center;Duke University</t>
  </si>
  <si>
    <t>60113147;60008724</t>
  </si>
  <si>
    <t>Zhang Y.</t>
  </si>
  <si>
    <t>Theoretical and Measured Electric Field Distributions within an Annular Phased Array: Consideration of Source Antennas</t>
  </si>
  <si>
    <t>10.1109/10.238462</t>
  </si>
  <si>
    <t>2-s2.0-0027762447</t>
  </si>
  <si>
    <t>['strain rate', 'strain grid', 'reference bases', 'receivers acted', 'may indicate', 'least four', 'ice within', 'ice sheet', 'grid covers', 'flowing stream', 'anomalous currents', '25 km']</t>
  </si>
  <si>
    <t>A strain grid on the surface of the West Antarctic Ice Sheet was surveyed by continuously tracking phase from antennas on moving sleds towed by snowmobiles. The grid covers a 25 km by 10 km region on a fast-flowing stream of ice within the ice sheet. At least four such anomalous currents are now active. Their origins and implications are yet to be determined, but they may indicate the collapse of the ice sheet. The objective of this work is to study horizontal gradients in strain rate to determine the internal mechanical controls on the streaming ice flow. In operation, geodetic-quality Global Positioning System (GPS) receivers acted as reference bases. Two similar receivers were towed on sleds to each of the stations of the grid. -from Authors</t>
  </si>
  <si>
    <t>151-158</t>
  </si>
  <si>
    <t>Surveying &amp; Land Information Systems</t>
  </si>
  <si>
    <t>6701778026;7004056617</t>
  </si>
  <si>
    <t>Hulbe, C. L.;Whillans, I. M.</t>
  </si>
  <si>
    <t>Hulbe C.</t>
  </si>
  <si>
    <t>Stop-and-go GPS in Antarctica</t>
  </si>
  <si>
    <t>2-s2.0-0027786729</t>
  </si>
  <si>
    <t>['weakly reactive', 'totally deprived', 'three peaks', 'suggesting secretion', 'sugar units', 'sugar residues', 'sugar molecules', 'results showed', 'previously proposed', 'pregnant women', 'peripheral tissues', 'peripheral monosaccharides', 'page separation', 'oligosaccharide chains', 'molecules apparently', 'molecular weight', 'methods used', 'incompletely trimmed', 'hplc separation', 'hcg molecules', 'glucosamine 5', 'galactose 2', 'galactosamine 0', 'fucose 1', 'bind concanavalin', 'bind con', 'approximately 22', 'anion exchange']</t>
  </si>
  <si>
    <t>We have analysed the structure and composition of the Œ≤-core fragment of human chorionic gonadotrophin (Œ≤C-hCG) from fresh urine specimens obtained from pregnant women and compared our findings with those previously proposed by other groups using different protocols. SDS-PAGE separation of reduced Œ≤C-hCG demonstrated two major bands with apparent molecular weights of M(r) 8900 and M(r) 7500. The molecular weight of the agalacto Œ≤C-hCG was estimated to be M(r) 10218 from the amino acid analysis after high-performance liquid chromatography (HPLC) separation. Moreover, HPLC separation of its reduced and S-carboxymethylated peptides resulted in three peaks, but only two of them could be sequenced and demonstrated to be the previously reported Œ≤6-40 (M(r) 5000) and Œ≤55-92 (M(r) 5300) peptides of the Œ≤hCG subunit. The results showed that 56-78% of Œ≤C-hCG molecules of molecular weight M(r) 12800 were able to bind Concanavalin A (Con A). While most were lacking all the peripheral monosaccharides and terminated in mannose, some retained other sugar residues on their antennae. Direct carbohydrate analysis showed the following molar content normalized to six mannose molecules: galactose 2.8, glucosamine 5.3, galactosamine 0.3, fucose 1.7 and sialic acid 3.0. Approximately 22-44% of the Œ≤C-hCG molecules did not bind Con A (Con A non-reactive forms), of which 88% were totally deprived of sugar units and had an apparent molecular weight of approximately M(r) 10000, and 12% were weakly reactive to Con A and reactive to anion exchange (negatively charged forms), being incompletely trimmed of their oligosaccharide chains. Comparison of our results with those of two other groups have indicated that the differences noted among preparations are due to either the source or the methods used to purify and characterize this fragment. In addition, our results showed significant microheterogeneity on the N-linked oligosaccharide moieties with some molecules apparently having no sugar molecules. These results have implications for the origins of Œ≤C-hCG, suggesting secretion of some molecules without sugar chains and in other cases possible metabolism of hCG in the peripheral tissues.</t>
  </si>
  <si>
    <t>519-532</t>
  </si>
  <si>
    <t>Journal of Endocrinology</t>
  </si>
  <si>
    <t>60009512;60009512;60009512;60009512</t>
  </si>
  <si>
    <t>55887091700;7005353019;7201785604;7202169731</t>
  </si>
  <si>
    <t>De Medeiros, S. F.;Amato, F.;Matthews, C. D.;Norman, R. J.</t>
  </si>
  <si>
    <t>De Medeiros S.</t>
  </si>
  <si>
    <t>Molecular heterogeneity of the Œ≤-core fragment of human chorionic gonadotrophin</t>
  </si>
  <si>
    <t>10.1677/joe.0.1390519</t>
  </si>
  <si>
    <t>2-s2.0-0027787796</t>
  </si>
  <si>
    <t>['uranium anomalies', 'thorium normalization', 'structural traps', 'six states', 'new process', 'gas fields', 'environmental variables', 'correcting potassium', 'aerial gamma', '706 oil']</t>
  </si>
  <si>
    <t>A new exploration method has been developed using surface and aerial gamma-ray spectral measurements in prospecting for petroleum in stratigraphic and structural traps. Formerly troublesome lithologic and environmental variables are suppressed by correcting potassium and uranium readings using a new process of thorium normalization. Studies of National Uranium Resource Evaluation Program aerial, gamma-ray, spectral data covering portions of six states have shown characteristic normalized potassium and uranium anomalies above 72.7% of 706 oil and gas fields. Ground-based, gamma-ray, spectral measurements found the same types of potassium and uranium anomalies over all twelve fields evaluated. -from Authors</t>
  </si>
  <si>
    <t>1417-1427</t>
  </si>
  <si>
    <t>Geophysics</t>
  </si>
  <si>
    <t>7202074968;6603354445;7004658953;7404237982</t>
  </si>
  <si>
    <t>Saunders, D. F.;Burson, K. R.;Branch, J. F.;Thompson, C. K.</t>
  </si>
  <si>
    <t>Saunders D.F.</t>
  </si>
  <si>
    <t>Relation of thorium-normalized surface and aerial radiometric data to subsurface petroleum accumulations</t>
  </si>
  <si>
    <t>10.1190/1.1443357</t>
  </si>
  <si>
    <t>2-s2.0-0027789053</t>
  </si>
  <si>
    <t>['potential savings', 'photographic mission', 'phase center', 'operational requirements', 'offset vector', 'gps receiver', 'gps photogrammetry', 'gps antenna', 'good understanding', 'flight planning', 'expense offered', 'data processing', 'also required', 'aerial photography', 'aerial camera']</t>
  </si>
  <si>
    <t>The term "GPS photogrammetry' is applied to the use of an airborne global positioning system (GPS) receiver in conjunction with the collection of aerial photography. The photogrammetric mapping community has recognized the potential savings in time, effort, and expense offered by the use of GPS photogrammetry. The success of the photographic mission, however, depends on a good understanding of the operational requirements, and their effect on flight planning and data processing. There are many practical issues that must be addressed before undertaking a GPS photogrammetry project. These issues include selecting and mounting a GPS antenna on the aircraft, connecting the GPS receiver to the aerial camera, and determining the offset vector from the phase center of the GPS antenna to the camera nodal point. Knowledge of the basics of the global positioning system, GPS data processing, and photogrammetric block adjustments is also required. -Authors</t>
  </si>
  <si>
    <t>1611-1617</t>
  </si>
  <si>
    <t>Photogrammetric Engineering &amp; Remote Sensing</t>
  </si>
  <si>
    <t>57216142983;6506359445</t>
  </si>
  <si>
    <t>Curry, S.;Schuckman, K.</t>
  </si>
  <si>
    <t>Curry S.</t>
  </si>
  <si>
    <t>Practical considerations for the use of airborne GPS for photogrammetry</t>
  </si>
  <si>
    <t>2-s2.0-0027789413</t>
  </si>
  <si>
    <t>['three translational', 'satellite systems', 'orientation system', 'onboard positioning', 'measuring system', 'integrated ins', 'gps approach', 'gps ).', 'general model', 'exterior orientation', 'discrete measurements', 'directly related', 'briefly discussed', 'antenna receivers']</t>
  </si>
  <si>
    <t>A general model for the georeferencing of remotely sensed data by an onboard positioning and orientation system is presented as a problem of rigid body motion. The determination of the six independent parameters of motion by discrete measurements from inertial and satellite systems is directly related to the problem of exterior orientation. The contribution of each measuring system to the determination of the three translational and three rotational parameters is treated in detail, with emphasis on the contribution of inertial navigation systems (INS) and single- and multi-antenna receivers of the Global Positioning System (GPS). The advantages of an integrated INS/GPS approach are briefly discussed. -from Authors</t>
  </si>
  <si>
    <t>1667-1674</t>
  </si>
  <si>
    <t>7201446364;57203027250;7202419825;57211236643</t>
  </si>
  <si>
    <t>Schwarz, K. P.;Chapman, M. A.;Cannon, M. E.;Gong, P.</t>
  </si>
  <si>
    <t>Schwarz K.P.</t>
  </si>
  <si>
    <t>An integrated INS/GPS approach to the georeferencing of remotely sensed data</t>
  </si>
  <si>
    <t>2-s2.0-0027789602</t>
  </si>
  <si>
    <t>['vertical plane', 'typical results', 'theoretical studies', 'synchronous detection', 'scanning frequency', 'rate slower', 'radiosonde data', 'radiometric temperature', 'radiometer output', 'liquid water', 'francis ltd', 'also presented', '4 ghz']</t>
  </si>
  <si>
    <t>Radiometry at the water vapour line with a scanning antenna beam from horizon to horizon through the zenith, in the vertical plane, was shown to be useful in estimating the integrated water vapour content from the zenith angle variation of radiometric temperature. The beam scanning may be made at a rate slower than the radiometer time constant using a Dicke type radiometer. Alternativeiy, a fast scanning beam may be used in a total power radiometer with a synchronous detection of the radiometer output at the scanning frequency to obtain a space domain Dicke switching for the measurements. A simultaneous scanning beam with 22-235 and 31-4GHz radiometers would allow us to separate the liquid water, if any, from the integrated water vapour content. Theoretical studies of the scanning beam radiometer performance in the estimation of integrated water vapour content from radiosonde data is presented and some typical results of Dicke type scanning beam radiometers at 22-235 and 31-4 GHz are also presented in this paper. ¬© 1993 Taylor and Francis Ltd.</t>
  </si>
  <si>
    <t>3031-3040</t>
  </si>
  <si>
    <t>International Journal of Remote Sensing</t>
  </si>
  <si>
    <t>60024232;60024232;60024232;60024232;60024232;60024232;60024232;60023345;60023345</t>
  </si>
  <si>
    <t>7401592725;8635745900;57214260936;7402110580;6507490811;7403001902;57196653386;6701379515;35547904300</t>
  </si>
  <si>
    <t>Sen, A. K.;Bera, R.;Sengupta, M. K.;Datta, Ajoy K.;Tarafder, G.;Chattopadhyay, S.;Dasgupta, M. K.;Calla, O. P.N.;Rana, S. S.</t>
  </si>
  <si>
    <t>Kolkata;Bengaluru</t>
  </si>
  <si>
    <t>University of Calcutta;Indian Space Research Organization</t>
  </si>
  <si>
    <t>60024232;60023345</t>
  </si>
  <si>
    <t>Sen A.</t>
  </si>
  <si>
    <t>Integrated water vapour content by scanning radiometry</t>
  </si>
  <si>
    <t>10.1080/01431169308904417</t>
  </si>
  <si>
    <t>2-s2.0-0027790573</t>
  </si>
  <si>
    <t>['sar imagery', 'performed using', 'major parameters', 'imaged scene', 'francis ltd', 'earlier estimates', 'direct estimate', 'coherence time', 'azimuthal resolution']</t>
  </si>
  <si>
    <t>The azimuthal resolution of the Synthetic Aperture Radar (SAR) when imaging the permanently moving occan surface is determined by the coherence time of the imaged scene. The scene coherence time thus constitutes one of the major parameters in SAR imagery of the ocean. The present study shows how the direct estimate of this parameter under the actual experimental conditions can be performed using a two-antenna intcrferometric SAR. The present results arc in agreement with earlier estimates. ¬© 1993 Taylor and Francis Ltd.</t>
  </si>
  <si>
    <t>3021-3029</t>
  </si>
  <si>
    <t>60005681;116176258</t>
  </si>
  <si>
    <t>57218274927;6602950034</t>
  </si>
  <si>
    <t>Shemer, L.;Marom, M.</t>
  </si>
  <si>
    <t>Israel;Israel</t>
  </si>
  <si>
    <t>Tel Aviv-Yafo;</t>
  </si>
  <si>
    <t>Tel Aviv University;Israeli Navy Mil</t>
  </si>
  <si>
    <t>Shemer L.</t>
  </si>
  <si>
    <t>Estimates of ocean coherence time by an interferometric sar</t>
  </si>
  <si>
    <t>10.1080/01431169308904416</t>
  </si>
  <si>
    <t>2-s2.0-0027790586</t>
  </si>
  <si>
    <t>['wireline logs', 'phase difference', 'logging conditions', 'field results', 'field logs', 'amplitude ratio']</t>
  </si>
  <si>
    <t>This paper presents theoretical, experimental, and field results for a multiple-depth-of-investigation, measurement-while-drilling (MWD), electromagnetic wave resistivity (EW) sensor. The sensor has four different transmitter/receiver antenna spacings with a phase difference and amplitude ratio at each spacing. The resultant logs provide information on the resistivity radial profile and an accurate Rt evaluation. Comparisons of field logs with wireline logs and with theoretical and experimental results show that this type of sensor can offer an extra-shallow, shallow, medium, and deep investigation depth under most logging conditions. -Authors</t>
  </si>
  <si>
    <t>171-176</t>
  </si>
  <si>
    <t>0885923X</t>
  </si>
  <si>
    <t>SPE Formation Evaluation</t>
  </si>
  <si>
    <t>35617712500;7003621034;7006007495;7004488320</t>
  </si>
  <si>
    <t>Bittar, M. S.;Rodney, P. F.;Mack, S. G.;Bartel, R. P.</t>
  </si>
  <si>
    <t>Bittar M.S.</t>
  </si>
  <si>
    <t>A multiple-depth-of-investigation electromagnetic wave resistivity sensor: theory, experiment, and field test results</t>
  </si>
  <si>
    <t>10.2118/22705-pa</t>
  </si>
  <si>
    <t>2-s2.0-0027790616</t>
  </si>
  <si>
    <t>['predicted values', 'one specified', 'meteorological stations', 'map compared', 'ice map', 'ice accretion', 'csa s37', '1991 edition']</t>
  </si>
  <si>
    <t>The present study contains an analysis of the recorded and predicted values of ice accretion for the meteorological stations in Canada; also, the value of the wind pressure associated with maximum ice accreation is studied. The values were compared with those specified in CAN/CSA S37-M86. Changes to the ice map of Canada are proposed based upon the climatic data analyzed, and this map compared with the one specified in 1991 edition of the Ontario Highway Bridge Design Code. Also, some modifications to the method of calculation radial ice thickness are recommended to include the size of the member.</t>
  </si>
  <si>
    <t>1047-1056</t>
  </si>
  <si>
    <t>Canadian journal of civil engineering</t>
  </si>
  <si>
    <t>Dec</t>
  </si>
  <si>
    <t>60012468;60012468;60012468</t>
  </si>
  <si>
    <t>6601973365;7003987216;6601990485</t>
  </si>
  <si>
    <t>Wahba, Yohanna M.E.;Madugula, Murty K.S.;Monforton, Geraard R.</t>
  </si>
  <si>
    <t>Windsor</t>
  </si>
  <si>
    <t>University of Windsor</t>
  </si>
  <si>
    <t>Wahba Y.</t>
  </si>
  <si>
    <t>Combined wind and ice loading on antenna towers</t>
  </si>
  <si>
    <t>10.1139/l93-135</t>
  </si>
  <si>
    <t>2-s2.0-0027791205</t>
  </si>
  <si>
    <t>['¬© 1993', 'wind directions', 'wind direction', 'values greater', 'tunnel measurements', 'measured values', 'main text', 'lattice tower', 'large variation', 'experimental data', 'empirical formula']</t>
  </si>
  <si>
    <t>Aerodynamics interference factors (defined in the main text) have been determined for microwave dishes attached to a lattice tower or mast, from wind-tunnel measurements. The values obtained vary considerably with wind direction and values greater than unity were obtained for some wind directions for which there was no overlap between tower and dish. An existing empirical formula for interference factor generally underestimates the measured values, and does not reproduce the large variation with wind direction obtained from the measurements. A modification to this empirical formula, which fits the experimental data for a single dish antenna, has been proposed. ¬© 1993.</t>
  </si>
  <si>
    <t>263-269</t>
  </si>
  <si>
    <t>Journal of Wind Engineering and Industrial Aerodynamics</t>
  </si>
  <si>
    <t>60029470;60029470;106196199</t>
  </si>
  <si>
    <t>7403240451;7102144761;57214492784</t>
  </si>
  <si>
    <t>Holmes, J. D.;Banks, R. W.;Roberts, G.</t>
  </si>
  <si>
    <t>Melbourne;</t>
  </si>
  <si>
    <t>Commonwealth Scientific and Industrial Research Organization;Rocad Pty Ltd</t>
  </si>
  <si>
    <t>60029470;106196199</t>
  </si>
  <si>
    <t>Holmes J.</t>
  </si>
  <si>
    <t>Drag and aerodynamic interference on microwave dish antennas and their supporting towers</t>
  </si>
  <si>
    <t>0167-6105(93)90081-X</t>
  </si>
  <si>
    <t>10.1016/0167-6105(93)90081-X</t>
  </si>
  <si>
    <t>2-s2.0-0027791278</t>
  </si>
  <si>
    <t>A4888</t>
  </si>
  <si>
    <t>['¬© 1993', 'three species', 'taxa within', 'taxa diagnoses', 'taxa appear', 'systematic review', 'strong affinity', 'stem group', 'smaller degree', 'sister species', 'silty till', 'significant characters', 'sexguttata group', 'sexguttata fabricius', 'sexguttata consisting', 'sensory setae', 'selected characters', 'seasonality profiles', 'rights reserved', 'reconstructed phylogeny', 'purpurea complex', 'populations throughout', 'loamy soils', 'lineage c', 'late miocene', 'larval burrow', 'harrisii lang', 'habitats occupied', 'habit unique', 'geographical range', 'geographical location', 'forest types', 'female genitalia', 'fecundity differs', 'entomological society', 'elytral maculation', 'ecological characters', 'eastern canada', 'earlier lineage', 'different number', 'cryptic species', 'consentanea dejean', 'comparative methods', 'body size', 'allies c', 'adult structural', 'adult females', 'adult characteristics', '25 tests']</t>
  </si>
  <si>
    <t>A systematic review was conducted for the Cicindela sexguttata group taxa. Comparative methods of examination were applied to adult structural and ecological characters for purposes of taxa diagnoses, and to establish a basis for the derivation of the group's history. Based on 13 adult exoskeletal characters and 25 tests on populations throughout the group's geographical range, a discriminant analysis identifies the most significant characters as being elytral maculation, body size, pilosity of the stipes, and number of sensory setae on the antenna! scape. In addition, selected characters of the male and female genitalia are shown to identify all taxa within the group. Among biological comparisons the different number of mature eggs found in adult females of C. sexguttata Fabricius and C. denikei Brown indicates that their fecundity differs; and the larval burrow of C. denikei opens directly beneath rocks and stones, a habit unique in Cicindela. Seasonality profiles of taxa appear to be dictated by geographical location, and by phylogeny to a smaller degree. Species‚Äîsoils associations indicate that C. sexguttata has a strong affinity to warm, moist and loamy soils, but C. denikei is correlated with sandy, silty till. For all species of the group, habitats occupied and limits of distribution to eastern Canada and the United States appear to be governed by soil and forest types. Three species of the group are recognized: C. sexguttata consisting of geographical populations varying considerably in adult characteristics and the problematic form C. harrisii Lang which may be considered a cryptic species; C. denikei; and C. patruela Dejean consisting of two subspecies C. p. patruela and C. p. consentanea Dejean. A reconstructed phylogeny of the C. sexguttata group based on methods of Hennig (1966) allies C. sexguttata and C. denikei as sister species, and C. patruela as an earlier lineage. Recognized as a stem group of the C. purpurea complex, the C. sexguttata group is postulated to have had its origins in forested eastern North America during the Late Miocene. Speciations of C. patruela and lineage C. sexguttata-C. denikei are perceived to have occurred in the Pliocene, followed by speciations of C. sexguttata and C. denikei in the Late Pleistocene effected by continental ice mass advances and recessions. ¬© 1993, Entomological Society of Canada. All rights reserved.</t>
  </si>
  <si>
    <t>267-316</t>
  </si>
  <si>
    <t>0008347X</t>
  </si>
  <si>
    <t>The Canadian Entomologist</t>
  </si>
  <si>
    <t>60025949;60025949</t>
  </si>
  <si>
    <t>6508282432;7005119871</t>
  </si>
  <si>
    <t>Kaulbars, Michael M.;Freitag, Richard</t>
  </si>
  <si>
    <t>Thunder Bay</t>
  </si>
  <si>
    <t>Lakehead University</t>
  </si>
  <si>
    <t>Kaulbars M.M.</t>
  </si>
  <si>
    <t>Geographical variation, classification, reconstructed phylogeny, and geographical history of the ciundela sexguttata group (coleoptera: Cicindelidae)</t>
  </si>
  <si>
    <t>10.4039/Ent125267-2</t>
  </si>
  <si>
    <t>2-s2.0-0027796293</t>
  </si>
  <si>
    <t>['¬© 1993', 'variable number', 'times led', 'temporal relationship', 'take place', 'stops courting', 'simple backing', 'signal relative', 'short distance', 'rights reserved', 'react promptly', 'quantitative relationship', 'pteromalidae ),', 'postponed backing', 'periodic changes', 'parasitic wasps', 'nodding movements', 'nasonia vitripennis', 'moveable antennae', 'motor patterns', 'mating behaviour', 'first nod', 'endogenous dynamics', 'dummy females', 'display movements', 'courtship cyles', 'courting males', 'copulatory position', 'conspicuous components', 'characteristic combinations', 'causal organization']</t>
  </si>
  <si>
    <t>Our topic of interest is the causal organization of courtship and mating behaviour of parasitic wasps (Hymenoptera, Pteromalidae), more especially that of Nasonia vitripennis. Males pursue newly emerged females over a short distance, mount on top, and take up a position at the front, the fore tarsi placed on the female‚Äôs head. Courtship displays consist of characteristic combinations of motor patterns, which are repeated a variable number of times in so-called courtship cycles. Movements with the wings, head, mouthparts, and antennae are conspicuous components. This applies in particular to head-nodding movements, which occur in series. A female may become sexually receptive while being courted; she signals the onset of this condition with a movement of her antennae. The male will react promptly: he stops courting and backs up into the copulatory position. The signal coincides almost invariably with the first nod of a series; signalling at other times led to a postponement of the backing-up reaction. Because Nasonia males readily court on dummy females, we used a dummy with moveable antennae to investigate the temporal relationship of signal and reaction. We observed two types of postponed backing-up reactions: simple backing up, and backing up after performance of one or more display movements. At the same time, we found a quantitative relationship between durations of the latencies, and the timing of the signal relative to the display. Our investigations produced evidence for endogenous, periodic changes, which take place during the succession of courtship cyles. The postponed backing-up reactions of different types could be explained in terms of interactions between the effects of signalling and the endogenous dynamics of courting males. ¬© 1993, Brill. All rights reserved.</t>
  </si>
  <si>
    <t>1568539X</t>
  </si>
  <si>
    <t>Behaviour</t>
  </si>
  <si>
    <t>;60019816</t>
  </si>
  <si>
    <t>7801415583;57096411600</t>
  </si>
  <si>
    <t>Jachmann, F.;Den Assem, J.</t>
  </si>
  <si>
    <t>Leiden University</t>
  </si>
  <si>
    <t>Jachmann F.</t>
  </si>
  <si>
    <t>The Interaction of External and Internal Factors in the Courtship of Parasitic Wasps (Hym., Pteromalidae)</t>
  </si>
  <si>
    <t>10.1163/156853993X00155</t>
  </si>
  <si>
    <t>2-s2.0-0027796531</t>
  </si>
  <si>
    <t>578-22-02</t>
  </si>
  <si>
    <t>['unlike seasat', 'term measurements', 'sufficient accuracy', 'several sites', 'sea level', 'scale changes', 'satellite measurement', 'radio frequencies', 'overall accuracy', 'ocean circulation', 'observe large', 'lower frequencies', 'lirst long', 'interannual changes', 'geosat data', 'francis group', 'forecast model', 'direct assessment', 'delay varies', 'coincident measurements', 'coincident measurement', 'cm rms', 'clearly indicate', 'antenna locations', 'altimeter path', '50 cm', '1989 provided']</t>
  </si>
  <si>
    <t>The U.S. Navy‚Äôs Geosat altimeter mission between 1985 and 1989 provided the lirst long-term measurements of sea surface topography with sufficient accuracy to observe large-scale changes in the ocean circulation. However, the overall accuracy of these measurements has been difficult to assess because of the lack of coincident measurements of the radar range corrections. In particular, Geosat, unlike Seasat, did not make simultaneous measurements of the range delay caused by refraction from atmospheric water vapour. This delay varies between 5 and 50 cm. In order to correct for this delay, estimates of columnar water vapour in the altimeter path are modelled using estimates from numerical weather forecast models or non-coincident satellite measurements. Comparisons of these estimates with direct radiosonde measurements have been made by others and clearly indicate a preference for the satellite measurement over the forecast model. NASA‚Äôs Very Long Baseline Interferometry programme routinely estimates the wet tropospheric range delay at radio frequencies for all antenna locations at 15 minute intervals with a precision of a few cm rms. We have used these measurements to make a direct assessment of the Geosat wet troposphere range correction. The VLBI measurements show strong diurnal variations in columnar water vapour at several sites. These variations are a source of error (order 3 cm root-mean-square) in any non-coincident measurement of the wet troposphere range delay. These errors can be aliased to lower frequencies because of the satellite sampling scheme and have an effect on studies of annual and interannual changes in sea level with Geosat data. ¬© 1993 Taylor &amp; Francis Group, LLC.</t>
  </si>
  <si>
    <t>1723-1733</t>
  </si>
  <si>
    <t>60006337;60006337;100319458;100319458</t>
  </si>
  <si>
    <t>7004417704;7404484474;6506087257;6602077957</t>
  </si>
  <si>
    <t>Koblinsky, C. J.;Ryan, J.;Braatz, L.;Klosko, S. M.</t>
  </si>
  <si>
    <t>Greenbelt;Latham</t>
  </si>
  <si>
    <t>NASA Goddard Space Flight Center;ST Systems Corporation</t>
  </si>
  <si>
    <t>60006337;100319458</t>
  </si>
  <si>
    <t>Koblinsky C.</t>
  </si>
  <si>
    <t>Technical note a dircct evaluation ol' the geosat altimeter wet atmospheric range delay using very long baseline interferometry observations</t>
  </si>
  <si>
    <t>10.1080/01431169308953998</t>
  </si>
  <si>
    <t>2-s2.0-0027797498</t>
  </si>
  <si>
    <t>['vemps ii', 'paper presents', 'emp simulators', 'domain models']</t>
  </si>
  <si>
    <t>Models are required that permit the estimation of emitted field signatures from EMP simulators to design the simulator antenna structure, to establish the usable test volumes, and to estimate human exposure risk. This paper presents the capabilities and limitations of a variety of EMP simulator models useful to the Army's EMP survivability programs. Comparisons among frequency- and time-domain models are provided for two powerful U.S. Army Research Laboratory EMP simulators: AESOP (Army EMP Simulator Operations) and VEMPS II (Vertical EMP Simulator II). ¬© 1993 IEEE</t>
  </si>
  <si>
    <t>1967-1976</t>
  </si>
  <si>
    <t>IEEE Transactions on Nuclear Science</t>
  </si>
  <si>
    <t>60033252;60033252;60033252;60024492;60024492</t>
  </si>
  <si>
    <t>6508182358;7101998621;7006772611;55500000900;7801676184</t>
  </si>
  <si>
    <t>Miletta, Joseph R.;Chase, Ronald J.;Luu, Brian B.;Williams, John W.;Viverito, Vivian J.</t>
  </si>
  <si>
    <t>Adelphi;Frederick</t>
  </si>
  <si>
    <t>U.S. Army Research Laboratory;SAIC-Frederick</t>
  </si>
  <si>
    <t>60033252;60024492</t>
  </si>
  <si>
    <t>Miletta J.R.</t>
  </si>
  <si>
    <t>Modeling of Army Research Laboratory EMP Simulators</t>
  </si>
  <si>
    <t>10.1109/23.273456</t>
  </si>
  <si>
    <t>2-s2.0-0027797918</t>
  </si>
  <si>
    <t>['¬© 1994', 'vepor units', 'trimvec plus', 'tectonically belongs', 'tectonic studies', 'tectonic processes', 'several institutions', 'selected according', 'relatively quiet', 'reference network', 'preliminary processing', 'point mark', 'penc station', 'particular care', 'pannonian basin', 'mechanical adapter', 'includes hungary', 'igs ).', 'hgrn sites', 'hgrn consists', 'gps technique', 'gps antenna', 'geophysical considerations', 'genetically related', 'fiducial station', 'fall 1991', 'eurasian plate', 'bernese v3', 'antenna set', 'also established', 'adria region']</t>
  </si>
  <si>
    <t>The Pannonian Basin, which includes Hungary, tectonically belongs to the Eurasian Plate and is considered to be relatively quiet. Detailed geological studies revealed four main tectonic units in this area-the Tisza, Pelso, Austro-Alpine and Vepor units. All of these can be genetically related to tectonic processes in the Mediterranean and Alpine-Adria region. In 1989 the Satellite Geodetic Observatory (SGO) in cooperation with several institutions has initiated the establishment of a geodynamic global positioning system (GPS) Reference Network (HGRN) for three-dimensional deformation studies in Hungary. The HGRN consists of 13 primary sites which were selected according to geological and geophysical considerations and satisfied international standards for tectonic studies with the GPS technique. Particular care was devoted to the point marks concerning mechanical stability and the repeatability of antenna set-ups at the HGRN sites, therefore a point mark and a mechanical adapter to mount the GPS antenna had been developed at the SGO for this purpose. This point mark has been used at all HGRN sites. A GPS Datum Point was also established for Hungary in 1990 at the Satellite Geodetic Observatory; here quasi continuous observations are foreseen. The Penc station has been accepted as a fiducial station of the International GPS Geodynamic Service (IGS). The zero epoch measurements were completed in fall 1991 and monitoring is planned every second year at least for the next 10 years. Preliminary processing of the data has been carried out in the SGO, Penc and at the Lustb√ºhel Observatory at Graz, using the TRIMVEC PLUS and BERNESE V3.2 programs respectively. ¬© 1994.</t>
  </si>
  <si>
    <t>145-152</t>
  </si>
  <si>
    <t>Journal of Geodynamics</t>
  </si>
  <si>
    <t>September 1993/December 1993</t>
  </si>
  <si>
    <t>60100934;60100934;60100934;60100934</t>
  </si>
  <si>
    <t>7003862573;6701914497;6506154942;6603019381</t>
  </si>
  <si>
    <t>Fejes, I.;Borza, T.;Busics, I.;Kenyeres, A.</t>
  </si>
  <si>
    <t>Hungary</t>
  </si>
  <si>
    <t>Budapest</t>
  </si>
  <si>
    <t>Budapest F≈ëv√°ros Korm√°nyhivatala, F√∂ldm√©r√©si, T√°v√©rz√©kel√©si √©s F√∂ldhivatali F≈ëoszt√°ly (BFKH FTFF)</t>
  </si>
  <si>
    <t>Fejes I.</t>
  </si>
  <si>
    <t>Realization of the Hungarian geodynamic GPS reference network</t>
  </si>
  <si>
    <t>0264-3707(93)90036-6</t>
  </si>
  <si>
    <t>10.1016/0264-3707(93)90036-6</t>
  </si>
  <si>
    <t>2-s2.0-0027798387</t>
  </si>
  <si>
    <t>['without pseudosensoria', 'wiley blackwell', 'vi segment', 'rights reserved', 'return migrants', 'processus terminalis', 'previously described', 'oviparae contained', 'overwintering occurred', 'others except', 'one time', 'metatibial pseudosensoria', 'mating duration', 'final moult', 'comparatively shorter', 'alate males', '6 min', '50 days', '5 %)']</t>
  </si>
  <si>
    <t>Brachycaudus helichrysi | overwintering | Peach leaf curling aphid | sexual generation</t>
  </si>
  <si>
    <t>Autumn migrants preferred to settle on the dorsal leaf surface of peach with gynoparae being more numerous than alate males. These return migrants on peach were similar to those described by others except for a comparatively smaller processus terminalis. Among the oviparae with metatibial pseudosensoria. most (62.5%) had six antennal subdivisions; 25% possessed five antennal subdivisions and half of these were parasitised. Oviparae were bigger than those previously described on plum/damson but their processus terminalis was comparatively shorter. Ultimate instar nymphs were without pseudosensoria and had 5‚Äìseg‚Äêmented antennae, the VI segment being cleaved from the meriston during the final moult. Alate males mated with the oviparae, mating duration being 3 to 6 min. Oviparae contained, at the most, two well developed eggs at one time, and normally deposited eggs singly during November‚ÄêDecember. Most eggs hatched within 20‚Äì28 days but those laid in December during colder weather took up to 50 days to hatch. By midJanuary most eggs had hatched. Fundatrix developmental rate was dependent on sap‚Äêflow. Overwintering occurred as the fundatrix. Copyright ¬© 1993, Wiley Blackwell. All rights reserved</t>
  </si>
  <si>
    <t>215-221</t>
  </si>
  <si>
    <t>Annals of Applied Biology</t>
  </si>
  <si>
    <t>60000759;60000759</t>
  </si>
  <si>
    <t>7404234940;7005397482</t>
  </si>
  <si>
    <t>GUPTA, P. R.;THAKUR, J. R.</t>
  </si>
  <si>
    <t>Solan</t>
  </si>
  <si>
    <t>Dr. Yashwant Singh Parmar University of Horticulture and Forestry</t>
  </si>
  <si>
    <t>GUPTA P.</t>
  </si>
  <si>
    <t>Sexual generation and overwintering of the peach leaf curling aphid Brachycaudus helichrysi (Kalt.) in Himachal Pradesh, India</t>
  </si>
  <si>
    <t>10.1111/j.1744-7348.1993.tb04028.x</t>
  </si>
  <si>
    <t>2-s2.0-0027799359</t>
  </si>
  <si>
    <t>['united states', 'ten minutes', 'several examples', 'resolution measurements', 'primary uses', 'paper provides', 'nexrad program', 'brief description', 'analysis products', 'also included', '88d systems', '88d system', '39 categories']</t>
  </si>
  <si>
    <t>The NEXRAD program is deploying a network of approximately 160 weather radars throughout the United States and at selected overseas sites. The WSR-88D systems provide highly sensitive, fine-resolution measurements of reflectivity, mean radial velocity, and spectrum width data and generate up to 39 categories of analysis products derived from the base data every five to ten minutes. This paper provides an overview of the analysis products that are available on the WSR-88D systems. Primary uses and limitations of these products are discussed, and several examples are presented. A brief description of the WSR-88D system, including primary components, antenna scanning strategies, and product dissemination plans is also included. -Authors</t>
  </si>
  <si>
    <t>1293-1311</t>
  </si>
  <si>
    <t>Bulletin - American Meteorological Society</t>
  </si>
  <si>
    <t>6602572066;6507665027</t>
  </si>
  <si>
    <t>Klazura, G. E.;Imy, D. A.</t>
  </si>
  <si>
    <t>Klazura G.</t>
  </si>
  <si>
    <t>A description of the initial set of analysis products available from the NEXRAD WSR-88D system</t>
  </si>
  <si>
    <t>10.1175/1520-0477(1993)074&lt;1293:ADOTIS&gt;2.0.CO;2</t>
  </si>
  <si>
    <t>2-s2.0-0027799557</t>
  </si>
  <si>
    <t>['typically used', 'taking system', 'sondre stromfjord', 'scanning bearing', 'previous results', 'new data', 'lower atmosphere', 'l band', 'first results', 'first lower', 'fdi data', 'faulty elevation', 'dish antenna', 'data show', 'band frequency', 'atmospheric results', '4 km', '1290 mhz']</t>
  </si>
  <si>
    <t>First results from the implementation of frequency domain interferometry (FDI) using an L-band frequency of 1290 MHz are presented. The experiment was conducted in September 1991 using the radar facility located in Sondre Stromfjord, Greenland. The Sondre Stromfjord radar is typically used for incoherent scatter measurements in the ionoshpere, but these are some of the first lower-atmospheric results, namely, 8.6-13.4 km, since the new data-taking system was implemented. At the time of the experiment, the steerability of the 32-m dish antenna was hampered because of a faulty elevation-scanning bearing. Therefore, the measurements were taken from an approximately vertical direction for the duration of the experiment. The spectra and the correlation functions obtained from the FDI data are compared to previous results at other frequencies. The data show the Sondre Stromfjord radar is providing reliable wind measurements in the lower atmosphere and that FDI can be implemented at L band. -Authors</t>
  </si>
  <si>
    <t>618-623</t>
  </si>
  <si>
    <t>Journal of Atmospheric &amp; Oceanic Technology</t>
  </si>
  <si>
    <t>57203466193;35598897600;6603271110;6603921138</t>
  </si>
  <si>
    <t>Palmer, R. D.;Larsen, M. F.;Heinselman, C. J.;Mikkelsen, I. S.</t>
  </si>
  <si>
    <t>Palmer R.</t>
  </si>
  <si>
    <t>Frequency domain interferometry using the 1290-MHz Sondre Stromfjord radar: first results</t>
  </si>
  <si>
    <t>10.1175/1520-0426(1993)010&lt;0618:FDIUTM&gt;2.0.CO;2</t>
  </si>
  <si>
    <t>2-s2.0-0027799979</t>
  </si>
  <si>
    <t>['transmitter location', 'omnidirectional antenna', 'mean error', 'large stream', 'exposed end', 'coaxial cable']</t>
  </si>
  <si>
    <t>Used the exposed end of a coaxial cable as a short-range, omnidirectional antenna for determining fish microhabitats in a large stream. A test of this technique, using weighted transmitters placed in the stream, resulted in a mean error in transmitter location of 2.9 m with 95% confidence limits defined by a circle with a radius of 6.37 m. -from Authors</t>
  </si>
  <si>
    <t>30-35</t>
  </si>
  <si>
    <t>Rivers</t>
  </si>
  <si>
    <t>60029255;60029255;60029255</t>
  </si>
  <si>
    <t>7006019717;6701798948;7202242607</t>
  </si>
  <si>
    <t>Niemela, S. L.;Layzer, J. B.;Gore, J. A.</t>
  </si>
  <si>
    <t>Cookeville</t>
  </si>
  <si>
    <t>Tennessee Technological University</t>
  </si>
  <si>
    <t>Niemela S.</t>
  </si>
  <si>
    <t>An improved radiotelemetry method for determining use of microhabitats by fishes</t>
  </si>
  <si>
    <t>2-s2.0-0027800027</t>
  </si>
  <si>
    <t>['sharp discontinuity', 'scenario would', 'results showed', 'penetrating radar', 'mhz gpr', 'mhz antenna', 'diving pool', 'dielectric constant', 'detect layers', 'cm depth']</t>
  </si>
  <si>
    <t>The objective of this study was to demonstrate that ground-penetrating radar (GPR) can detect layers with a sharp discontinuity in dielectric constant. A GPR with a 450-MHz antenna was towed on the surface of a diving pool to detect a submerged polyvinyl chloride plate. The scenario would be similar to detecting a dry coarse layer embedded in a uniform saturated sandy soil. Results showed that GPR could accurately detect the depth, dimensions, and inclination of the plate from the 25- to 150-cm depth. It was expected that a 450-MHz GPR has the potential to accurately detect depth, dimensions, and inclination of an embedded coarse sandy layer up to the 3-m depth. -from Authors</t>
  </si>
  <si>
    <t>335-340</t>
  </si>
  <si>
    <t>60032179;60032179</t>
  </si>
  <si>
    <t>7005867193;7404769574</t>
  </si>
  <si>
    <t>Kung, K. J.S.;Lu, Z. B.</t>
  </si>
  <si>
    <t>Madison</t>
  </si>
  <si>
    <t>University of Wisconsin-Madison</t>
  </si>
  <si>
    <t>Kung K.</t>
  </si>
  <si>
    <t>Using ground-penetrating radar to detect layers of discontinuous dielectric constant</t>
  </si>
  <si>
    <t>10.2136/sssaj1993.03615995005700020008x</t>
  </si>
  <si>
    <t>2-s2.0-0027800128</t>
  </si>
  <si>
    <t>['without loss', 'vertical antenna', 'paper derives', 'input impedance', 'form expression', 'dielectric halfspace', 'convenient closed']</t>
  </si>
  <si>
    <t>This paper derives a convenient closed-form expression for the input impedance of a vertical antenna above a dielectric halfspace. The expression is obtained from the induced EMF method using a complex-image spatial Green's function. It is found that the effect of the dielectric halfspace can be modeled by a short image array of three to five complex image antennas. Numerical results verify the accuracy and convenience of the method for a vertical antenna at any height above a dielectric halfspace with and without loss. ¬© 1993 IEEE</t>
  </si>
  <si>
    <t>1737-1741</t>
  </si>
  <si>
    <t>A Closed-Form Solution of Vertical Dipole Antennas above a Dielectric Halfspace</t>
  </si>
  <si>
    <t>10.1109/8.273319</t>
  </si>
  <si>
    <t>2-s2.0-0027810087</t>
  </si>
  <si>
    <t>['waves allows', 'wave systems', 'wave signals', 'wave frequencies', 'project addresses', 'paper describes', 'optical generation', 'new method', 'large number', 'fibre delivery', 'brief review', 'achieve low']</t>
  </si>
  <si>
    <t>The paper describes the results to date of the RACE project R2005. The project addresses the optical generation and fibre delivery of mm-wave signals for future mobile radio and remote customer access connections. The authors identify potential application areas and appropriate performance targets for such fibre/mm-wave systems. The major issue identified is the need to achieve low-cost antenna units due to the large number of such units that would be required; this arises from the limited propagation distances achieveable at mm-wave frequencies. A brief review of current optical methods for the generation of mm-waves allows the identification of the inadequacies of these techniques and leads to a description of a new method, developed for the project, that overcomes most of the disadvantages outlined earlier.</t>
  </si>
  <si>
    <t>385-391</t>
  </si>
  <si>
    <t>60025779;60025779;60025779;60025779;60025779;60025779;60025779</t>
  </si>
  <si>
    <t>57218886676;7202980414;57225368652;7006032032;7006464996;7004528841;6603792951</t>
  </si>
  <si>
    <t>O'Reilly, J. J.;Lane, P. M.;Capstick, M. H.;Salgado, H. M.;Heidemann, R.;Hofstetter, R.;Schmuck, H.</t>
  </si>
  <si>
    <t>Bangor</t>
  </si>
  <si>
    <t>Bangor University</t>
  </si>
  <si>
    <t>O'Reilly J.J.</t>
  </si>
  <si>
    <t>RACE R2005: microwave optical duplex antenna link</t>
  </si>
  <si>
    <t>10.1049/ip-j.1993.0059</t>
  </si>
  <si>
    <t>2-s2.0-0027810438</t>
  </si>
  <si>
    <t>['‚ äîq', 'constant amplitude']</t>
  </si>
  <si>
    <t>A photonic in-phase /quadrature (I‚ÄîQ) RF phase shifter utilizing two integrated optic Mach‚ÄîZehnder modulators has been tested. This phase shifter demonstrates the capability of 360¬∞ phase control, &lt; 1¬∞ RF errors at constant amplitude, and &lt; 1¬∞ errors over a 30-dB RF amplitude taper. ¬© 1993 IEEE</t>
  </si>
  <si>
    <t>2201-2205</t>
  </si>
  <si>
    <t>60002959;60002959;60002959;60002959</t>
  </si>
  <si>
    <t>7006620959;57212147768;7003864691;7403573542</t>
  </si>
  <si>
    <t>Coward, J. F.;Yee, T. K.;Chalfant, C. H.;Chang, P. H.</t>
  </si>
  <si>
    <t>Coward J.F.</t>
  </si>
  <si>
    <t>A Photonic Integrated-Optic RF Phase Shifter for Phased Array Antenna Beamforming Applications</t>
  </si>
  <si>
    <t>10.1109/50.257989</t>
  </si>
  <si>
    <t>2-s2.0-0027810814</t>
  </si>
  <si>
    <t>University of Massachusetts</t>
  </si>
  <si>
    <t>DAAG-20-84-K-0148</t>
  </si>
  <si>
    <t>UMASS</t>
  </si>
  <si>
    <t>['theoretical derivations', 'sized arrays', 'radiation patterns', 'phased arrays', 'pattern multiplication', 'new method', 'methods based', 'fed dipoles', 'example arrays', 'based either', 'also presented', 'accurately predicts']</t>
  </si>
  <si>
    <t>Results from an investigation into methods of modeling the radiation patterns of phased arrays that include the effects of radiative mutual coupling are presented. The approaches are based either on the principle of pattern multiplication or the use of active element patterns. Theoretical derivations of the various active element pattern methods are also presented. In addition, a new method, the hybrid active element pattern method, is introduced which accurately predicts the patterns of small and medium-sized arrays of equally spaced elements. Example arrays of center-fed dipoles are analyzed to verify and illustrate the representations. The results are general, however, and can be applied to arrays of any type of element. The array patterns computed using both the classical pattern multiplication approach and the methods based on active element patterns are compared to those computed using accurate numerical codes based on the method of moments. ¬© 1993 IEEE</t>
  </si>
  <si>
    <t>1625-1632</t>
  </si>
  <si>
    <t>;60027090</t>
  </si>
  <si>
    <t>23090687100;7006247497</t>
  </si>
  <si>
    <t>Kelley, David F.;Stutzman, Warren L.</t>
  </si>
  <si>
    <t>Kelley D.</t>
  </si>
  <si>
    <t>Array Antenna Pattern Modeling Methods That Include Mutual Coupling Effects</t>
  </si>
  <si>
    <t>10.1109/8.273305</t>
  </si>
  <si>
    <t>2-s2.0-0027812160</t>
  </si>
  <si>
    <t>['without knowing', 'wave front', 'using estimates', 'use estimates', 'statistical independence', 'rather surprisingly', 'plausible range', 'physical modelling', 'perfectly known', 'paper considers', 'order cumulants', 'numerical experiments', 'may outperform', 'made robust', 'key point', 'key assumption', 'joint diagonalization', 'informed beamformers', 'informed beamformer', 'hypothesized value', 'directional vectors', 'blind identification', 'blind estimation', 'blind beamformers', 'array manifold', 'array deformations']</t>
  </si>
  <si>
    <t>The paper considers an application of blind identification to beamforming. The key point is to use estimates of directional vectors rather than resort to their hypothesized value. By using estimates of the directional vectors obtained via blind identification, i.e. without knowing the array manifold, beamforming is made robust with respect to array deformations, distortion of the wave front, pointing errors etc., so that neither array calibration nor physical modelling is necessary. Rather surprisingly, `blind beamformers' may outperform `informed beamformers' in a plausible range of parameters, even when the array is perfectly known to the informed beamformer. The key assumption on which blind identification relies is the statistical independence of the sources, which is exploited using fourth-order cumulants. A computationally efficient technique is presented for the blind estimation of directional vectors, based on joint diagonalization of fourth-order cumulant matrices; its implementation is described, and its performance is investigated by numerical experiments.</t>
  </si>
  <si>
    <t>362-370</t>
  </si>
  <si>
    <t>60029116;60029116</t>
  </si>
  <si>
    <t>55587898400;6603103132</t>
  </si>
  <si>
    <t>Cardoso, J. F.;Souloumiac, A.</t>
  </si>
  <si>
    <t>Palaiseau</t>
  </si>
  <si>
    <t>T√©l√©com Paris</t>
  </si>
  <si>
    <t>Blind beamforming for non-Gaussian signals</t>
  </si>
  <si>
    <t>10.1049/ip-f-2.1993.0054</t>
  </si>
  <si>
    <t>2-s2.0-0027812550</t>
  </si>
  <si>
    <t>['‚ äúpinching', '¬© 1993', 'rights reserved', 'processes primarily', 'platelet fields', 'periodic constrictions', 'number increased', 'myeloid cells', 'megakaryocytes proliferated', 'like processes', 'like capillaries', 'japan society', 'dm ),', 'demarcation membranes', 'collagen gel', 'cell biology', 'capillary lumina', 'abluminal side', '6 weeks', '6 months', '4 weeks', '2 weeks']</t>
  </si>
  <si>
    <t>capillary | collagen gel culture | long-term bone marrow culture | megakaryocytepoiesis | migration</t>
  </si>
  <si>
    <t>The proliferation of megakaryocytes, their migration, and their platelet release processes were observed in long-term bone marrow culture in collagen gel. Megakaryocytes proliferated for more than 6 months, not only with myeloid cells but also with sinusoid-like capillaries. The megakaryocyte count decreased at 2 weeks of culture, increased to more than 400 at 6 weeks, and then decreased to about 100. Megakaryocyte colonies appeared after 2 weeks of culture; the number increased to more than 10 at 4 weeks of culture, and was maintained at that level. Morphologically, most fully mature megakaryocytes extended several long antennae-like processes, with periodic constrictions, demarcation membranes (DM), and platelet fields. Proplatelets were released from these processes primarily by a ‚Äúpinching off‚Äù mechanism, but some megakaryocytes released proplatelets by the dissociation of DM, without extending long processes. Mature megakaryocytes migrated like ameba in collagen gel, and a few migrated to the abluminal side of the capillary or into the capillary; in both cases releasing pro-platelets into the capillary lumina. These observations were very similar to those noted in vivo. ¬© 1993, Japan Society for Cell Biology. All rights reserved.</t>
  </si>
  <si>
    <t>409-417</t>
  </si>
  <si>
    <t>Cell Structure and Function</t>
  </si>
  <si>
    <t>60028768;60022154;60022154</t>
  </si>
  <si>
    <t>7404717959;6701325733;7403456682</t>
  </si>
  <si>
    <t>Mori, Masaharu;Tsuchiyama, Junjirou;Okada, Shigeru</t>
  </si>
  <si>
    <t>Soja;Okayama</t>
  </si>
  <si>
    <t>Okayama Prefectural University;Okayama University Medical School</t>
  </si>
  <si>
    <t>60028768;60022154</t>
  </si>
  <si>
    <t>Mori M.</t>
  </si>
  <si>
    <t>Proliferation, Migration and Platelet Release by Megakaryocytes in Long-term Bone Marrow Culture in Collagen Gel</t>
  </si>
  <si>
    <t>10.1247/csf.18.409</t>
  </si>
  <si>
    <t>2-s2.0-0027818891</t>
  </si>
  <si>
    <t>['¬© 1993', 'upper hemisphere', 'several cm', 'rights reserved', 'receiver antennas', 'phase characteristics', 'peak difference', 'geodetic society', 'azimuth angles', 'also calculated']</t>
  </si>
  <si>
    <t>GPS (Global Positioning System) receiver antennas for surveying are tested in a radio anechoic chamber to examine their phase characteristics for precise geodetic applications. The phase delay pattern of each antenna is measured as a function of elevation and azimuth angles of incident radio waves. Those of the same antenna models agree within a 5 mm peak-to-peak difference. The phase center corresponding to each elevation angle moves by several cm as the elevation angle changes. The positions of mean phase centers averages over the upper hemisphere are also calculated. The variation of the phase center around its mean degrades baseline accuracy even if the same models of antenna are oriented to the same direction, since the phase characteristics of the antennas are not flat with azimuth and elevation. ¬© 1993, The Geodetic Society of Japan. All rights reserved.</t>
  </si>
  <si>
    <t>179-192</t>
  </si>
  <si>
    <t>Journal of the Geodetic Society of Japan</t>
  </si>
  <si>
    <t>100330428;100330428;100330428;100330428;100330428;100330428;100330428;60022990;60022990;60022990</t>
  </si>
  <si>
    <t>7403222524;7201541411;57194938160;57194927261;57194938639;57194938965;57194931622;57194929671;56228876800;56269499900</t>
  </si>
  <si>
    <t>Tsuji, Hiromichi;Sugita, Kaname;Nemoto, Keizo;Mashiko, Sakae;Goto, Kiyoshi;Iwata, Masao;Murakami, Makoto;Otsu, Izumi;Ishikawa, Shinichi;Tsuchiya, Atsushi</t>
  </si>
  <si>
    <t>Chofu;</t>
  </si>
  <si>
    <t>Japan Aerospace Exploration Agency;Geographical Survey Institute</t>
  </si>
  <si>
    <t>60022990;100330428</t>
  </si>
  <si>
    <t>Tsuji H.</t>
  </si>
  <si>
    <t>Results of Phase Characteristic Measurement of GPS Receiver Antennas</t>
  </si>
  <si>
    <t>10.11366/sokuchi1954.39.179</t>
  </si>
  <si>
    <t>2-s2.0-0027830072</t>
  </si>
  <si>
    <t>['¬© 1993', 'well known', 'uniform arrays', 'ulas ).', 'steering vectors', 'show analytically', 'sensor spacings', 'sensor spacing', 'one ambiguity', 'next identify', 'linear arrays', 'infinitely large', 'general approach', 'first analyze', 'average inter', 'arbitrary inter', 'appropriate choice', 'ambiguity exists']</t>
  </si>
  <si>
    <t>We first analyze the relationship between the severity of rank-one ambiguity of steering vectors and the inter-sensor spacing for uniform linear arrays (ULAs). We next identify a class of non-uniform linear arrays suffering from rank-one ambiguity. Subsequently, we show that by an appropriate choice of some inter-sensor spacings of a non-uniform linear array, one may remove completely rank-one ambiguity, and we propose a general approach to constructing such an array. It is interesting to note that the average inter-sensor spacing of such an array can be infinitely large. We also analyze higher-rank ambiguity associated with linear arrays and identify a class of non-uniform arrays with such ambiguity. We show analytically that if the aperture of a p-sensor linear array with arbitrary inter-sensor spacings is greater than or equal to (p-1)Œª/2, where Œª is the wavelength of the signal of interest, then rank-(p-1) ambiguity exists. Although this result is well known for ULAs, its validity to general linear arrays has not been mentioned before. Finally, we propose a procedure for analyzing the closeness of steering vectors to rank-(p-1) ambiguity by computation. ¬© 1993.</t>
  </si>
  <si>
    <t>245-256</t>
  </si>
  <si>
    <t>60003196;60003196;60005510</t>
  </si>
  <si>
    <t>7403999605;7007056646;7102842938</t>
  </si>
  <si>
    <t>Tan, Kah Chye;Oh, Geok Lian;Er, M. H.</t>
  </si>
  <si>
    <t>Tan K.</t>
  </si>
  <si>
    <t>A study of the uniqueness of steering vectors in array processing</t>
  </si>
  <si>
    <t>016516849390134V</t>
  </si>
  <si>
    <t>10.1016/0165-1684(93)90134-V</t>
  </si>
  <si>
    <t>2-s2.0-0027831490</t>
  </si>
  <si>
    <t>['work proposes', 'upper side', 'unique application', 'substantial possibilities', 'studied extensively', 'still limited', 'practical use', 'periodic array', 'nrd guide', 'new application', 'leaky waveguide', 'introduced based', 'feeding systems', 'dielectric strip', 'design examples', '23 ghz']</t>
  </si>
  <si>
    <t>Although leaky wave antennas have been studied extensively in the literature, their practical use is still limited. This work proposes a novel and unique application of leaky NRD guides as feeding systems for microwave planar antennas and shows their substantial possibilities of practical use. At first a new leaky waveguide is introduced based on a periodic array of grooves on the upper side of the dielectric strip in the NRD guide. Then, leaky waves issuing from this configuration are used to feed a slot array cut on the upper metal plate of the NRD guide. Design examples of linearly and circularly polarized planar antennas were constructed and their characteristics were measured at 23 GHz. The obtained results showed the validity for this new application of the leaky waveguide. ¬© 1993 IEEE</t>
  </si>
  <si>
    <t>1680-1686</t>
  </si>
  <si>
    <t>100933641;60008435;60008435</t>
  </si>
  <si>
    <t>6602507778;7003792474;7202091831</t>
  </si>
  <si>
    <t>Maamria, K.;Wagatsuma, T.;Yoneyama, T.</t>
  </si>
  <si>
    <t>Sendai;Tokyo</t>
  </si>
  <si>
    <t>Tohoku University;International Telecom Japan, Inc</t>
  </si>
  <si>
    <t>60008435;100933641</t>
  </si>
  <si>
    <t>Leaky NRD Guide As a Feeder for Microwave Planar Antennas</t>
  </si>
  <si>
    <t>10.1109/8.273312</t>
  </si>
  <si>
    <t>2-s2.0-0027832129</t>
  </si>
  <si>
    <t>['substantial difficulties', 'sar indicates', 'sar imagery', 'ocean imaging', 'obtained images', 'nearshore regions', 'large areas', 'interferometric sar', 'high resolution', 'experience accumulated', 'conventional sar', 'almost impossible']</t>
  </si>
  <si>
    <t>Microwave remote sensing of the ocean surface using Synthetic Aperture Radar (SAR) is of great interest due to its high resolution and the potential of nearly instantaneous coverage of large areas. The experience accumulated in ocean imaging by SAR indicates that there are substantial difficulties in interpretation of the obtained images of ocean wave systems. Ocean surface currents are almost impossible to obtain from SAR imagery. The present paper reports on measurements of ocean surface currents based on imaging of the nearshore regions of the Monterey Bay using an interferometric SAR. The method is a modification of the conventional SAR which employs two spatially separated antennas. This modification allows one to construct an interferogram from the two complex images obtained by each antenna, which provides direct mapping of the observed surface velocities. -from Authors</t>
  </si>
  <si>
    <t>7001-7010</t>
  </si>
  <si>
    <t>C4</t>
  </si>
  <si>
    <t>57218274927;6602950034;6508239794</t>
  </si>
  <si>
    <t>Shemer, L.;Marom, M.;Markman, D.</t>
  </si>
  <si>
    <t>Estimates of currents in the nearshore ocean region using interferometric synthetic aperture radar</t>
  </si>
  <si>
    <t>10.1029/92JC02962</t>
  </si>
  <si>
    <t>2-s2.0-0027834187</t>
  </si>
  <si>
    <t>['¬© 1993', 'transmitted pulses', 'range rate', 'radar cross', 'physical characteristics', 'paper gives', 'orbit analysis', 'operate simultaneously', 'one 34', 'object images', 'object dimensions', 'fgan radar', 'fgan developed', 'brief description', 'angular direction']</t>
  </si>
  <si>
    <t>FGAN developed a High Power Radar System, able to track and image low Earth orbiting objects, for experimental radar research. The system is unique in Germany; it consists of a narrow band tracking radar and a high resolution imaging radar. The radars are supported from one 34-m parabolic dish antenna. They operate simultaneously on the object of interest. All information which a radar can gain about physical characteristics of targets have to be extracted from the backscattered electromagnetic field of transmitted pulses. L-band tracking data provide information on range, range rate, angular direction, and radar cross-section. From high resolution polarimetric Ku-band radar data projections of the 1- and 2-dimensional scatter centre distributions are computed. This paper gives a brief description of the FGAN radar and summarizes some radar based methods for orbit analysis, orbital lifetime prediction, reconstruction of object images, assessment of object dimensions, shape, attitude, and mass. ¬© 1993.</t>
  </si>
  <si>
    <t>33-42</t>
  </si>
  <si>
    <t>Mehrholz, D.</t>
  </si>
  <si>
    <t>Wachtberg</t>
  </si>
  <si>
    <t>Fraunhofer Institute for High Frequency Physics and Radar Techniques FHR</t>
  </si>
  <si>
    <t>Mehrholz D.</t>
  </si>
  <si>
    <t>Space object observation with radar</t>
  </si>
  <si>
    <t>027311779390565S</t>
  </si>
  <si>
    <t>10.1016/0273-1177(93)90565-S</t>
  </si>
  <si>
    <t>2-s2.0-0027834335</t>
  </si>
  <si>
    <t>['theoretical model', 'sheet surface', 'scattering model', 'power volume', 'ice sheets', 'gaussian functions', 'brown model', 'antenna pattern']</t>
  </si>
  <si>
    <t>We develop a theoretical model for altimeter return wave forms over the ice sheets that is based on a combination of surface- and volume-scattering. By approximating the altimeter's antenna pattern and transmitted pulse shape with Gaussian functions, we derive a closed-form analytical solution for the return-power volume-scattered from beneath the ice-sheet surface. We then combine the volume-scattering model with the Brown model and apply it to average wave forms from the Greenland and Antarctic ice sheets. -from Authors</t>
  </si>
  <si>
    <t>675-686</t>
  </si>
  <si>
    <t>Journal of Glaciology</t>
  </si>
  <si>
    <t>100746499;100746499</t>
  </si>
  <si>
    <t>7404360319;35592956700</t>
  </si>
  <si>
    <t>Davis, C. H.;Moore, R. K.</t>
  </si>
  <si>
    <t>Independence</t>
  </si>
  <si>
    <t>Electrical and Computer Engrg</t>
  </si>
  <si>
    <t>Davis C.H.</t>
  </si>
  <si>
    <t>A combined surface- and volume-scattering model for ice-sheet radar altimetry</t>
  </si>
  <si>
    <t>10.1017/s0022143000016579</t>
  </si>
  <si>
    <t>2-s2.0-0027835110</t>
  </si>
  <si>
    <t>['time variance', 'satellite station', 'satellite inclination', 'return back', 'reasonable allowance', 'orbit lifetime', 'one day', 'maximum value', 'inclination angle', 'equatorial plane', 'eight pattern', 'earth terminal', 'allowable loss', '26 years', '10 ¬∞']</t>
  </si>
  <si>
    <t>The tilt of a satellite orbit relative to the equatorial plane is termed the inclination angle. To an earth terminal an inclined geosynchronous satellite appears to move in the sky with a figure-of-eight pattern over a period of one day. If no satellite station-keeping is applied, the inclination of a geosynchronous satellite would increase to a maximum value of approximately 15¬∞ in 26 years and return back to zero during the next 26 years. The cause, magnitude, and time variance of satellite inclination is examined in light of the effects on Military UHF SATCOM operation. The effects on required demodulator acquisition range, earth coverage footprint, and user terminal antenna pointing accuracy are considered. It is shown that the allowable satellite inclination to maximize on-orbit lifetime is not based on earth terminal antenna pointing accuracy, but on allowable loss of high latitude satellite coverage area. Worst case Doppler shift for a UHF military satellite is 85 Hz uplink and 67 Hz downlink for a 5¬∞ SATCOM user elevation angle and 10¬∞ of satellite inclination. This amount of inclination is a reasonable allowance for station-keeping, to minimize thruster fuel and thus maximize satellite life. Finally it is shown that uplink doppler frequency shift due to satellite inclination may be corrected, based on satellite ephemeris data and rough user terminal location data. ¬© 1993 IEEE</t>
  </si>
  <si>
    <t>Franke, Ernie</t>
  </si>
  <si>
    <t>Franke E.</t>
  </si>
  <si>
    <t>Satellite Inclination Effects on UHF Satcom Operation</t>
  </si>
  <si>
    <t>10.1109/62.246034</t>
  </si>
  <si>
    <t>2-s2.0-0027835161</t>
  </si>
  <si>
    <t>['volcanic aerosols', 'use schottky', 'thermal emission', 'stratospheric clo', 'radiometric calibration', 'radiometers operate', 'performed simultaneously', 'microwave frequencies', 'limb scan', 'internal target', 'ice clouds', 'diode mixers', 'cold space', 'ambient temperature', '205 ghz']</t>
  </si>
  <si>
    <t>The microwave limb sounder (MLS) on the Upper Atmosphere Research Satellite (UARS) is the first satellite experiment using limb sounding techniques at microwave frequencies. Primary measurement objectives are stratospheric ClO, O3, H2O, temperature, and pressure. Measurements are of thermal emission: all are performed simultaneously and continuously and are not degraded by ice clouds or volcanic aerosols. The instrument has a 1.6-m mechanically scanning antenna system and contains heterodyne radiometers in spectral bands centered near 63, 183, and 205 GHz. The radiometers operate at ambient temperature and use Schottky-diode mixers with local oscillators derived from phase-locked Gunn oscillators. Radiometric calibration, consisting of measurements of cold space and an internal target, is performed every 65-s limb scan. -from Authors</t>
  </si>
  <si>
    <t>D6</t>
  </si>
  <si>
    <t>Barath, F. T.</t>
  </si>
  <si>
    <t>Barath F.</t>
  </si>
  <si>
    <t>The upper atmosphere research satellite microwave limb sounder instrument</t>
  </si>
  <si>
    <t>2-s2.0-0027838581</t>
  </si>
  <si>
    <t>['temperate glaciers', 'standard transmitter', 'special aluminium', 'radar consists', 'outlet glacier', 'northern norway', 'lower part', 'long antennae', 'largely consistent', 'ice thicknesses', 'hangs 20', 'fibreglass construction', 'depth sounding', 'bed topography']</t>
  </si>
  <si>
    <t>A helicopter-mounted low frequency ice-radar has been developed for the depth sounding of temperate glaciers. The radar consists of standard transmitter and digital receiver equipment. The long antennae are supported on a special aluminium and fibreglass construction which hangs 20 m below the helicopter. The radar has been used on Engabreen, an outlet glacier of the Svartisen Ice Cap in northern Norway, where ice thicknesses of up to 350 m were obtained. The results have been used to construct a map of bed topography of the lower part of Engabreen. This map is largely consistent with ice thickness data obtained by drilling. -Authors</t>
  </si>
  <si>
    <t>23-26</t>
  </si>
  <si>
    <t>Annals of Glaciology</t>
  </si>
  <si>
    <t>60021377;60021377;60021377</t>
  </si>
  <si>
    <t>7004398101;6506549235;7102278157</t>
  </si>
  <si>
    <t>Kennett, M.;Laumann, T.;Lund, C.</t>
  </si>
  <si>
    <t>Norway</t>
  </si>
  <si>
    <t>Oslo</t>
  </si>
  <si>
    <t>Norges vassdrags- og energidirektorat</t>
  </si>
  <si>
    <t>Kennett M.</t>
  </si>
  <si>
    <t>Helicopter-borne radio-echo sounding of Svartisen, Norway</t>
  </si>
  <si>
    <t>10.1017/s0260305500012568</t>
  </si>
  <si>
    <t>2-s2.0-0027838747</t>
  </si>
  <si>
    <t>['truly broad', 'optical mixing', 'microwave mixers', 'linb03 mach', 'investigative study', 'interferometric modulators', 'good agreement', 'different configurations', 'band characteristics', '40 ghz']</t>
  </si>
  <si>
    <t>An investigative study of microwave-optical mixing in different configurations of LiNb03 Mach-Zehnder interferometric modulators is presented. In each case, models that describe mixer performance are developed and are shown to be in good agreement with measurements. For antenna remoting applications, a technique to down-convert RF signals is demonstrated by cascading in series a pair of Mach-Zehnder interferometric modulators. In general, it is shown that by virtue of their truly broad-band characteristics, interferometric modulators can also be employed as microwave mixers at frequencies up to 40 GHz. ¬© 1993 IEEE</t>
  </si>
  <si>
    <t>2383-2391</t>
  </si>
  <si>
    <t>60027271;60027271;60027271</t>
  </si>
  <si>
    <t>35586242100;7201423901;7003503940</t>
  </si>
  <si>
    <t>Gopalakrishnan, Ganesh K.;Burns, William K.;Bulmer, Catherine H.</t>
  </si>
  <si>
    <t>Gopalakrishnan G.</t>
  </si>
  <si>
    <t>Microwave-Optical Mixing in LiNb0&lt;inf&gt;3&lt;/inf&gt; Modulators</t>
  </si>
  <si>
    <t>10.1109/22.260732</t>
  </si>
  <si>
    <t>2-s2.0-0027839296</t>
  </si>
  <si>
    <t>['z ),', 'upper limit', 'small complex', 'given argument', 'bessel functions']</t>
  </si>
  <si>
    <t>Routines for the computation of Bessel functions of the second kind Yn(z), and Hankel functions Hn&lt;sup&gt;(1)&lt;/sup&gt;(z) and Hn&lt;sup&gt;(2)&lt;/sup&gt;(z), may exhibit numerical overflow problems for large orders n and small complex or real arguments z. In this communication, an upper limit for the largest calculable order of these functions for a given argument, is derived. ¬© 1993 IEEE</t>
  </si>
  <si>
    <t>1741-1742</t>
  </si>
  <si>
    <t>A Procedure for Determining the Largest Computable Order of Bessel Functions of the Second Kind and Hankel Functions</t>
  </si>
  <si>
    <t>10.1109/8.273320</t>
  </si>
  <si>
    <t>2-s2.0-0027839938</t>
  </si>
  <si>
    <t>['uniqueness theorems', 'ground planes', 'general low', 'frequency expressions', 'exact time', 'cylindrical bumps', '4 ],']</t>
  </si>
  <si>
    <t>Uniqueness theorems are proven for static integral equations that we used to determine the constants in the low-frequency expressions for scattering from perfectly conducting cylinders and cylindrical bumps and dents in ground planes [4], In addition, the constants are evaluated for a number of geometries and the general low-frequency expressions are confirmed by comparing them to low-frequency results obtained from exact time-harmonic eigenfunction solutions. ¬© 1993 IEEE</t>
  </si>
  <si>
    <t>1726-1731</t>
  </si>
  <si>
    <t>Hansen, Thorkild B.</t>
  </si>
  <si>
    <t>Hansen T.</t>
  </si>
  <si>
    <t>Uniqueness Theorems for Static Integral Equations and Calculations of Constants for 2-D Low-Frequency Scattering</t>
  </si>
  <si>
    <t>10.1109/8.273318</t>
  </si>
  <si>
    <t>2-s2.0-0027840333</t>
  </si>
  <si>
    <t>['synthesized coherently', 'separate oscillator', 'phase coherent', 'paper provide', 'oscillator phases', 'novel method', 'input controls', 'injection currents', 'francis ltd', 'design freedom', 'coupling network', 'antenna element', 'also result']</t>
  </si>
  <si>
    <t>An innovative, phase coherent, power combining method, known as inter-injection locking applied to linear limited scan phased arrays is investigated. In this novel method, each antenna element in the array is supplied by power from a separate oscillator. However, the oscillator phases are allowed to be synthesized coherently by means of a coupling network and injection currents, being the input controls to the system of coupled phases oscillators. The inter-injection-locked phased arrays studied in this paper provide more design freedom than conventional phased arrays. They also result in systems more adapted to solid state monolithic integration technology. ¬© 1993 Taylor &amp; Francis Ltd.</t>
  </si>
  <si>
    <t>1221-1241</t>
  </si>
  <si>
    <t>60071174;60071174;60071174</t>
  </si>
  <si>
    <t>6603082786;6504135336;57196639566</t>
  </si>
  <si>
    <t>Alseyab, Saod A.;Al-Wasfi, Ali A.;Abdullah, Abdulkareem S.</t>
  </si>
  <si>
    <t>Basra</t>
  </si>
  <si>
    <t>University of Basrah</t>
  </si>
  <si>
    <t>Alseyab S.A.</t>
  </si>
  <si>
    <t>A study of steering capability of a microstrip phased array using inter-injection locked oscillators</t>
  </si>
  <si>
    <t>10.1080/00207219308907197</t>
  </si>
  <si>
    <t>2-s2.0-0027840905</t>
  </si>
  <si>
    <t>['¬© 1993', 'square value', 'square error', 'sidelobe regions', 'quadratic constraint', 'proposed techniques', 'matrix factorization', 'mainlobe width', 'linear constraints', 'desired response', 'computational complexity', 'array response', 'antenna pattern', 'antenna array']</t>
  </si>
  <si>
    <t>Array pattern synthesis | quadratic optimization</t>
  </si>
  <si>
    <t>The paper presents two design methods for synthesizing antenna array patterns with an adjustable mainlobe width and minimum average sidelobe level. One method involves matching the array response to a desired response over the mainlobe width while minimizing the mean-square value of the array response over the sidelobe regions. The other method involves minimizing the mean-square error between a desired response and the response of the antenna array over a certain mainbeam width subject to a mean-square sidelobe constraint. Numerical techniques based on matrix factorization are proposed to reduce the computational complexity. Subsequently, a set of linear constraints are used to approximate the effect of the quadratic constraint. Numerical results show that the proposed techniques are very effective in the design of antenna pattern having an adjustable mainlobe width and minimum average sidelobe level. ¬© 1993.</t>
  </si>
  <si>
    <t>323-334</t>
  </si>
  <si>
    <t>60005510;60005510;60005510</t>
  </si>
  <si>
    <t>7102842938;7101953196;7202062508</t>
  </si>
  <si>
    <t>Er, M. H.;Sim, S. L.;Koh, S. N.</t>
  </si>
  <si>
    <t>Application of constrained optimization techniques to array pattern synthesis</t>
  </si>
  <si>
    <t>10.1016/0165-1684(93)90139-2</t>
  </si>
  <si>
    <t>2-s2.0-0027841054</t>
  </si>
  <si>
    <t>['taken also', 'spectrum band', 'receiving antenna', 'realistic conclusions', 'particular contributions', 'orst case', 'noise ratio', 'noise contribution', 'image due', 'high values', 'equal carrier', 'crosspolar rejection', 'cnr ),', 'chroma carrier', 'certain degree', '43 mhz', '18 db']</t>
  </si>
  <si>
    <t>An study including simulation and a measurement campaign using live TV broadcast satellite signals and receiving commercial equipment has been carried out to investigate the required crosspolar protection ratio at the terrestrial receiving antenna for satellite transmissions planning. This experiment provides useful and realistic conclusions for efficient channels allocation of in the spectrum band of broadcast satellite systems, as for example, frequency offset required beteen crosspolar channels depending on the crosspolar rejection at the receiving antenna, for a certain degree of video signal impairment due to the crosspolar channel interference effect, and taken also into account the noise contribution on the signal. A orst case in frequency offset value, i.e. larger subjective impairment on the picture at equal carrier to noise ratio (CNR), has been detected around 5 MHz (near the chroma carrier in G-PAL system 4.43 MHz) only for high values of CNR analyzed 21 dB and 18 dB. Also, different subjetive degradation on the image due to crosspolar channel interference and noise has been observed and their particular contributions to impairment has been valued. ¬© 1993 IEEE</t>
  </si>
  <si>
    <t>390-394</t>
  </si>
  <si>
    <t>60011476;60011476</t>
  </si>
  <si>
    <t>55948266500;6603278304</t>
  </si>
  <si>
    <t>Marti, J.;Mossi, J. M.</t>
  </si>
  <si>
    <t>Universitat Polit√®cnica de Val√®ncia</t>
  </si>
  <si>
    <t>Marti J.</t>
  </si>
  <si>
    <t>Study of the Required Crosspolar Protection Ratio in G-Pal TV FM Satellite Transmissions Planning</t>
  </si>
  <si>
    <t>10.1109/11.259599</t>
  </si>
  <si>
    <t>2-s2.0-0027842119</t>
  </si>
  <si>
    <t>['truss structure', 'sensitivity analysis', 'reflector distortions', 'reduce difficulties', 'present method', 'paper states', 'numerical simulations', 'module comprises', 'independently fabricated', 'ground testing', 'experiments clarify', 'determined mainly', 'cable network', 'basic constitution']</t>
  </si>
  <si>
    <t>The deployable modular mesh antenna is composed of independently fabricated and tested antenna modules to reduce difficulties in ground testing. Each module comprises a metallic mesh shaped by a cable network and a deployable truss structure. This paper states the basic constitution of each module, especially of the cable network, and results of surface shape adjustment simulations and experiments. Employing the present method, reflector distortions after the fabrication can be adjusted by changing cable lengths without any sensitivity analysis. Numerical simulations and experiments clarify that the attainable surface accuracy of a module is determined mainly by the accuracy of the truss structure.</t>
  </si>
  <si>
    <t>53-61</t>
  </si>
  <si>
    <t>6701546237;7005801010</t>
  </si>
  <si>
    <t>Mitsugi, J.;Yasaka, T.</t>
  </si>
  <si>
    <t>Mitsugi J.</t>
  </si>
  <si>
    <t>Deployable modular mesh antenna and its surface adjustment</t>
  </si>
  <si>
    <t>10.1177/0266351193008001-206</t>
  </si>
  <si>
    <t>2-s2.0-0027843012</t>
  </si>
  <si>
    <t>['wire antennas', 'two method', 'thin straight', 'therefore provides', 'restrictive assumptions', 'paper considers', 'numerical integration', 'moments formulations', 'fundamental integrals', 'field regions', 'exact solution', 'exact expression', 'evaluated numerically', 'dipole length', 'completely general', 'asymptotic expansion', 'antenna theory']</t>
  </si>
  <si>
    <t>The generalized exponential integral is one of the most fundamental integrals in antenna theory and for many years exact solutions to this integral have been sought. This paper considers an exact solution to this integral which is completely general and independent of the usual restrictions involving the wavelength, field point distance, and dipole length. The generalized exponential integral has traditionally been evaluated numerically or by making certain convenient but restrictive assumptions. The exact series representation presented in this paper converges rapidly in the induction and near-field regions of the antenna and therefore provides an alternative to numerical integration. Two method of moments formulations are considered which use the exact expression for the generalized exponential integral in the computation of the impedance matrix elements. It is demonstrated that, for very thin straight-wire antennas, an asymptotic expansion can be used to obtain a numerically convenient form of the generalized exponential integral. ¬© 1993 IEEE</t>
  </si>
  <si>
    <t>1716-1719</t>
  </si>
  <si>
    <t>60001439;60001439;60001439;60001439;60001439</t>
  </si>
  <si>
    <t>55925714300;56036142700;7202815347;7005220941;6701384134</t>
  </si>
  <si>
    <t>Werner, D. H.;Werner, P. L.;Huffman, J. A.;Ferraro, A. J.;Breakall, J. K.</t>
  </si>
  <si>
    <t>Werner D.H.</t>
  </si>
  <si>
    <t>An Exact Solution of the Generalized Exponential Integral and Its Application to Moment Method Formulations</t>
  </si>
  <si>
    <t>10.1109/8.273316</t>
  </si>
  <si>
    <t>2-s2.0-0027843229</t>
  </si>
  <si>
    <t>['test site', 'square trihedrals', 'sar antenna', 'produce images', 'phase operations', 'pattern measurements', 'level 2', 'leg lengths', 'international collaboration', 'instruments used', 'geometric corrections', 'ecisar activity', 'calibration experiment', '1 sar', '1 products', '1 commissioning']</t>
  </si>
  <si>
    <t>An ERS-1 Synthetic Aperture Radar (SAR) radiometric-calibration experiment was carried out at the Akita test site in Japan during the ERS-1 commissioning-phase operations on 10-16 November 1991 as a part of the ECISAR activity, an international collaboration for ERS-1 SAR calibration. The instruments used were square trihedrals with leg lengths of 0.46, 0.6, 0.85 and 1.1m, and a receiver for SAR antenna-pattern measurements. The test site, the disused Akita Airport, was successfuly observed twice by the ERS-1 SAR and the data were received and processed by NASDA to produce images. These Level 2.1 products, on which radiometric and geometric corrections were performed, were used for the radiometric-calibration experiment. -from Authors</t>
  </si>
  <si>
    <t>323-330</t>
  </si>
  <si>
    <t>ESA Journal</t>
  </si>
  <si>
    <t>7403990802;57206106386;7202017567;6701800237</t>
  </si>
  <si>
    <t>Fujita, M.;Fujino, Y.;Ochiai, S.;Hanado, H.</t>
  </si>
  <si>
    <t>Fujita M.</t>
  </si>
  <si>
    <t>Results of an ERS-1 C-band SAR calibration experiment in Japan</t>
  </si>
  <si>
    <t>2-s2.0-0027843519</t>
  </si>
  <si>
    <t>['upper jurassic', 'middle jurassic', 'including antennae', 'genus shevioptera', 'genera proptychoptera', 'first time', 'fifteen species', 'body structures', '12 new']</t>
  </si>
  <si>
    <t>Fifteen species, 12 new, of the Mesozoic family Eoptychopteridae from the Middle Jurassic of Siberia and the Upper Jurassic of Kazakhstan are described. The body structures (including antennae, halteres and genitalia of both sexes) of genera Proptychoptera and Proptychopterina are described for the first time. Generic and specific taxonomic keys are given. The genus Shevioptera is removed from the family. -Author</t>
  </si>
  <si>
    <t>103-122</t>
  </si>
  <si>
    <t>Paleontological Journal</t>
  </si>
  <si>
    <t>Lukashevich, E. D.</t>
  </si>
  <si>
    <t>Lukashevich E.</t>
  </si>
  <si>
    <t>New Eoptychopteridae (Diptera: Psychodomorpha) from the Jurassic of Asia</t>
  </si>
  <si>
    <t>2-s2.0-0027843617</t>
  </si>
  <si>
    <t>['¬© 1993', 'weilheim antenna', 'rights reserved', 'much better', 'mechanical reliability', 'kashima baseline', 'japan ).', 'internal precision', 'good transportability', 'geodetic vlbi', 'geodetic society', 'first observations', 'estimated coordinates', 'end system', '4 back', '10 cm']</t>
  </si>
  <si>
    <t>In September, 1990, the Weilheim (Germany) 30 m antenna was configured for geodetic VLBI by transporting a K-4 back-end system from Japan and the first observations were accomplished between Weilheim, Kashima (Japan) and Nobeyama (Japan). Quality of observations at Weilheim is good, although a crystal quartz clock phase-locked to a Cs frequency standard was used. It is demonstrated that a K-4 back-end system has good transportability and mechanical reliability in international VLBI observations. The data of the Weilheim-Kashima baseline are analyzed to determine the coordinates of the Weilheim antenna. Internal precision of the estimated coordinates is about 10 cm which is much better than the hitherto known precision from surveying. ¬© 1993, The Geodetic Society of Japan. All rights reserved.</t>
  </si>
  <si>
    <t>353-361</t>
  </si>
  <si>
    <t>60029701;60029701;60029701;60029701;60029701;60029701;60029701;60029701;60007798;60007798;60007798;60007798;60007798;60007798;60008435;60009885;114320149;114320149</t>
  </si>
  <si>
    <t>7102874996;7404213159;7003729470;55729536900;6603863686;35411779500;23036756400;7102913956;57194933177;16440524700;57194928379;57194934579;57194937657;57197278216;57220659352;7004299940;14046853800;55705412900</t>
  </si>
  <si>
    <t>Manabe, Seiji;Hara, Tadayoshi;Kameya, Osamu;Kawano, Nobuyuki;Kuji, Seisuke;Sasao, Tetsuo;Sato, Katsuhisa;Kawaguchi, Noriyuki;Glasik, Friedhelm;K√∂hnlein, Walter;Kynast, Hartmut;Lehner, Christoph;Wenderoth, Hubertus;Wiedemann, Klaus;Yasuda, Shigeru;Fujishita, Mitsumi;Hama, Shin'ichi;Takahashi, Yukio</t>
  </si>
  <si>
    <t>Japan;Japan;Japan;Germany;Japan</t>
  </si>
  <si>
    <t>Mitaka;Tokyo;Sendai;¬†Cologne;Kashima Ibaraki</t>
  </si>
  <si>
    <t>National Institutes of Natural Sciences - National Astronomical Observatory of Japan;Tokai University;Tohoku University;Deutsches Zentrum fur Luft- Und Raumfahrt;Kashima Space Research Center</t>
  </si>
  <si>
    <t>60029701;60009885;60008435;60007798;114320149</t>
  </si>
  <si>
    <t>Manabe S.</t>
  </si>
  <si>
    <t>First VLBI observations between weilheim, kashima and nobeyama.</t>
  </si>
  <si>
    <t>10.11366/sokuchi1954.39.353</t>
  </si>
  <si>
    <t>2-s2.0-0027843708</t>
  </si>
  <si>
    <t>['manufacturing tolerances', 'ingeniously shape', 'feed network', 'dipole array', 'design technique', 'db dolph', 'also discussed', '5 ghz']</t>
  </si>
  <si>
    <t>A design technique for an embedded microstrip corporate feed is presented. The aim of the design is to ingeniously shape each corporate feed junction in order to acquire a tapered and in-phase output current distribution. From this a Dolph-Chebyshev array sum pattern may be constructed. In the experiments, the designed corporate feed is used to excite a five-element equispaced linear array of overlay microstrip dipoles. It has been found both theoretically and experimentally that a 20-dB Dolph-Chebyshev broadside sum pattern can be synthesized in the H-plane at 8.5 GHz. Mutual coupling among the dipoles is included in this analysis. The pattern degradation due to manufacturing tolerances on the alignment between the feed network and the dipole array is also discussed. ¬© 1993 IEEE</t>
  </si>
  <si>
    <t>1615-1624</t>
  </si>
  <si>
    <t>7006453948;7004468161</t>
  </si>
  <si>
    <t>Horng, Tzyy Sheng;Alexopoulos, Nicolaos G.</t>
  </si>
  <si>
    <t>Horng T.</t>
  </si>
  <si>
    <t>Corporate Feed Design for Microstrip Arrays</t>
  </si>
  <si>
    <t>10.1109/8.273304</t>
  </si>
  <si>
    <t>2-s2.0-0027844792</t>
  </si>
  <si>
    <t>['wiley company', 'tm01 mode', 'inc .,', 'great dependence', 'feed positions', 'cylindrical surface', 'curvature radius', 'also analyzed']</t>
  </si>
  <si>
    <t>cross‚Äêpolarization characteristics | Cylindrical microstrip structure</t>
  </si>
  <si>
    <t>The cross‚Äêpolarization characteristics of a rectangular microstrip patch antenna mounted on a cylindrical surface are investigated by using the modal‚Äêexpansion theory. The case of the patch antenna excited at TM01 mode is treated. Numerical results showing the variations of the cross‚Äêpolarization level for various aspect ratios and different curvature radii are given. A great dependence of the cross‚Äêpolarization level on the curvature radius of the cylindrical microstrip patch antenna is observed. The effects of feed positions on the cross‚Äêpolarization characteristics are also analyzed. Copyright ¬© 1993 Wiley Periodicals, Inc., A Wiley Company</t>
  </si>
  <si>
    <t>911-914</t>
  </si>
  <si>
    <t>7007049357;35460663000</t>
  </si>
  <si>
    <t>Ke, Shyh‚ÄêYeong ‚ÄêY;Wong, Kin‚ÄêLu ‚ÄêL</t>
  </si>
  <si>
    <t>Ke S.</t>
  </si>
  <si>
    <t>Cross‚Äêpolarization characteristics of rectangular microstrip patch antennas on a cylindrical surface</t>
  </si>
  <si>
    <t>10.1002/mop.4650061614</t>
  </si>
  <si>
    <t>2-s2.0-0027846887</t>
  </si>
  <si>
    <t>29-33</t>
  </si>
  <si>
    <t>Harrison, Charles W.</t>
  </si>
  <si>
    <t>Harrison C.</t>
  </si>
  <si>
    <t>Some Aspects of the Genesis of Radio Engineering</t>
  </si>
  <si>
    <t>10.1109/74.248483</t>
  </si>
  <si>
    <t>2-s2.0-0027847510</t>
  </si>
  <si>
    <t>['¬± 5', '¬© 1993', 'spiral antenna', 'sheath capacitance', 'saturate even', 'rf voltage', 'rf self', 'plasma characteristics', 'magnetic field', 'japan society', 'increasing power', 'electron density', 'bias voltage', 'bias behavior', 'applied physics', '600 w', '3was obtained', '3was achieved', '12 cmœï']</t>
  </si>
  <si>
    <t>Blocking condenser | ICP | Inductively coupled plasma | Self-bias | Sheath | Sheath capacitance</t>
  </si>
  <si>
    <t>The plasma characteristics and RF self-bias behavior in inductively coupled plasma were studied. In the absence of magnetic field, a newly developed 1-turn antenna provided more uniform radial distribution of electron density than the spiral antenna with the present relatively small diameter, and uniformity of ¬±5% with 4.5 x 1011 cm-3was achieved for 12 cmœï at 600 W. The electron density increased linearly with increasing power and did not saturate even at 1 kW input power. The ne of 7 x 1011 cm-3was obtained in Ar at 1 kW power. For such high- density and large-diameter uniform plasma, the RF self-bias voltage was difficult to generate, because the sheath capacitance is too large. An equivalent circuit analysis clarified that the self-bias voltage behaved as Vpp4ne-2, where Vpp is RF voltage. ¬© 1993 The Japan Society of Applied Physics.</t>
  </si>
  <si>
    <t>6076-6079</t>
  </si>
  <si>
    <t>12 S</t>
  </si>
  <si>
    <t>60030788;60030788;60030788</t>
  </si>
  <si>
    <t>6507287181;39962240600;7006633555</t>
  </si>
  <si>
    <t>Nouda, Tatuki;Nakamura, Akihiro;Horiike, Yasuhiro</t>
  </si>
  <si>
    <t>Higashihiroshima</t>
  </si>
  <si>
    <t>Hiroshima University</t>
  </si>
  <si>
    <t>Nouda T.</t>
  </si>
  <si>
    <t>Rf Self-Bias Characteristics In Inductively Coupled Plasma</t>
  </si>
  <si>
    <t>10.1143/JJAP.32.6076</t>
  </si>
  <si>
    <t>2-s2.0-0027848461</t>
  </si>
  <si>
    <t>['¬© 1993', 'systematic errors', 'standard deviation', 'ship trials', 'rrs discovery', 'residuals calculated', 'min averages', 'measuring ship', 'likely limit', 'including periods', 'gps system', 'gps antennas', 'august 1992', '8 days', '17 ¬∞.']</t>
  </si>
  <si>
    <t>An Ashtech GPS 3DF, a commercially available system for measuring ship's heading from an array of GPS antennas, was installed on RRS Discovery in August 1992. Data were collected during 8 days of ship trials, including periods in port and while on station or steaming. Headings from the GPS system have been compared with headings from the ship's gyrocompass, and residuals calculated. While in port, residuals had a standard deviation of 0.066¬∞, suggesting satisfactory performance by both instruments. While at sea, time-averaged residuals varied with a range of nearly 3¬∞, most of which is attributed to systematic errors in the ship's gyro. After correcting the gyro using 10-min averages of the GPS minus gyro headings, the residual GPS minus gyro differences had a standard deviation of 0.17¬∞. This represents a likely limit on the use of GPS heading data to improve conventional gyro measurements. ¬© 1993.</t>
  </si>
  <si>
    <t>2207-2216</t>
  </si>
  <si>
    <t>Deep-Sea Research Part I</t>
  </si>
  <si>
    <t>November 1993/December 1993</t>
  </si>
  <si>
    <t>60010934;101692594</t>
  </si>
  <si>
    <t>55802386000;7402217232</t>
  </si>
  <si>
    <t>King, B. A.;Cooper, E. B.</t>
  </si>
  <si>
    <t>Southampton;Barry</t>
  </si>
  <si>
    <t>National Oceanography Centre Southampton;Research Vessel Services</t>
  </si>
  <si>
    <t>King B.A.</t>
  </si>
  <si>
    <t>Comparison of ship's heading determined from an array of GPS antennas with heading from conventional gyrocompass measurements</t>
  </si>
  <si>
    <t>0967-0637(93)90099-O</t>
  </si>
  <si>
    <t>10.1016/0967-0637(93)90099-O</t>
  </si>
  <si>
    <t>2-s2.0-0027849046</t>
  </si>
  <si>
    <t>['novel method', 'improvement factors', 'frequency responses', 'francis ltd', 'finite number', 'designed filters', 'design technique']</t>
  </si>
  <si>
    <t>A novel method is described for designing optimum recursive MTI filters by using zero frequency initialization as a pre-design technique. The designed filters offer optimum clutter rejection for a given clutter power spectrum and a finite number of samples. The performance of the designed filters were studied by considering their improvement factors and frequency responses. It has been found that the new filters offer better rejection characteristic than covariance recursive filters and conventional Butterworth filters with the same pass-band. ¬© 1993 Taylor &amp; Francis Ltd.</t>
  </si>
  <si>
    <t>1099-1109</t>
  </si>
  <si>
    <t>60008524;60012070</t>
  </si>
  <si>
    <t>57222050810;7003660043</t>
  </si>
  <si>
    <t>Al-Ahmad, Hussian;Lockhart, Gordon B.</t>
  </si>
  <si>
    <t>Leeds;Bradford</t>
  </si>
  <si>
    <t>University of Leeds;University of Bradford</t>
  </si>
  <si>
    <t>60012070;60008524</t>
  </si>
  <si>
    <t>Al-Ahmad H.</t>
  </si>
  <si>
    <t>Design and analysis of recursive filters with optimum clutter rejection using zero frequency initialization</t>
  </si>
  <si>
    <t>10.1080/00207219308907185</t>
  </si>
  <si>
    <t>2-s2.0-0027850214</t>
  </si>
  <si>
    <t>['¬© 1993', 'wet radomes', 'two 3', 'thought previously', 'significant interactions', 'satellite communications', 'rights reserved', 'receive antenna', 'rain attenuation', 'possible applications', 'polarization discrimination', 'performance degradation', 'opposite senses', 'ground links', 'circular polarization', 'careful control', '2 gb']</t>
  </si>
  <si>
    <t>An experimental terrestrial link was set up for the purpose of evaluating very high data rate communications in dual polarization frequency reuse (DPFR) systems. Possible applications are in the field of satellite communications. Two 3.2 Gb/s signals using staggered quadriphase shift keying (SQPSK) were transmitted on opposite senses of circular polarization over a 7 km path located in Crane rain region D3. Performance degradation of the demodulator as a function of cross-polarization discrimination (XPD) was evaluated and found to closely match simulation predictions. However, the relationship between XPD and rain attenuation was found to be more complex than thought previously, displaying a relatively slowly varying hysteresis effect as well as significant interactions with characteristics of the receive antenna. The latter effect suggests that careful control of antenna characteristics may be required if such high data rate techniques are to be employed in space-ground links. The effect of wet radomes on wideband DPFR performance remains to be evaluated. ¬© 1993, Walter de Gruyter. All rights reserved.</t>
  </si>
  <si>
    <t>1830-1837</t>
  </si>
  <si>
    <t>60005304;60005304;60005304;</t>
  </si>
  <si>
    <t>7101662000;6506510513;57196775817;7404308300</t>
  </si>
  <si>
    <t>Hendrix, Charles E.;Kulon, Gregory;Heinze, Michael A.;Anderson, Carin S.</t>
  </si>
  <si>
    <t>Hendrix C.</t>
  </si>
  <si>
    <t>Multigigabit Transmission through Rain in a Dual Polarization Frequency Reuse System: An Experimental Study</t>
  </si>
  <si>
    <t>10.1109/26.250831</t>
  </si>
  <si>
    <t>2-s2.0-0027852034</t>
  </si>
  <si>
    <t>['wiley company', 'unit cell', 'straight wires', 'small fraction', 'several wavelengths', 'present technique', 'periodicities varying', 'meshes consisting', 'limited range', 'inc .,', 'homogenization techniques', 'effective approach']</t>
  </si>
  <si>
    <t>Nonplanar wire meshes | numerical methods | scattering</t>
  </si>
  <si>
    <t>A simple and effective approach is presented for analyzing the plane‚Äêwave scattering from nonplanar wire meshes. In contrast to both traditional integral equation solutions and homogenization techniques, which have a limited range of application in terms of the size of the unit cell, the present technique is applicable to structures with periodicities varying from a small fraction of the wavelength (e.g., 10‚àí10Œª0) up to several wavelengths. The technique is applied to the analysis of meshes consisting of straight wires as well as wire meshes containing helical elements. Copyright ¬© 1993 Wiley Periodicals, Inc., A Wiley Company</t>
  </si>
  <si>
    <t>898-903</t>
  </si>
  <si>
    <t>60000745;60015941</t>
  </si>
  <si>
    <t>7005196479;7003300632</t>
  </si>
  <si>
    <t>Michielssen, E.;Whites, K.</t>
  </si>
  <si>
    <t>Michielssen E.</t>
  </si>
  <si>
    <t>A stable electric field integral equation approach for analyzing scattering from nonplanar wire meshes with arbitrarily small cell sizes</t>
  </si>
  <si>
    <t>10.1002/mop.4650061610</t>
  </si>
  <si>
    <t>2-s2.0-0027855356</t>
  </si>
  <si>
    <t>['white rice', 'theoretical background', 'polystyrene beads', 'polyethylene beads', 'phase measurement', 'number density', 'new method', 'mixtures using', 'measuring properties', 'measurement method', 'laboratory tests', 'laboratory measurements', 'industrial measurements', 'green lentils', 'granular materials', 'different materials', 'also suggested', '35 ghz']</t>
  </si>
  <si>
    <t>A new method for measuring properties of granular materials with a two-polarization scattering measurement combined with a free-space phase measurement is introduced. The theoretical background of the measurement method is presented. Laboratory measurements of the depolarized scattering cross sections of white rice, green lentils, polystyrene beads, polyethylene beads, and mixtures of them at 10 and 35 GHz with a vector network analyzer and two horn antennas are presented. Results are compared with those based on first-order multiple scattering theory. Laboratory tests of the measurement of the relative effective permittivity of different materials by a phase measurement are presented. Also, laboratory tests of the compensation of the effects of changes in the number density and the permittivity of the inclusions of mixtures using a phase measurement are presented. A low-cost measurement setup for industrial measurements is also suggested. ¬© 1993 IEEE</t>
  </si>
  <si>
    <t>2081-2086</t>
  </si>
  <si>
    <t>New Method for Measuring Properties of Nonhomogeneous Materials by a Two-Polarization Forward-Scattering Measurement</t>
  </si>
  <si>
    <t>10.1109/22.260690</t>
  </si>
  <si>
    <t>2-s2.0-0027858027</t>
  </si>
  <si>
    <t>['tuning procedure', 'small compared', 'simplified model', 'quite simple', 'particulary stable', 'one antenna', 'maximum bandidth', 'fed upleads', 'fed separately', 'efficiency product', 'efficiency desired', 'current magnitudes', 'capacitive ends', 'antennas may', 'antenna performance', 'adjustments ith']</t>
  </si>
  <si>
    <t>This paper compares different possibilities of feeding to multiple tuned VLF antennas with regard to antenna performance and tuning. Both antennas may be fed separately or only one is fed and the other grounded through a previously tuned coil. The antennas may either be connected or separated at their capacitive ends. The maximum bandidth-efficiency product of all these arrangements is the same. Connected antenna systems achieve this maximum for all adjustments ith in-phase base currents and the most favourable tuning depends on the efficiency desired. If only one antenna is fed the tuning procedure is quite simple, because only current magnitudes have to be adjusted. Retuning of the coils in the non-fed upleads is not necessary, if changes are small compared with the magnitude of the antennas‚Äô coupling reactances. Connected element systems are particulary stable. These properties can be transferred to other multiple-tuned antenna systems of electrically short elements ith top capacitances. As an example, a simplified model of the German world ar 2 Goliath antenna is presented. ¬© 1993 IEEE</t>
  </si>
  <si>
    <t>402-407</t>
  </si>
  <si>
    <t>Schopp, Manfred</t>
  </si>
  <si>
    <t>Schopp M.</t>
  </si>
  <si>
    <t>Multiple-Tuned VLF Antennas</t>
  </si>
  <si>
    <t>10.1109/11.259601</t>
  </si>
  <si>
    <t>2-s2.0-0027867370</t>
  </si>
  <si>
    <t>['¬© 1993', 'vt ),', 'transitory metal', 'test devices', 'shading leads', 'positive shift', 'positive charge', 'photoresist patterns', 'new phenomena', 'microloading effect', 'line antenna', 'less neutralization', 'japan society', 'hardly observed', 'electron shading', 'dense line', 'charge damage', 'applied physics', 'antenna shape', 'antenna lines']</t>
  </si>
  <si>
    <t>Antenna effect | Antenna shape | Charge damage | Damage mechanism | ECR plasma etching | Electron shading | Microloading effect | Nonuniformity</t>
  </si>
  <si>
    <t>The effect of antenna shape on charge damage has been examined using electron cyclotron resonance (ECR) plasma metal etching and test devices with an 8-nm-thick gate oxide. A dense-line antenna causes capacitor breakdown and the positive shift of the transistor‚Äôs threshold voltage (Vt), while a sparse-line antenna does not. This positive Vt shift corresponds to a positive charge-up of the dense line, and is not dependent on overetching. Such damage is hardly observed when the antenna‚Äôs top surface is exposed to the plasma, indicating that the plasma is uniform in terms of conventional charge damage. These new phenomena can be explained by a new mechanism consisting of electron shading with photoresist patterns. This shading leads to less neutralization of the ion charge impinging onto the transitory metal which remains between the antenna lines because of the microloading effect, and thus the excess positive charge causes the damage. ¬© 1993 The Japan Society of Applied Physics.</t>
  </si>
  <si>
    <t>6109-6113</t>
  </si>
  <si>
    <t>Hashimoto, Koichi</t>
  </si>
  <si>
    <t>Minato</t>
  </si>
  <si>
    <t>Fujitsu Ltd.</t>
  </si>
  <si>
    <t>Hashimoto K.</t>
  </si>
  <si>
    <t>New Phenomena Of Charge Damage In Plasma Etching: Heavy Damage Only Through Dense-Line Antenna</t>
  </si>
  <si>
    <t>10.1143/JJAP.32.6109</t>
  </si>
  <si>
    <t>2-s2.0-0027867586</t>
  </si>
  <si>
    <t>['paper deals', 'numerical simulation', 'inverse dynamic', 'hinge friction', 'deployment process']</t>
  </si>
  <si>
    <t>This paper deals with the numerical simulation of the deployment process of a parabolic space reflector. The described deployable antenna is of the rigid panel type. The numerical simulations cover kinematic, inverse dynamic, quasi-static and dynamic analysis modes. Special phenomena included are hinge friction and the investigation of a deployment failure mode. Different software packages have been applied and their performance has been assessed.</t>
  </si>
  <si>
    <t>63-70</t>
  </si>
  <si>
    <t>Specht, B.</t>
  </si>
  <si>
    <t>Specht B.</t>
  </si>
  <si>
    <t>Deployment simulation of a parabolic space antenna with rigid panels</t>
  </si>
  <si>
    <t>10.1177/0266351193008001-207</t>
  </si>
  <si>
    <t>2-s2.0-0027868544</t>
  </si>
  <si>
    <t>['¬© 1993', 'three types', 'three systems', 'rights reserved', 'prestar uses', 'prestar designed', 'necessary corrections', 'navigation devices', 'kinematic operation', 'gps receivers', 'geodetic society', 'fundamental research', 'consumer electronics', 'baseline analysis', '4090 manufactured']</t>
  </si>
  <si>
    <t>Research and development of GPS receivers in Japan was started in the early '80s by manufacturers of ship born communication and navigation devices, and also of audio-video and consumer electronics. The first single point receiver was introduced in 1984, and the first relative positioning system was produced in 1986. The three types of geodetic use receivers, are the GTT-4090 manufactured by SONY, PRESTAR designed by CRL and SGSS by SOKKIA. Each of the three systems has different design concepts. GTT-4000 has been built for the fundamental research of baseline analysis and the necessary corrections of ionospheric, tropospheric conditions etc. PRESTAR uses a beam antenna aiming to obtain precise geodetic relative position and precise satellite orbit information. SGSS is designed for the utilization of a kinematic operation. ¬© 1993, The Geodetic Society of Japan. All rights reserved.</t>
  </si>
  <si>
    <t>15-21</t>
  </si>
  <si>
    <t>Seto, Takao</t>
  </si>
  <si>
    <t>Atsugi</t>
  </si>
  <si>
    <t>Sokkia Co. Ltd.</t>
  </si>
  <si>
    <t>Seto T.</t>
  </si>
  <si>
    <t>Research and Development of GPS Receivers in Japan</t>
  </si>
  <si>
    <t>10.11366/sokuchi1954.39.15</t>
  </si>
  <si>
    <t>2-s2.0-0027868834</t>
  </si>
  <si>
    <t>['¬© 1993', 'working range', 'water column', 'vitro incubations', 'vertical distribution', 'upper 30', 'total ingestion', 'significant source', 'shipboard incubations', 'protozoan microzooplankton', 'particulate flux', 'natural seawater', 'microscopic examination', 'measured levels', 'long periods', 'large copepod', 'known rates', 'hangs motionless', 'gut pigment', 'gut chlorophyll', 'growth rate', 'first antennae', 'feeding current', 'efficient carnivore', 'depth stratum', 'cristatus cv', 'considerably less', 'cm2 day', 'caudal rami', 'caudal furcae', 'body size', 'additional 2', '1 required', '1 day']</t>
  </si>
  <si>
    <t>Shipboard incubations of Neocalanus cristatus CV in natural seawater from the subarctic Pacific Ocean near Ocean Station "P" (50¬∞N, 145¬∞W) indicate that ingestion of uniformly suspended phytoplankton averages 6.3 ŒºgC cop-1 day-1 and ingestion of protozoan microzooplankton is 3.0-4.6 ŒºgC cop-1 day-1. Metazoan microzooplankton may contribute an additional 2.1-4.3 ŒºgC cop-1 day-1. Total ingestion from these sources is considerably less than the 34-92 ŒºgC cop-1 day-1 required for a growth rate of only 2% body C day-1. Levels of gut chlorophyll and pheopigments indicate ingestion rates of pigment containing materials were approximately four times greater than determined by in vitro incubations. Microscopic examination of gut contents suggests that aggregated particulate material was being ingested, and the morphology, behavior and vertical distribution of N. cristatus CV further suggest that sinking aggregates may be a significant source of nutrition: (a) N. cristatus CV has a large perceptive volume. It is a large copepod, 7-9 mm long from the apex of the head to the apex of the caudal rami, and its first antennae are disproportionately long relative to its body size. In addition, it has elaborate plumose setulation at the end of its antennae and its caudal furcae; (b) N. cristatus CV is a stationary suspension feeder. It hangs motionless in the water column for long periods and uses a feeding current to bring particles within the working range of its mouthparts. It is not an efficient carnivore; (c) N. cristatus CV is concentrated below the surface mixed layer (upper 30-50 m), in the depth stratum of maximum particulate flux. Measured levels of gut pigment in N. cristatus CV could be obtained by ingestion of the particulate flux from only a few cm2 day-1. This would provide sufficient nutrition to maintain a growth rate consistent with known rates in this region. ¬© 1993.</t>
  </si>
  <si>
    <t>1431-1445</t>
  </si>
  <si>
    <t>Dagg, Michael</t>
  </si>
  <si>
    <t>Chauvin</t>
  </si>
  <si>
    <t>Louisiana Universities Marine Consortium</t>
  </si>
  <si>
    <t>Dagg M.</t>
  </si>
  <si>
    <t>Sinking particles as a possible source of nutrition for the large calanoid copepod Neocalanus cristatus in the subarctic Pacific Ocean</t>
  </si>
  <si>
    <t>0967-0637(93)90121-I</t>
  </si>
  <si>
    <t>10.1016/0967-0637(93)90121-I</t>
  </si>
  <si>
    <t>2-s2.0-0027869157</t>
  </si>
  <si>
    <t>['wavy structure', 'wave amplitude', 'refractivity layers', 'may enter', 'height profile', 'first time', 'copyright 1993', 'clutter echoes', 'clutter component', 'atmospheric scatterings', 'antenna sidelobes', '50 mhz']</t>
  </si>
  <si>
    <t>The Jicamarca VHF radar (50 MHz) has detected atmospheric echoes in the so‚Äêcalled ‚Äùgap region‚Äù from 30 to 60 km heights. These echoes are, for the first time, discriminated from clutter echoes, using both co‚Äêpolarized (co‚Äêpol) and cross‚Äêpolarized (x‚Äêpol) arrays to monitor the clutter component which may enter the antenna sidelobes. The atmospheric scatterings in this region are shown to be composed of refractivity layers with thickness as of 1‚Äì2 km as in other middle atmospheric height ranges, suggesting that these scatterings are caused by thin turbulent layers. The height profile of inferred vertical wind velocities indicates a wavy structure. The wave amplitude, as a whole, increases with height, suggesting the activity of upward‚Äêpropagating gravity waves. Copyright 1993 by the American Geophysical Union.</t>
  </si>
  <si>
    <t>2235-2238</t>
  </si>
  <si>
    <t>60000886;60011001;60011001;60011001;60011001;60011001;60071234</t>
  </si>
  <si>
    <t>7101995790;55398698300;9274833100;57162264100;35433785500;35425453600;36884983500</t>
  </si>
  <si>
    <t>Maekawa, Yasuyuki;Fukao, Shoichiro;Yamamoto, Mamoru;Yamanaka, Manabu D.;Tsuda, Toshitaka;Kato, Susumu;Woodman, Ronald F.</t>
  </si>
  <si>
    <t>Peru;Japan;Japan</t>
  </si>
  <si>
    <t>Lima;Kyoto;Neyagawa</t>
  </si>
  <si>
    <t>Radio Observatorio de Jicamarca Lima;Kyoto University;Osaka Electro-Communication University</t>
  </si>
  <si>
    <t>60071234;60011001;60000886</t>
  </si>
  <si>
    <t>Maekawa Y.</t>
  </si>
  <si>
    <t>First observation of the upper stratospheric vertical wind velocities using the Jicamarca VHF radar</t>
  </si>
  <si>
    <t>10.1029/93GL02606</t>
  </si>
  <si>
    <t>2-s2.0-0027869522</t>
  </si>
  <si>
    <t>['‚ äòantennacluster', '¬© 1993', 'vlbi system', 'vlbi detected', 'time resolution', 'space sciences', 'rotation rate', 'rights reserved', 'researches along', 'physical informations', 'phase component', 'one associated', 'new design', 'mantle coupling', 'interesting subject', 'frequency characteristics', 'dissipative coupling', 'dissipative core', 'decade fluctuations', 'day level', 'commonly attributed']</t>
  </si>
  <si>
    <t>Search for evidences of the dissipative core-mantle coupling is probably the most interesting subject for VLBI Earth rotation observations in view of physical informations to be obtained about the core-mantle boundary region. It is shown that the VLBI detected out-of-phase component of the retrograde annual nutation term is most likely to be a manifestation of the dissipative coupling because the coupling coefficient required to explain the observed out-of-phase component is just in the same order of magnitude as the one associated with the decade fluctuations in the rotation rate of the Earth, which are commonly attributed to the dissipative core-mantle coupling. Several observational tests are proposed to clarify the mechanism and frequency characteristics of the coupling. Researches along this direction require accuracy and time resolution of the VLBI observations beyond their present-day level. It is shown that a VLBI system of new design, ‚Äòantennacluster-antennacluster VLBI system‚Äô, will be able to realize the high performance required. ¬© 1993, Society of Geomagnetism and Earth, Planetary and Space Sciences. All rights reserved.</t>
  </si>
  <si>
    <t>1395-1403</t>
  </si>
  <si>
    <t>Journal of Geomagnetism and Geoelectricity</t>
  </si>
  <si>
    <t>60029701;60029701;60029701;60029701;60029701;60029701;60029701;60029701;60029701;60029701;60029701;60029701;60029701;60029701;60029701;60029701;60029701;60008435</t>
  </si>
  <si>
    <t>35411779500;55729536900;7404213159;6603863686;23036756400;7003729470;7004369937;7006779334;7003408015;8090835700;35421485000;57195144226;55241256800;8721175100;56233078500;7102874996;36827125100;57220659352</t>
  </si>
  <si>
    <t>Sasao, Tetsuo;Kawano, Nobuyuki;Hara, Tadayoshi;Kuji, Seisuke;Sato, Katsuhisa;Kameya, Osamu;Iwadate, Kenzaburo;Tsuruta, Seiitsu;Asari, Kazuyoshi;Sato, Koichi;Horiai, Koji;Tamura, Yoshiaki;Hanada, Hideo;Tsubokawa, Tsuneya;Yokoyama, Koichi;Manabe, Seiji;Sakai, Satoshi;Yasuda, Shigeru</t>
  </si>
  <si>
    <t>Mitaka;Sendai</t>
  </si>
  <si>
    <t>National Institutes of Natural Sciences - National Astronomical Observatory of Japan;Tohoku University</t>
  </si>
  <si>
    <t>60029701;60008435</t>
  </si>
  <si>
    <t>Sasao T.</t>
  </si>
  <si>
    <t>Antennacluster-antennacluster VLBI for study of the core-mantle coupling</t>
  </si>
  <si>
    <t>10.5636/jgg.45.1395</t>
  </si>
  <si>
    <t>2-s2.0-0027870637</t>
  </si>
  <si>
    <t>['simultaneously estimate', 'radial velocity', 'properly correct', 'power patterns', 'polarization ratio', 'phase shift', 'obtaining bounds', 'integrated cross', 'differential phase', 'different horizontal', 'bias errors', 'axially symmetric', 'antenna pattern', '2 3', '2 10']</t>
  </si>
  <si>
    <t>Measuring the full polarization matrix using a research radar requires knowledge of the complex (ie, amplitude and phase) antenna pattern to properly correct for bias errors in the measurements. However, generally only power patterns are available for analysis. Techniques are presented for obtaining bounds on the system differential reflectivity ZDR bias and the integrated cross-polarization ratio. A method for use of the phase shift between pulses to simultaneously estimate the differential phase and the radial velocity over the full Nyquist interval is described. NCAR's CP-2 10-cm antenna patterns with different horizontal and vertical polarization sidelobes were matched by rotating the feed support struts to be aligned on the diagonals so no preferential blockage occurred. The matched antenna patterns show much improved ZDR measurements in strong reflectivity gradients. The CP-2 3-cm antenna patterns were shown to be axially symmetric and typical of a well-designed, unblocked parabolic reflector. -Authors</t>
  </si>
  <si>
    <t>674-683</t>
  </si>
  <si>
    <t>7005071296;55666928000</t>
  </si>
  <si>
    <t>Chandrasekar, V.;Keeler, R. J.</t>
  </si>
  <si>
    <t>Chandrasekar V.</t>
  </si>
  <si>
    <t>Antenna pattern analysis and measurements for multiparameter radars</t>
  </si>
  <si>
    <t>10.1175/1520-0426(1993)010&lt;0674:APAAMF&gt;2.0.CO;2</t>
  </si>
  <si>
    <t>2-s2.0-0027870739</t>
  </si>
  <si>
    <t>['¬© 1993', 'widely used', 'two types', 'loop transmitter', 'groundwater exploration', 'ground ranges', 'geological mapping', 'frequency used', 'flight height', 'extensively used', 'environmental investigations', 'conductive inhomogeneities', 'conducting coils', 'airborne electromagnetic', 'aem systems', 'aem surveys', 'aem methods', '50 khz', '100 hz']</t>
  </si>
  <si>
    <t>Airborne electromagnetic (AEM) methods complement spaceborne remote sensing techniques. AEM surveys carried out from low flying aircraft are capable of detecting geological structures not visible on the surface. The flight height of AEM systems above the ground ranges from 30 to 120 m. Most systems generate primary EM fields by using a loop transmitter; conducting coils are used as antenna to measure the secondary magnetic field caused by conductive inhomogeneities in the ground. The frequency used in AEM surveys (100 Hz to 50 kHz) allows ground penetration in excess of 100 m. At present, two types of AEM systems are widely used: helicopter, frequency-domain, and fixed-wing, towed-bird, time-domain. The most common survey products are apparent conductivity maps. AEM methods are extensively used in prospecting for base and precious metal deposits, kimberlites, uranium, and also in geological mapping, groundwater exploration and environmental investigations. ¬© 1993.</t>
  </si>
  <si>
    <t>Palacky, G. J.</t>
  </si>
  <si>
    <t>Geological Survey of Canada</t>
  </si>
  <si>
    <t>Palacky G.</t>
  </si>
  <si>
    <t>Use of airborne electromagnetic methods for resource mapping</t>
  </si>
  <si>
    <t>027311779390196I</t>
  </si>
  <si>
    <t>10.1016/0273-1177(93)90196-I</t>
  </si>
  <si>
    <t>2-s2.0-0027870749</t>
  </si>
  <si>
    <t>['wiley blackwell', 'tagged fish', 'strong effect', 'smolting period', 'size affected', 'rights reserved', 'pronounced increase', 'previously immature', 'paper demonstrates', 'night activity', 'migration among', 'migrating fish', 'mid june', 'individual recognition', 'increasing activity', 'fish changed', 'finally activity', 'early june', 'downstream migration', 'day activity', 'body size', 'automatic pit', 'almost zero']</t>
  </si>
  <si>
    <t>early sexual maturity | Salmo salar | salmon | size | smolt migration</t>
  </si>
  <si>
    <t>The effects of size and previous sexual maturity on downstream migration in two‚Äêsummer‚Äêold Baltic salmon were studied during their normal seaward migratory period in spring. We used an automatic PIT (Passive Integrated Transponder) tag monitoring system for individual recognition of tagged fish. Size affected the probability of migration among both previously immature and previously mature males while there was no such relationship among females. Nearly all females and 63.6% of the previously immature males migrated during the smolting period, while only 24.5% of the previously mature males did. In migrating fish the individual activity level increased from almost zero in May to about 450 antenna passages per day in mid June, coinciding with a pronounced increase in ambient water temperature. During the period of increasing activity in early June the fish changed from night activity to day activity and finally activity all day and night. The fish moved downstream in schools but no specific school size dominated. This paper demonstrates the strong effect of body size and previous sexual maturity on the probability of migration. Copyright ¬© 1993, Wiley Blackwell. All rights reserved</t>
  </si>
  <si>
    <t>517-529</t>
  </si>
  <si>
    <t>Journal of Fish Biology</t>
  </si>
  <si>
    <t>60027152;60027152;60027152;60027152</t>
  </si>
  <si>
    <t>7801444522;6603664939;7005131223;55769943300</t>
  </si>
  <si>
    <t>F√§ngstam, H.;Berglund, I.;Sj√∂berg, M.;Lundqvist, H.</t>
  </si>
  <si>
    <t>Uppsala</t>
  </si>
  <si>
    <t>Sveriges lantbruksuniversitet</t>
  </si>
  <si>
    <t>F√§ngstam H.</t>
  </si>
  <si>
    <t>Effects of size and early sexual maturity on downstream migration during smolting in Baltic samon (Salmo salar)</t>
  </si>
  <si>
    <t>10.1111/j.1095-8649.1993.tb00436.x</t>
  </si>
  <si>
    <t>2-s2.0-0027871690</t>
  </si>
  <si>
    <t>['unified formulation', 'two faces', 'polarization currents', 'penetrable sheets', 'numerical results', 'integral equations', 'coupled surface']</t>
  </si>
  <si>
    <t>We discuss integral equations for electromagnetic-scattering problems involving open (in general, non-planar), thin, impenetrable and penetrable sheets, characterized by two different reflectivities for their two faces. A unified formulation is presented for both such systems, in terms of coupled surface-integral equations, for two tangential surface-polarization currents. Numerical results for some relevant representative scatterers are given. ¬© 1993 IEEE</t>
  </si>
  <si>
    <t>14-25</t>
  </si>
  <si>
    <t>60003537;60003537;60027550</t>
  </si>
  <si>
    <t>6701792324;22960252000;22961689200</t>
  </si>
  <si>
    <t>Bleszynski, E.;Bleszynski, M.;Jaroszewicz, T.</t>
  </si>
  <si>
    <t>Los Angeles;Canoga Park</t>
  </si>
  <si>
    <t>University of California, Los Angeles;Rockwell International</t>
  </si>
  <si>
    <t>60027550;60003537</t>
  </si>
  <si>
    <t>Bleszynski E.</t>
  </si>
  <si>
    <t>Surface-Integral Equations for Electromagnetic Scattering from Impenetrable and Penetrable Sheets</t>
  </si>
  <si>
    <t>10.1109/74.248480</t>
  </si>
  <si>
    <t>2-s2.0-0027872084</t>
  </si>
  <si>
    <t>['¬© 1993', 'two dimensions', 'tseng window', 'strong jammers', 'signal level', 'select one', 'resultant array', 'pattern null', 'paper shows', 'paper proposes', 'jamming interferences', 'finally apply', 'dimensional window', 'desired signal', 'circular symmetry', 'beam maximum', 'arrival angle', 'array synthesis', 'array input', 'alternative method', '100 db']</t>
  </si>
  <si>
    <t>antenna array | Tseng window | two dimensions</t>
  </si>
  <si>
    <t>This paper proposes an alternative method of synthesizing a two-dimensional antenna array of which the pattern can be controlled as a function of arrival angle of array input. The new technique includes a procedure of extending a Tseng window in two dimensions by means of rotation. The beam maximum and pattern null can arbitrarily be steered to the direction of desired signal and jamming interferences, respectively. This paper shows how to select one-dimensional Tseng window properly, extend it to two dimensions maintaining the circular symmetry, and finally apply the two-dimensional window to array synthesis. The resultant array is employed for detecting AM signal in the presence of strong jammers which are up to 100 dB above the signal level. ¬© 1993.</t>
  </si>
  <si>
    <t>297-310</t>
  </si>
  <si>
    <t>60024872;60030551;60024872</t>
  </si>
  <si>
    <t>55413900600;55650323300;24313523800</t>
  </si>
  <si>
    <t xml:space="preserve">Choi, Seungwon;Sarkar, Tapan K.;Sang Seol Lee, </t>
  </si>
  <si>
    <t>Syracuse;Seoul</t>
  </si>
  <si>
    <t>Syracuse University;Hanyang University</t>
  </si>
  <si>
    <t>60030551;60024872</t>
  </si>
  <si>
    <t>Choi S.</t>
  </si>
  <si>
    <t>Design of two-dimensional Tseng window and its application to antenna array for the detection of AM signal in the presence of strong jammers in mobile communication</t>
  </si>
  <si>
    <t>016516849390137Y</t>
  </si>
  <si>
    <t>10.1016/0165-1684(93)90137-Y</t>
  </si>
  <si>
    <t>2-s2.0-0027872236</t>
  </si>
  <si>
    <t>['thz range', 'test methods', 'surface measurements', 'reflector antennas', 'range techniques', 'radiation patterns', 'moving stage', 'may prove', 'hologram type', 'flexible cables', 'field method', 'different methods', 'defocusing method', 'current methods', 'critically discussed', 'compact range', 'atmospheric effects', 'applying far', 'amplitude hologram', 'accuracy errors']</t>
  </si>
  <si>
    <t>The possibilities of applying far-field, near-field, and compact-range techniques to reflector antennas in the THz frequency range are critically discussed. In addition, other methods, such as defocusing, and combining of the mechanical-reflector-surface measurements and the feed-horn-radiation patterns, are discussed. The discussion of the compact-range-measurement method includes a description of a recently introduced hologram type of compact range. Antenna-test methods in the THz range are needed for several future scientific satellites. To date, none of the current methods has been validated for use in the THz range. One may conclude, from the analysis of the different methods in this work, that the far-field method can be discarded for certain, due to atmospheric effects. The near-field method remains a possibility. However, an expensive, high-quality, moving stage is needed, and phase errors caused by flexible cables have to be dealt with. In some cases, a defocusing method, to bring the far field closer, may prove to be practical. Technically, the most-feasible and least-expensive method appears to be the hologram type of compact range. In this method, a planar-amplitude hologram is used to form the required plane wave. The hologram is inexpensive to manufacture, and it is also less sensitive to surface-accuracy errors than a reflector. ¬© 1993 IEEE</t>
  </si>
  <si>
    <t>Tuovinen, Jussi</t>
  </si>
  <si>
    <t>Tuovinen J.</t>
  </si>
  <si>
    <t>Methods for Testing Reflector Antennas at THz Frequencies</t>
  </si>
  <si>
    <t>10.1109/74.248479</t>
  </si>
  <si>
    <t>2-s2.0-0027872892</t>
  </si>
  <si>
    <t>['substantially reduced', 'resonance characteristics', 'rectangular waveguides', 'real impact', 'procedure described', 'planar distribution', 'low height', 'francis ltd', 'explicitly demonstrated', 'also examined']</t>
  </si>
  <si>
    <t>A moment method analysis applied directly to a planar distribution of shunt slot radiators fed by an array of rectangular waveguides is described. The method intrinsically accommodates both the internal and external mutual interactions between the radiators, and the influence of these interactions on the resonance characteristics of slots embedded within a typical slot array is explicitly demonstrated. Low height and dielectric-loaded waveguide arrays are also examined and in these cases it is observed that additional care must be exercised in the selection of a representative basis function series to model the slot field distribution. Also, by employing entire domain basis functions the processor time demanded by these calculations, which are computationally intensive even for relatively small numbers of slots, can be substantially reduced. Computational efficiency gains of this description are essential if the procedure described is to have a real impact on the development of computer aided design packages for slotted-waveguide array antennas. ¬© 1993 Taylor &amp; Francis Ltd.</t>
  </si>
  <si>
    <t>1251-1267</t>
  </si>
  <si>
    <t>60019656;60019656</t>
  </si>
  <si>
    <t>7007049394;9244011700</t>
  </si>
  <si>
    <t>Sangster, A. J.;Wang, Hanyang</t>
  </si>
  <si>
    <t>Sangster A.J.</t>
  </si>
  <si>
    <t>Moment method model of a slot immersed in a planar array of waveguide slot radiators</t>
  </si>
  <si>
    <t>10.1080/00207219308907199</t>
  </si>
  <si>
    <t>2-s2.0-0027874088</t>
  </si>
  <si>
    <t>['following subjects', 'concepts depend', 'basic principles']</t>
  </si>
  <si>
    <t>This paper presents several concepts of deployable space structures with emphasis on their relation to the basic principles of mechanics on which the concepts depend. The following subjects are treated: the coilable longeron extendible mast and the theory of `Elastica' by Euler and Kirchhoff; the two-dimensionally deployable array and the theory of elastic surfaces (`Plate Elastica') by Miura and Tanizawa; the variable geometry truss and the theory of truss by Mobius; the tension truss antenna and the theory of truss.</t>
  </si>
  <si>
    <t>Miura, K.</t>
  </si>
  <si>
    <t>Sagamihara</t>
  </si>
  <si>
    <t>JAXA Institute of Space and Astronautical Science</t>
  </si>
  <si>
    <t>Miura K.</t>
  </si>
  <si>
    <t>Concepts of deployable space structures</t>
  </si>
  <si>
    <t>10.1177/0266351193008001-202</t>
  </si>
  <si>
    <t>2-s2.0-0027876818</t>
  </si>
  <si>
    <t>['wind speeds', 'wind speed', 'wentz model', 'sufficiently accurate', 'study demonstrates', 'specular reflections', 'one year', 'nearly identical', 'modified chelton', 'large quantity', 'geosat altimeter', 'data scatter', 'comparison data', 'analysis systems', 'allow development']</t>
  </si>
  <si>
    <t>One year of global surface wind products from multiple operational numerical weather prediction (NWP) forecast/analysis systems are used as comparison data to derive an empirical wind speed model function for the Geosat altimeter. The resulting model function is nearly identical to the modified Chelton-Wentz model for wind speeds from 4.5 to 15 m/s. The large quantity of comparison data at each wind speed allows detailed examination of the data scatter (and hence, model function uncertainty) as a function of wind speed. Highly skewed distributions at low wind speeds are consistent with specular reflections and antenna mispointing errors hypothesized by others on the basis of extremely limited data. The study demonstrates that modern operational NWP surface wind products are sufficiently accurate to allow development of fully empirical model functions and associated error analyses. -from Authors</t>
  </si>
  <si>
    <t>C8</t>
  </si>
  <si>
    <t>7007130054;7101720561</t>
  </si>
  <si>
    <t>Freilich, M. H.;Dunbar, R. S.</t>
  </si>
  <si>
    <t>Freilich M.H.</t>
  </si>
  <si>
    <t>Derivation of satellite wind model functions using operational surface wind analyses: an altimeter example</t>
  </si>
  <si>
    <t>10.1029/93jc01183</t>
  </si>
  <si>
    <t>2-s2.0-0027878826</t>
  </si>
  <si>
    <t>['within 1mm', 'vlbi sites', 'vlbi observations', 'tokyo datum', 'precise measurement', 'kashima station', 'epoch 1988', 'eccentricity vectors', 'coordinates derived', 'connecting survey', 'centimeters except', 'brass markers', 'antenna axes', 'accurate within']</t>
  </si>
  <si>
    <t>The Geographical Survey Institute (GSI) has established five VLBI sites in Japan and carried out more than thirty VLBI measurements at these sites. This paper provides information on GSI's VLBI sites and connecting survey between the sites and existing geodetic network of Japan. Eccentricity vectors from the intersection of antenna axes to brass markers on the ground were known to be accurate within a few centimeters except at Shintotsukawa and Mizusawa where they were determined to be within 1mm by precise measurement. Since the connecting survey between VLBI brass markers and Precise Geodetic Network was complexed at every VLBI site of GSI, coordinates of VLBI brass markers in Tokyo Datum were determined at the three centimeter level. This paper also provides the vectors from Kashima station to five remote sites and their coordinates derived from GSI's VLBI observations. The coordinates are represented in the ITRF89 (IERS Terrestrial Reference Frame 1989) for the epoch 1988.0. -Authors</t>
  </si>
  <si>
    <t>Bulletin - Geographical Survey Institute (Tokyo)</t>
  </si>
  <si>
    <t>7006481247;55527767100;6506220776</t>
  </si>
  <si>
    <t>Tobita, M.;Matsuzaka, S.;Otoi, K.</t>
  </si>
  <si>
    <t>Tobita M.</t>
  </si>
  <si>
    <t>Geodetic measurements using transportable VLBI of GSI</t>
  </si>
  <si>
    <t>2-s2.0-0027879636</t>
  </si>
  <si>
    <t>['¬© 1993', 'utc mizusawa', 'time comparison', 'systematic errors', 'rights reserved', 'previous studies', 'new method', 'method introduced', 'major cause', 'improved 4ns', 'geodetic society', 'estimated parameters', '40ns offset']</t>
  </si>
  <si>
    <t>A new method was studied to improve the precision of GPS time transfer carried out in the National Astronomical Observatory, Mizusawa. The errors in the adopted GPS antenna coordinates are one of the major cause of systematic errors in the GPS time comparison. The previous studies to improve adopted antenna coordinates by the Bureau International des Poids et Mesures and the Communication Research Laboratory were using observed time comparison data themselves. Their techniques had a limit of accuracy because there were large correlations among the estimated parameters. Our method introduced here is to connect our GPS antenna coordinates with a fiducial point whose coordinates were determined by global VLBI observations. The revision of reference antenna position led the improvement of the time comparison precision of about 7ns and produced about 40ns offset in UTC Mizusawa. By considering relativistic effects correctly at the same time, the precision of time comparison in Mizusawa was improved 4ns further. ¬© 1993, The Geodetic Society of Japan. All rights reserved.</t>
  </si>
  <si>
    <t>57-66</t>
  </si>
  <si>
    <t>60029701;60029701</t>
  </si>
  <si>
    <t>35421485000;13612647800</t>
  </si>
  <si>
    <t>Horiai, Koji;Tamura, Yoshiaki</t>
  </si>
  <si>
    <t>National Institutes of Natural Sciences - National Astronomical Observatory of Japan</t>
  </si>
  <si>
    <t>Horiai K.</t>
  </si>
  <si>
    <t>Improvement of the GPS Time Transfer Precision Introducing VLBI Coordinates System and Relativistic Effects</t>
  </si>
  <si>
    <t>10.11366/sokuchi1954.39.57</t>
  </si>
  <si>
    <t>2-s2.0-0027882967</t>
  </si>
  <si>
    <t>['¬© 1993', 'various efforts', 'ten times', 'ten percents', 'steered mechanically', 'standard deviation', 'several tens', 'several problems', 'rights reserved', 'residual range', 'range data', 'prestar dual', 'positioning accuracy', 'phase center', 'orbit elements', 'noise ratio', 'low signal', 'km network', 'gps satellite', 'geodetic society', 'code decoder', 'code clock', 'carrier phases', 'baseline vector', 'adjusted according', '5 mm']</t>
  </si>
  <si>
    <t>Commonly available GPS receivers for surveying use omnidirectional antennas. They have several problems, i.e. low signal-to-noise ratio (S/N), cycle slips, multipath, and fluctuations of the antenna's phase center, that reduce positioning accuracy. Thus, various efforts have been done to eliminate these problems. A precise relative positioning system with a high-gain beam antenna, that is steered mechanically, is developed to avoid those problems. This ‚ÄúPRESTAR‚Äù system uses a compact microstrip array antenna that can be installed on the usual surveying tripod. The PRESTAR dual-frequency receiver measures the C/A code clock and the Ll carrier phases with a C/A code decoder, and measures the L2 carrier phase and the P code clock phase of the L1 and L2 bands without P code. Single-frequency experiments indicate that the PRESTAR is accurate to within several millimeters of baseline vector of less than several tens of kilometers. When the orbit elements of GPS satellite were adjusted according to the range data of a 1,000-km network, the standard deviation of the residual range was reduced to less than ten percents. This means that positioning accuracy was more than ten times as good, which shows that the basic orbit determination system is completed. The ionospheric delay compensation using dual-frequency carrier phase range data was succeeded by the development of the ‚Äúdigital sampling‚Äù method with an accuracy of 5 mm. ¬© 1993, The Geodetic Society of Japan. All rights reserved.</t>
  </si>
  <si>
    <t>193-208</t>
  </si>
  <si>
    <t>60092258;60092258;60092258;60092258;60092258;60092258</t>
  </si>
  <si>
    <t>7403254454;7004951282;57202484847;55705412900;7004670082;57204813071</t>
  </si>
  <si>
    <t>Sugimoto, Yuji;Kiuchi, Hitoshi;Kaneko, Akihiro;Takahashi, Yukio;Imae, Michito;Kurihara, Noriyuki</t>
  </si>
  <si>
    <t>Ministry of Posts and Telecommunications, Japan</t>
  </si>
  <si>
    <t>Sugimoto Y.</t>
  </si>
  <si>
    <t>Outline and Experimental Results of Positioning System ‚ÄúPRESTAR‚Äù using GPS</t>
  </si>
  <si>
    <t>10.11366/sokuchi1954.39.193</t>
  </si>
  <si>
    <t>2-s2.0-0027882968</t>
  </si>
  <si>
    <t>['theoretical comparison', 'quasioptical quadruplers', 'pump energy', 'output frequency', 'output circuit', 'optimum configurations', 'multipliers work', 'multiplier design', 'characteristic measurements', '600 ghz']</t>
  </si>
  <si>
    <t>Starting from a SMMW-multiplier design with quasioptical output two different multiplier compounds are presented. These new multipliers consist of a quasioptical antenna array in the output circuit which acts as a tunable power combiner. The multipliers work as quadruplers with an output frequency of 600 GHz. In all constructions the pump energy is fed into the diodes by a screened waveguide network. Optimum configurations for all arrays concerning quasioptical power combining are calculated and a theoretical comparison between the different multiplying conceptions is made. Finally some characteristic measurements of the quasioptical quadruplers are illustrated. ¬© 1993 Plenum Publishing Corporation.</t>
  </si>
  <si>
    <t>2519-2532</t>
  </si>
  <si>
    <t>Steup, Dominik</t>
  </si>
  <si>
    <t>Steup D.</t>
  </si>
  <si>
    <t>Whisker-contacted diode-multipliers as quasioptical SMMW-arrays</t>
  </si>
  <si>
    <t>10.1007/BF02086219</t>
  </si>
  <si>
    <t>2-s2.0-0027884999</t>
  </si>
  <si>
    <t>Connecticut State Emergency Response Commission</t>
  </si>
  <si>
    <t>['wide range', 'paper presents', 'measured values', 'filled stripline', 'dimensional ratios', 'conventional numerical', 'analytical techniques']</t>
  </si>
  <si>
    <t>This paper presents a rigorous and computationally efficient analysis for stripline of arbitrary dimensions based on the transverse resonance ditfraction technique. Calculated higher order mode cutoff frequencies show excellent agreement, and attenuation factor shows good agreement with measured values for an air-filled stripline. The higher order mode cutoff frequencies, impedance, and attenuation factor results all show improved accuracy over conventional numerical or analytical techniques for a wide range of dimensional ratios. ¬© 1993 IEEE</t>
  </si>
  <si>
    <t>2074-2080</t>
  </si>
  <si>
    <t>60030480;60030480;60030480</t>
  </si>
  <si>
    <t>6603913004;7004068328;7101657439</t>
  </si>
  <si>
    <t>Burchett, M. Hugh;Pennock, Steve R.;Shepherd, Peter R.</t>
  </si>
  <si>
    <t>Burchett M.</t>
  </si>
  <si>
    <t>A Rigorous Analysis of Uniform Stripline of Arbitrary Dimensions</t>
  </si>
  <si>
    <t>10.1109/22.260689</t>
  </si>
  <si>
    <t>2-s2.0-0027887182</t>
  </si>
  <si>
    <t>['transmission properties', 'rectangular apertures', 'practical interest', 'numerical techniques', 'numerical results', 'nonperiodical structures', 'drastically reduced', 'corner singularities', 'computer intensive']</t>
  </si>
  <si>
    <t>The transmission properties of perforated perfectly conducting screens are of practical interest. The treatment of nonperiodical structures by numerical techniques, such as the method of moments, is very computer intensive. In this paper it is shown that using basis functions that incorporate the edge as well as the corner singularities, the number of unknowns can be drastically reduced. Advantages and limitations of the method are discussed. Numerical results are presented illustrating transmission properties of arrays of square and rectangular apertures. ¬© 1993 IEEE</t>
  </si>
  <si>
    <t>1709-1716</t>
  </si>
  <si>
    <t>Andersson, Tommy</t>
  </si>
  <si>
    <t>Lunds Tekniska H√∂gskola</t>
  </si>
  <si>
    <t>Andersson T.</t>
  </si>
  <si>
    <t>Moment-Method Calculations on Apertures Using Basis Singular Functions</t>
  </si>
  <si>
    <t>10.1109/8.273329</t>
  </si>
  <si>
    <t>2-s2.0-0027887492</t>
  </si>
  <si>
    <t>MIP-9110112</t>
  </si>
  <si>
    <t>['would require', 'widely used', 'step procedure', 'simulation examples', 'similar generalization', 'search dimension', 'rf applications', 'response provided', 'polarization parameters', 'nsf search', 'nsf approach', 'music algorithm', 'linear system', 'estimated separately', 'directly implementing', 'arrays sensitive', '3d parameters']</t>
  </si>
  <si>
    <t>Diversely polarized antenna arrays are widely used in RF applications. The diversity of response provided by such arrays can greatly improve direction finding performance over arrays sensitive to only one polarization component. For d emitters, directly implementing a multidimensional estimation algorithm (e.g., maximum likelihood) would require a search for 3d parameters: d directions of arrival (DOA's), and 2d polarization parameters. In this paper, we present a more efficient solution based on the so-called noise subspace fitting (NSF) algorithm. In particular, we show how to decouple the NSF search into a two-step procedure, where the DOA's are estimated separately. The polarization parameters are then obtained by solving a linear system of equations. The advantage of this approach is that the search dimension is reduced by a factor of three, and no initial polarization estimate is required. In addition, the algorithm can be shown to yield asymptotically minimum variance estimates provided no perfectly coherent signals are present. Simulation examples are included to compare the NSF approach with a similar generalization of the MUSIC algorithm. ¬© 1993 IEEE</t>
  </si>
  <si>
    <t>1687-1694</t>
  </si>
  <si>
    <t>60006832;60000990</t>
  </si>
  <si>
    <t>55665154800;7004492932</t>
  </si>
  <si>
    <t>Swindlehurst, A.;Viberg, M.</t>
  </si>
  <si>
    <t>Provo;Gothenburg</t>
  </si>
  <si>
    <t>Brigham Young University;Chalmers University of Technology</t>
  </si>
  <si>
    <t>Subspace Fitting with Diversely Polarized Antenna Arrays</t>
  </si>
  <si>
    <t>10.1109/8.273313</t>
  </si>
  <si>
    <t>2-s2.0-0027887902</t>
  </si>
  <si>
    <t>['wiley blackwell', 'subsequent autooxidation', 'rights reserved', 'results indicate', 'regulation appears', 'redox potential', 'readily extractable', 'reaction center', 'quenching excitations', 'quench excitations', 'ph 7', 'partially characterized', 'oligomeric pigments', 'little effect', 'lifetimes indicate', 'isolated chlorosomes', 'fluorescence spectra', 'energy transfer', 'chlorobium vibrioforme']</t>
  </si>
  <si>
    <t>The efficiency of energy transfer from the peripheral chlorosome antenna structure to the membrane‚Äêbound antenna in green sulfur bacteria depends strongly on the redox potential of the medium. The fluorescence spectra and lifetimes indicate that efficient quenching pathways are induced in the chlorosome at high redox potential. The midpoint redox potential for the induction of this effect in isolated chlorosomes from Chlorobium vibrioforme is ‚Äê146 mV at pH 7 (vs the normal hydrogen electrode), and the observed midpoint potential (n = 1) decreases by 60 mV per pH unit over the pH range7‚Äì10. Extraction of isolated chlorosomes with hexane has little effect on the redox‚Äêinduced quenching, indicating that the component(s) responsible for this effect are bound and not readily extractable. We have purified and partially characterized the trimeric water‚Äêsoluble bacteriochlorophyll a‚Äêcontaining protein from the thermophilic green sulfur bacterium Chlorobium tepidum. This protein is located between the chlorosome and the membrane. Fluorescence spectra of the purified protein indicate that it also contains groups that quench excitations at high redox potential. The results indicate that the energy transfer pathway in green sulfur bacteria is regulated by redox potential. This regulation appears to operate in at least two distinct places in the energy transfer pathway, the oligomeric pigments in the interior of the chlorosome and in the bacteriochlorophyll a protein. The regulatory effect may serve to protect the cell against superoxide‚Äêinduced damage when oxygen is present. By quenching excitations before they reach the reaction center, reduction and subsequent autooxidation of the low potential electron acceptors found in these organisms is avoided. Copyright ¬© 1993, Wiley Blackwell. All rights reserved</t>
  </si>
  <si>
    <t>103-107</t>
  </si>
  <si>
    <t>Photochemistry and Photobiology</t>
  </si>
  <si>
    <t>60003892;60003892;60003892;60003892;60003892;60003892;60003892</t>
  </si>
  <si>
    <t>57203046340;7401617934;6602911490;7005522646;57191398869;57191395371;57191399111</t>
  </si>
  <si>
    <t>Blankenship, Robert E.;Cheng, Peiling;Causgrove, Timothy P.;Brune, Daniel C.;Wang, Stephanie Hsiao‚ÄêHsien;Choh, Jin‚ÄêUg ‚ÄêU;Wang, Jian</t>
  </si>
  <si>
    <t>Blankenship R.E.</t>
  </si>
  <si>
    <t>REDOX REGULATION OF ENERGY TRANSFER EFFICIENCY IN ANTENNAS OF GREEN PHOTOSYNTHETIC BACTERIA</t>
  </si>
  <si>
    <t>10.1111/j.1751-1097.1993.tb02263.x</t>
  </si>
  <si>
    <t>2-s2.0-0027900920</t>
  </si>
  <si>
    <t>['¬© 1993', 'rights reserved', 'removing parts', 'patch conductor', 'multiple frequencies', 'multifrequency operation', 'frequency operation', 'frequency antenna', 'electrical engineers', 'aperture coupling']</t>
  </si>
  <si>
    <t>Antennas | Microstrip patches</t>
  </si>
  <si>
    <t>Slotted microstrip patches fed by aperture coupling are proposed and studied for multifrequency operation. By removing parts of the patch conductor, a single-frequency antenna can operate at multiple frequencies. An example is given to demonstrate its dual-frequency operation and performance. ¬© 1993, The Institution of Electrical Engineers. All rights reserved.</t>
  </si>
  <si>
    <t>1647-1649</t>
  </si>
  <si>
    <t>8092251400;7406502748</t>
  </si>
  <si>
    <t>Shafai, L.;Yang, X. H.</t>
  </si>
  <si>
    <t>Shafai L.</t>
  </si>
  <si>
    <t>Antenna performance enhancement by slotted microstrip patches</t>
  </si>
  <si>
    <t>10.1049/el:19931097</t>
  </si>
  <si>
    <t>2-s2.0-0027906331</t>
  </si>
  <si>
    <t>['¬© 1993', 'upper patch', 'two patches', 'substrates supporting', 'studied experimentally', 'rights reserved', 'radiation patterns', 'lower patch', 'horizontal displacement', 'electrical engineers', 'coupled dual', 'also presented', 'air gap']</t>
  </si>
  <si>
    <t>The characteristics of aperture-coupled dual-patch rectangular microstrip antennas with an air gap between the substrates supporting the two patches are studied experimentally. It is demonstrated that further improvement in input SWR bandwidth can be obtained by offsetting, or allowing a horizontal displacement for, the upper patch with respect to the lower patch. Measurements on gain and radiation patterns are also presented. ¬© 1993, The Institution of Electrical Engineers. All rights reserved.</t>
  </si>
  <si>
    <t>1635-1636</t>
  </si>
  <si>
    <t>60013983;60013983;60013983</t>
  </si>
  <si>
    <t>55510527400;7102473419;7006646156</t>
  </si>
  <si>
    <t>Luk, K. M.;Tong, K. F.;Au, T. M.</t>
  </si>
  <si>
    <t>Hong Kong</t>
  </si>
  <si>
    <t>Kowloon</t>
  </si>
  <si>
    <t>City University of Hong Kong</t>
  </si>
  <si>
    <t>Offset dual-patch microstrip antenna</t>
  </si>
  <si>
    <t>10.1049/el:19931089</t>
  </si>
  <si>
    <t>2-s2.0-0027906336</t>
  </si>
  <si>
    <t>['¬© 1993', 'square patch', 'rights reserved', 'reflection coefficient', 'electrical engineers', 'angular sensitivity', 'analysed using']</t>
  </si>
  <si>
    <t>Antennas | Frequency selective surfaces</t>
  </si>
  <si>
    <t>A new FSS geometry consisting of an open ring loaded with a square patch is proposed and analysed using a dyadic Green function method. It is shown that the square patch reduces the angular sensitivity of the reflection coefficient, which is further reduced by increasing the open circuit gap size. ¬© 1993, The Institution of Electrical Engineers. All rights reserved.</t>
  </si>
  <si>
    <t>1655-1657</t>
  </si>
  <si>
    <t>7003484529;8092251400</t>
  </si>
  <si>
    <t>Shaker, J.;Shafai, L.</t>
  </si>
  <si>
    <t>Shaker J.</t>
  </si>
  <si>
    <t>Reduced angular sensitivity frequency selective surface</t>
  </si>
  <si>
    <t>10.1049/el:19931102</t>
  </si>
  <si>
    <t>2-s2.0-0027906340</t>
  </si>
  <si>
    <t>['¬© 1993', 'rights reserved', 'proposed technique', 'novel technique', 'noise performance', 'noise figure', 'measurement technique', 'measured results', 'electrical engineers', 'direct measurement', 'amplifier embedded', 'active antennas', 'active antenna']</t>
  </si>
  <si>
    <t>Active antennas | Antenna measurements | Antenna noise | Microstrip antennas</t>
  </si>
  <si>
    <t>A novel technique for the measurement of the noise figure is proposed for an amplifier embedded in a receiving active microstrip antenna, where direct measurement is impossible. The proposed technique is a combination of the transducer power gain measurement of the amplifier and the absolute noise power measurement of the active antenna. The measured results of a receiving active microstrip antenna show the validity of the measurement technique. This enables the characterisation of the noise performance of active antennas. ¬© 1993, The Institution of Electrical Engineers. All rights reserved.</t>
  </si>
  <si>
    <t>1594-1596</t>
  </si>
  <si>
    <t>54679304800;7005721326;7003998197</t>
  </si>
  <si>
    <t>An, H.;Nauwelaers, B.;Van de Capelle, A.</t>
  </si>
  <si>
    <t>An H.</t>
  </si>
  <si>
    <t>Noise figure measurement of receiving active microstrip antennas</t>
  </si>
  <si>
    <t>10.1049/el:19931062</t>
  </si>
  <si>
    <t>2-s2.0-0027906345</t>
  </si>
  <si>
    <t>['¬© 1993', 'rights reserved', 'realised gain', 'proposed technique', 'novel technique', 'integral part', 'electrical engineers', 'active antenna']</t>
  </si>
  <si>
    <t>Active antennas | Antenna measurements | Microstrip antennas</t>
  </si>
  <si>
    <t>A novel technique is presented for measuring the transducer power gain of an amplifier which is an integral part of an active microstrip antenna. The bandwidth of the realised gain of the active antenna can also be determined with this technique. The validity of the proposed technique is verified by the measurement of an active microstrip antenna. ¬© 1993, The Institution of Electrical Engineers. All rights reserved.</t>
  </si>
  <si>
    <t>1646-1647</t>
  </si>
  <si>
    <t>123304551;123304551;123304551</t>
  </si>
  <si>
    <t>Leuven</t>
  </si>
  <si>
    <t>Division ESATTELEMIC</t>
  </si>
  <si>
    <t>Measurement technique for active microstrip antennas</t>
  </si>
  <si>
    <t>10.1049/el:19931096</t>
  </si>
  <si>
    <t>2-s2.0-0027906430</t>
  </si>
  <si>
    <t>['¬© 1993', 'rights reserved', 'oscillating frequencies', 'electrical engineers']</t>
  </si>
  <si>
    <t>Active antennas | Antenna arrays | Antenna phased arrays</t>
  </si>
  <si>
    <t>Electronic beam steering of an active antenna array is demonstrated using active inverted stripline patch antennas. The technique uses DC bias to change the self-oscillating frequencies of individual active antenna elements and impose an injection-locking phase shift between active antenna elements. The phase shift allowed 15¬∞ of electronic beam steering. ¬© 1993, The Institution of Electrical Engineers. All rights reserved.</t>
  </si>
  <si>
    <t>302-304</t>
  </si>
  <si>
    <t>60020547;60020547</t>
  </si>
  <si>
    <t>7402580085;7404879378</t>
  </si>
  <si>
    <t>Navarro, J. A.;Chang, K.</t>
  </si>
  <si>
    <t>Electronic beam steering of active antenna arrays</t>
  </si>
  <si>
    <t>10.1049/el:19930206</t>
  </si>
  <si>
    <t>2-s2.0-0027908299</t>
  </si>
  <si>
    <t>['¬© 1993', 'sided structure', 'rights reserved', 'microstrip antenna', 'measurements show', 'electrical engineers']</t>
  </si>
  <si>
    <t>Antennas | Microstrip antennas | Polarisation</t>
  </si>
  <si>
    <t>A broadband circularly polarised (CP) microstrip antenna in a two-sided structure is presented. The newly developed transmission line model of the microstrip antenna and the simplified real frequency technique are employed to design the lossless matching networks. Measurements show that the designed CP antenna has broad gain bandwidth, good polarisation purity, and low input VSWR. ¬© 1993, The Institution of Electrical Engineers. All rights reserved.</t>
  </si>
  <si>
    <t>310-312</t>
  </si>
  <si>
    <t>Broadband circularly polarised microstrip antenna in two-sided structure with coaxial probe coupling</t>
  </si>
  <si>
    <t>10.1049/el:19930212</t>
  </si>
  <si>
    <t>2-s2.0-0027908321</t>
  </si>
  <si>
    <t>['¬© 1993', 'rights reserved', 'input impedances', 'electrical engineers', 'complementary screens', 'babinet principle']</t>
  </si>
  <si>
    <t>Electromagnetic waves | Scattering</t>
  </si>
  <si>
    <t>It is shown that the Babinet principle for scattering by complementary screens can be extended to complementary screens with lumped impedance loads. The complementary loads need to be in a relationship of the same form as the well known relationship between input impedances of Booker. ¬© 1993, The Institution of Electrical Engineers. All rights reserved.</t>
  </si>
  <si>
    <t>301-302</t>
  </si>
  <si>
    <t>Moore, J.</t>
  </si>
  <si>
    <t>Reading</t>
  </si>
  <si>
    <t>Atomic Weapons Establishment</t>
  </si>
  <si>
    <t>Moore J.</t>
  </si>
  <si>
    <t>Extension of the babinet principle to scatterers with lumped impedance loads</t>
  </si>
  <si>
    <t>10.1049/el:19930205</t>
  </si>
  <si>
    <t>2-s2.0-0027908326</t>
  </si>
  <si>
    <t>['¬© 1993', 'rights reserved', 'planar surfaces', 'limited domains', 'good performances', 'electrical engineers']</t>
  </si>
  <si>
    <t>Antenna measurements | Antennas</t>
  </si>
  <si>
    <t>Radiation pattern determination from phaseless near field data distributions collected over limited domains on planar surfaces is addressed as a nonlinear inverse problem. Numerical results show the good performances of the considered approach suggesting new possibilities for simplifying measurement setups in near field techniques. ¬© 1993, The Institution of Electrical Engineers. All rights reserved.</t>
  </si>
  <si>
    <t>505-506</t>
  </si>
  <si>
    <t>60026777;60007061;60026777</t>
  </si>
  <si>
    <t>Naples;Salerno</t>
  </si>
  <si>
    <t>Universit√† degli Studi della Campania Luigi Vanvitelli;Universit√† degli Studi di Salerno</t>
  </si>
  <si>
    <t>60026777;60007061</t>
  </si>
  <si>
    <t>Results for a truncated phaseless near field technique</t>
  </si>
  <si>
    <t>10.1049/el:19930338</t>
  </si>
  <si>
    <t>2-s2.0-0027908385</t>
  </si>
  <si>
    <t>['¬© 1993', 'rights reserved', 'passive antenna', 'measured gain', 'h plane', 'fet amplifier', 'extra gain', 'electrical engineers', 'crosspolarisation levels', 'active antenna', '75 ghz', '14 db']</t>
  </si>
  <si>
    <t>Active antennas | slot antennas</t>
  </si>
  <si>
    <t>The design and performance of a linear tapered slot antenna integrated directly with a FET amplifier are presented. The measured radiation patterns of the antenna are linear with crosspolarisation levels of 13dB down in both the E and H plane. The measured gain of the antenna is more than 14 dB over a bandwidth of 1.75 GHz. Compared with a passive antenna, the active antenna has an extra gain of 7dB at 9 2 GHz. ¬© 1993, The Institution of Electrical Engineers. All rights reserved.</t>
  </si>
  <si>
    <t>496-497</t>
  </si>
  <si>
    <t>55714833100;7404879378</t>
  </si>
  <si>
    <t>Wu, X. D.;Chang, K.</t>
  </si>
  <si>
    <t>Wu X.</t>
  </si>
  <si>
    <t>Compact wideband integrated active slot antenna amplifier</t>
  </si>
  <si>
    <t>10.1049/el:19930332</t>
  </si>
  <si>
    <t>2-s2.0-0027908392</t>
  </si>
  <si>
    <t>['¬© 1993', 'scattering parameters', 'rights reserved', 'floquet theorem', 'electrical engineers', 'difference time']</t>
  </si>
  <si>
    <t>Frequency selective surface | Modelling | Scattering</t>
  </si>
  <si>
    <t>The Floquet theorem is combined with the finite-difference time-domain (FDTD) method to obtain sufficiently accurate results for the scattering parameters of a metal strip grating. This accuracy can be achieved by using a suitable absorbing boundary condition. The algorithm described allows any periodically repeated complex irregular shape to be studied. ¬© 1993, The Institution of Electrical Engineers. All rights reserved.</t>
  </si>
  <si>
    <t>446-447</t>
  </si>
  <si>
    <t>60002644;60002644;60002644</t>
  </si>
  <si>
    <t>7102070588;7004534603;7402505705</t>
  </si>
  <si>
    <t>Navarro, E. A.;Gimeno, B.;Cruz, J. L.</t>
  </si>
  <si>
    <t>Navarro E.</t>
  </si>
  <si>
    <t>Modelling of periodic structures using the finite difference time domain method combined with the floquet theorem</t>
  </si>
  <si>
    <t>10.1049/el:19930298</t>
  </si>
  <si>
    <t>2-s2.0-0027908430</t>
  </si>
  <si>
    <t>['¬© 1993', 'strip monopole', 'rights reserved', 'electrical engineers', 'circularly polarised', 'backed antenna']</t>
  </si>
  <si>
    <t>Antenna feeders | Antennas | Dipole antennas | Helical antennas | Resonators</t>
  </si>
  <si>
    <t>A simple, circularly polarised, cavity-backed antenna is described which has a two turn low pitch angle helix feed. The helix is terminated in a strip monopole for improved axial ratio. The antenna is approximately one third of the size of an equivalent conventional monofilar helix antenna. ¬© 1993, The Institution of Electrical Engineers. All rights reserved.</t>
  </si>
  <si>
    <t>501-502</t>
  </si>
  <si>
    <t>Keen, K. M.</t>
  </si>
  <si>
    <t>Billingshurst</t>
  </si>
  <si>
    <t>Keen Associates</t>
  </si>
  <si>
    <t>Keen K.</t>
  </si>
  <si>
    <t>Low profile cavity antenna with small pitch angle helix feed</t>
  </si>
  <si>
    <t>10.1049/el:19930335</t>
  </si>
  <si>
    <t>2-s2.0-0027908455</t>
  </si>
  <si>
    <t>['wiley company', 'spherical chirodome', 'scattering superposition', 'results show', 'radiated fields', 'radiated field', 'polarized state', 'inc .,', 'given using', 'dyadic green']</t>
  </si>
  <si>
    <t>dyadic Green's function | method of scattering superposition | Multilayered spherical chirodome | radiation resistance</t>
  </si>
  <si>
    <t>In this article, expressions of the dyadic Green's function (DGF) of an electric current located in a multilayered spherical chirodome are given using the method of scattering superposition. The radiated field and normalized radiation resistance for a dipole antenna placed at the center of spherical chirodome are studied. The results show that we can regulate the polarized state of radiated fields by choosing the chirodome's size and material parameters properly. ¬© 1993 John Wiley &amp; sons, Inc. Copyright ¬© 1993 Wiley Periodicals, Inc., A Wiley Company</t>
  </si>
  <si>
    <t>179-182</t>
  </si>
  <si>
    <t>35239370900;7404772556</t>
  </si>
  <si>
    <t>Yin, Wenyan;Li, Pao</t>
  </si>
  <si>
    <t>The theory of multilayered spherical chirodome</t>
  </si>
  <si>
    <t>10.1002/mop.4650060308</t>
  </si>
  <si>
    <t>2-s2.0-0027909022</t>
  </si>
  <si>
    <t>['wiley company', 'symmetrical configuration', 'smaller z0', 'simply placing', 'printed antennas', 'larger œµeff', 'inc .,', 'fcpw ).', 'dielectric substrate', 'conventional fcpw']</t>
  </si>
  <si>
    <t>microwave integrated circuits | Symmetrical coplanar waveguide</t>
  </si>
  <si>
    <t>A symmetrical coplanar waveguide with finite ground plane (SCPW) has been analyzed. The symmetrical configuration is obtained by simply placing a dielectric substrate above a conventional finite ground plane coplanar waveguide (FCPW). The conformal mapping method is used to calculate the quasistatic effective permittivity œµeff and characteristic impedance Z0. The SCPW has a larger œµeff and a smaller Z0, compared with the conventional FCPW. This configuration should be useful for the design of balanced mixer circuits and for applications to the design of balanced feed lines in printed antennas. ¬© 1993 John Wiley &amp; sons, Inc. Copyright ¬© 1993 Wiley Periodicals, Inc., A Wiley Company</t>
  </si>
  <si>
    <t>218-220</t>
  </si>
  <si>
    <t>7202863472;35581072400;56003101900;7102523120</t>
  </si>
  <si>
    <t>Cai, M.;Kooi, P. S.;Leong, M. S.;Yeo, T. S.</t>
  </si>
  <si>
    <t>Symmetrical coplanar waveguide with finite ground plane</t>
  </si>
  <si>
    <t>10.1002/mop.4650060320</t>
  </si>
  <si>
    <t>2-s2.0-0027909023</t>
  </si>
  <si>
    <t>['wiley company', 'tm polarizations', 'radiation pattern', 'physical optics', 'local coordinates', 'linear interpolation', 'incident angles', 'inc .,', 'good agreement', 'fss transmission', 'fss table', 'fss subreflector', 'fss effects', 'efficiencly determine', 'curved subreflector', 'computed data', 'accurately predict']</t>
  </si>
  <si>
    <t>Frequency‚Äêselective surface | geometric optics | reflector antenna</t>
  </si>
  <si>
    <t>The performance of a four‚Äêfrequency‚Äêband (S/X/Ku/Ka) frequency‚Äêselective surface (FSS) with double‚Äêring elements is evaluated both for a flat panel development and for a curved subreflector in a dual reflector antenna. Good agreement is observed between the measured and computed data for the flat panel FSS. To accurately predict the FSS effects on a dual reflector antenna's radiation pattern, we take into account the FSS subreflector's transmitted/reflected field variation as functions of the polarization and incident angles with respect to the local coordinates. An FSS transmission/reflection coefficient table is computed for TE and TM polarizations at various incident angles based on the planar FSS model. Next, the hybrid geometric optics (GO) and physical optics (PO) technique is implemented with linear interpolation of the FSS table to efficiencly determine the FSS effects in a dual reflector antenna. ¬© 1993 John Wiley &amp; sons, Inc. Copyright ¬© 1993 Wiley Periodicals, Inc., A Wiley Company</t>
  </si>
  <si>
    <t>175-179</t>
  </si>
  <si>
    <t>60009037;60000745;60078329</t>
  </si>
  <si>
    <t>7404814915;7601396617;7202495702</t>
  </si>
  <si>
    <t>Wu, T. K.;Lee, S. W.;Zimmerman, M. L.</t>
  </si>
  <si>
    <t>Fairfax;Pasadena;Urbana</t>
  </si>
  <si>
    <t>Analex Corporation;Jet Propulsion Laboratory;University of Illinois Urbana-Champaign</t>
  </si>
  <si>
    <t>60078329;60009037;60000745</t>
  </si>
  <si>
    <t>Wu T.</t>
  </si>
  <si>
    <t>Evaluation of frequency‚Äêselective reflector antenna systems</t>
  </si>
  <si>
    <t>10.1002/mop.4650060307</t>
  </si>
  <si>
    <t>2-s2.0-0027909025</t>
  </si>
  <si>
    <t>['wiley company', 'simple shapes', 'rigorous exploitation', 'polarization behavior', 'polarimetric effects', 'phenomena appearing', 'inc .,', 'general model', 'early works', 'coupling influences', '2 ].']</t>
  </si>
  <si>
    <t>chaff | dipoles | polarimetric | Radar cross section (RCS)</t>
  </si>
  <si>
    <t>Since the early works on diffraction of chaff, there has been no mathematical modelization available for a real physical solution. This work presents one and gives a rigorous exploitation of the polarization behavior. One can find here a general model which can take into account all the phenomena appearing in a cloud of dipoles: the polarimetric effects, the mask, and the coupling influences. This development is new and can be generalized for clouds of spheres, discs, cylinders, or other simple shapes [1, 2]. ¬© 1993 John Wiley &amp; sons, Inc. Copyright ¬© 1993 Wiley Periodicals, Inc., A Wiley Company</t>
  </si>
  <si>
    <t>214-218</t>
  </si>
  <si>
    <t>60013650;60008055</t>
  </si>
  <si>
    <t>6701365631;57213585153</t>
  </si>
  <si>
    <t>Pouliguen, P.;Desclos, L.</t>
  </si>
  <si>
    <t>Bruz;</t>
  </si>
  <si>
    <t>CELAR Centre d'√âlectronique de l'Armement;INSA France</t>
  </si>
  <si>
    <t>Pouliguen P.</t>
  </si>
  <si>
    <t>Model of the polarimetric behavior of chaff media</t>
  </si>
  <si>
    <t>10.1002/mop.4650060319</t>
  </si>
  <si>
    <t>2-s2.0-0027909036</t>
  </si>
  <si>
    <t>['wiley company', 'parasitic patches', 'moment method', 'inc .,']</t>
  </si>
  <si>
    <t>coplanar | Microstrip antenna | parasitic subarray | spectral‚Äêdomain analysis</t>
  </si>
  <si>
    <t>Coplanar subarrays consisting of one fed patch and two or more parasitic patches are studied using spectral‚Äêdomain full‚Äêwave analysis and the moment method. Results are given for three‚Äêelement linear subarrays and the five‚Äêpatch cross. ¬© 1993 John Wiley &amp; sons, Inc. Copyright ¬© 1993 Wiley Periodicals, Inc., A Wiley Company</t>
  </si>
  <si>
    <t>157-163</t>
  </si>
  <si>
    <t>Spectral‚Äêdomain moment‚Äêmethod analysis of coplanar microstrip parasitic subarrays</t>
  </si>
  <si>
    <t>10.1002/mop.4650060302</t>
  </si>
  <si>
    <t>2-s2.0-0027909040</t>
  </si>
  <si>
    <t>['wiley company', 'inc .,', 'effective gain', 'dominant mode', 'direct way', 'desired frequency', 'design theory', 'bessel function', 'article provide']</t>
  </si>
  <si>
    <t>antenna design | Circular patch antenna | microstrip</t>
  </si>
  <si>
    <t>An accurate and simple design procedure for a circular microstrip patch antenna to operate in the dominant mode is obtained, for which it is not necessary to compute the conventional design theory, involving the Bessel function. The design equations presented in this article provide for the design of a circular microstrip antenna, in a direct way, for specified resonant resistance and gain in the desired frequency. From this design theory, it is found that the effective gain of a circular microstrip antenna in the dominant mode can be evaluated measuring resonant resistance only. This is also verified experimentally. ¬© 1993 John Wiley &amp; sons, Inc. Copyright ¬© 1993 Wiley Periodicals, Inc., A Wiley Company</t>
  </si>
  <si>
    <t>201-205</t>
  </si>
  <si>
    <t>60008134;60008134</t>
  </si>
  <si>
    <t>Simplified design theory for a circular microstrip patch antenna</t>
  </si>
  <si>
    <t>10.1002/mop.4650060315</t>
  </si>
  <si>
    <t>2-s2.0-0027909043</t>
  </si>
  <si>
    <t>['wiley company', 'published results', 'numerical results', 'input impedances', 'inc .,', 'good agreement', 'cylindrical geometries']</t>
  </si>
  <si>
    <t>electromagnetically coupled patch antenna | Microstrip antenna | spectral domain analysis</t>
  </si>
  <si>
    <t>A spectral domain full‚Äêwave analysis is given for a class of electromagnetically coupled patch antennas with cylindrical geometries. Numerical results on the input impedances of the stacked circular disks and the ring‚Äêloaded circular disk are in good agreement with published results in the literature. ¬© 1993 John Wiley &amp; Sons, Inc. Copyright ¬© 1993 Wiley Periodicals, Inc., A Wiley Company</t>
  </si>
  <si>
    <t>436-441</t>
  </si>
  <si>
    <t>60029306;60021624</t>
  </si>
  <si>
    <t>7402099663;7501501369</t>
  </si>
  <si>
    <t>Fan, Zhibo;Lee, Kai‚ÄêFong ‚ÄêF</t>
  </si>
  <si>
    <t>China;United States</t>
  </si>
  <si>
    <t>Wuhan;Toledo</t>
  </si>
  <si>
    <t>Wuhan University;The University of Toledo</t>
  </si>
  <si>
    <t>Fan Z.</t>
  </si>
  <si>
    <t>Analysis of electromagnetically coupled patch antennas</t>
  </si>
  <si>
    <t>10.1002/mop.4650060714</t>
  </si>
  <si>
    <t>2-s2.0-0027909359</t>
  </si>
  <si>
    <t>['¬© 1993', 'two resonances', 'standard patch', 'rights reserved', 'patch width', 'patch length', 'electrical engineers']</t>
  </si>
  <si>
    <t>Antennas | Patch antennas</t>
  </si>
  <si>
    <t>A configuration for a slotted patch antenna is introduced which allows two separate operating frequencies. Both of these frequencies are associated with a radiating mode almost identical to that of a standard patch. The two resonances are related to the patch width and the slot/patch length, respectively. ¬© 1993, The Institution of Electrical Engineers. All rights reserved.</t>
  </si>
  <si>
    <t>1441-1443</t>
  </si>
  <si>
    <t>7005998607;55798245300;7004851623</t>
  </si>
  <si>
    <t>Maci, S.;Biffi Gentili, G.;Avitabile, G.</t>
  </si>
  <si>
    <t>Single-layer dual frequency patch antenna</t>
  </si>
  <si>
    <t>10.1049/el:19930965</t>
  </si>
  <si>
    <t>2-s2.0-0027909759</t>
  </si>
  <si>
    <t>['¬© 1993', 'suboptimal methods', 'simulation illustrate', 'significantly reduce', 'rights reserved', 'realtime processing', 'realisable scheme', 'electrical engineers']</t>
  </si>
  <si>
    <t>Adaptive filters | Adaptive signal processing | Radar clutter</t>
  </si>
  <si>
    <t>A new suboptimal method for time-space signal processing in airborne phased array radar is proposed which can significantly reduce the necessary computation compared with other optimal or suboptimal methods. The numerical results obtained from simulation illustrate that this method possesses ideal performance and is a realisable scheme for realtime processing. ¬© 1993, The Institution of Electrical Engineers. All rights reserved.</t>
  </si>
  <si>
    <t>1411-1412</t>
  </si>
  <si>
    <t>Wang, X. G.</t>
  </si>
  <si>
    <t>Wang X.G.</t>
  </si>
  <si>
    <t>Suboptimal method for time-space signal processing in airborne radar</t>
  </si>
  <si>
    <t>10.1049/el:19930945</t>
  </si>
  <si>
    <t>2-s2.0-0027909764</t>
  </si>
  <si>
    <t>['¬© 1993', 'twist reflector', 'rights reserved', 'experimental results', 'electrical engineers', 'desired polarisation']</t>
  </si>
  <si>
    <t>Electromagnetic waves | Reflector antennas | Scanning antennas</t>
  </si>
  <si>
    <t>Theory is presented for calculating the variation of crosspolarisation suppression ratio and loss in the desired polarisation of a twist reflector in different scanning planes in a twist-reflector scanning antenna system. Theoretical and experimental results for a w-band twist reflector are described. ¬© 1993, The Institution of Electrical Engineers. All rights reserved.</t>
  </si>
  <si>
    <t>1397-1398</t>
  </si>
  <si>
    <t>101428299;60023311;60023311</t>
  </si>
  <si>
    <t>7006446492;6602878075;7005435644</t>
  </si>
  <si>
    <t>Borkar, V. G.;Ethiraj, R.;Pandharipande, V. M.</t>
  </si>
  <si>
    <t>Hyderabad;Hyderabad</t>
  </si>
  <si>
    <t>Osmania University;Research Centre Imarat</t>
  </si>
  <si>
    <t>60023311;101428299</t>
  </si>
  <si>
    <t>Borkar V.</t>
  </si>
  <si>
    <t>Reflected fields from twist reflector in twist reflector scanning antenna configuration</t>
  </si>
  <si>
    <t>10.1049/el:19930936</t>
  </si>
  <si>
    <t>2-s2.0-0027909824</t>
  </si>
  <si>
    <t>['¬© 1993', 'rights reserved', 'main reflector', 'entire surface', 'electrical engineers']</t>
  </si>
  <si>
    <t>Antenna reflectors | Antennas</t>
  </si>
  <si>
    <t>The realisation of a polarising main reflector for use in a W-band Cassegrain antenna system is described. The main reflector has rectangular grooves cut in its entire surface to change the polarisation from linear to circular. In addition, the use of the FD-TD (finite difference time domain) method for predicting the performance of an axisymmetric dielectric cone subreflector is shown. ¬© 1993, The Institution of Electrical Engineers. All rights reserved.</t>
  </si>
  <si>
    <t>1424-1426</t>
  </si>
  <si>
    <t>60018829;60011520</t>
  </si>
  <si>
    <t>Farnborough;London</t>
  </si>
  <si>
    <t>BAE Systems plc;King's College London</t>
  </si>
  <si>
    <t>Design of a corrugated polarising main reflector</t>
  </si>
  <si>
    <t>10.1049/el:19930954</t>
  </si>
  <si>
    <t>2-s2.0-0027909839</t>
  </si>
  <si>
    <t>['wiley company', 'reflection matrices', 'radiation due', 'inc .,']</t>
  </si>
  <si>
    <t>Microstrip antenna | radiation | ring antenna | surface wave</t>
  </si>
  <si>
    <t>Surface wave effects on the radiation of microstrip ring antennas are studied theoretically using the full‚Äêwave solution based on reflection matrices for a microstrip ring antenna when they are operated at higher‚Äêorder modes. The effects on the radiation due to changes in the radius of the truncated dielectric substrate, the thickness, and the permittivity are examined. A choice between TM11 at œµr = 9.8 or TM12 at œµr = 2.2 is suggested. ¬© 1993 John Wiley &amp; Sons, Inc. Copyright ¬© 1993 Wiley Periodicals, Inc., A Wiley Company</t>
  </si>
  <si>
    <t>660-662</t>
  </si>
  <si>
    <t>60031475;60031475</t>
  </si>
  <si>
    <t>57216226486;7003630464</t>
  </si>
  <si>
    <t>Iyer, S. M.Vaitheeswaran;Karekar, R. N.</t>
  </si>
  <si>
    <t>The effect of dielectric truncation on the radiation of a microstrip ring antenna operated at higher‚Äêorder modes</t>
  </si>
  <si>
    <t>10.1002/mop.4650061115</t>
  </si>
  <si>
    <t>2-s2.0-0027909884</t>
  </si>
  <si>
    <t>['wiley company', 'inc .,']</t>
  </si>
  <si>
    <t>Antenna arrays | circular boundary shape | synthesis</t>
  </si>
  <si>
    <t>It is shown in this article how the generalized Villeneuve distribution can conveniently be used for the synthesis of high‚Äêdirectivity low‚Äêside‚Äêlobe planar arrays with circular boundary shapes. ¬© 1993 John Wiley &amp; Sons, Inc. Copyright ¬© 1993 Wiley Periodicals, Inc., A Wiley Company</t>
  </si>
  <si>
    <t>623-626</t>
  </si>
  <si>
    <t>On the direct synthesis of high‚Äêdirectivity tapered‚Äêside‚Äêlobe planar arrays with circular boundaries</t>
  </si>
  <si>
    <t>10.1002/mop.4650061103</t>
  </si>
  <si>
    <t>2-s2.0-0027909885</t>
  </si>
  <si>
    <t>['wiley company', 'wide range', 'relatively easy', 'operating frequency', 'inc .,']</t>
  </si>
  <si>
    <t>bandwidth | cavity model | Dual‚Äêfrequency microstrip antenna</t>
  </si>
  <si>
    <t>A novel dual‚Äêfrequency microstrip antenna is introduced. The antenna is relatively easy to design and fabricate. The operating frequency can vary over a wide range. ¬© 1993 John Wiley &amp; Sons, Inc. Copyright ¬© 1993 Wiley Periodicals, Inc., A Wiley Company</t>
  </si>
  <si>
    <t>629-632</t>
  </si>
  <si>
    <t>60017536;60011199;60011199</t>
  </si>
  <si>
    <t>7410158021;6603470321;7003541666</t>
  </si>
  <si>
    <t>Lee, Choon Sae;Nalbandian, Vahakn;Schwering, Felix</t>
  </si>
  <si>
    <t>Dual‚Äêfrequency microstrip antenna with inhomogeneously filled dielectric substrate</t>
  </si>
  <si>
    <t>10.1002/mop.4650061105</t>
  </si>
  <si>
    <t>2-s2.0-0027909887</t>
  </si>
  <si>
    <t>['wiley company', 'variational formula', 'tm101 mode', 'probe length', 'measured data', 'input impedance', 'inc .,', 'dielectric constant', 'coaxial probe']</t>
  </si>
  <si>
    <t>Dielectric resonator antenna | input impedance | radiation pattern | varialional method</t>
  </si>
  <si>
    <t>A hemispherical dielectric resonator antenna axisymmetrically fed by a coaxial probe is investigated both theoretically and experimentally. The input impedance of the lowest‚Äêorder TM mode (the TM101 mode) is evaluated by using the variational formula and the result agrees well with measured data. The effects of the probe length and dielectric constant on the input impedance are studied. Finally, the theoretical radiation pattern is compared with that of a bare mono‚Äêpole of a quarter‚Äêwavelength in height. ¬© 1993 John Wiley &amp; Sons, Inc. Copyright ¬© 1993 Wiley Periodicals, Inc., A Wiley Company</t>
  </si>
  <si>
    <t>626-629</t>
  </si>
  <si>
    <t>60002798;60013983;60002798;60025278</t>
  </si>
  <si>
    <t>56415172000;55510527400;56912776300;7403692161</t>
  </si>
  <si>
    <t>Leung, K. W.;Luk, K. M.;Lai, K. Y.A.;Lin, D.</t>
  </si>
  <si>
    <t>On the TM&lt;inf&gt;101&lt;/inf&gt; mode of a hemispherical dielectric resonator antenna</t>
  </si>
  <si>
    <t>10.1002/mop.4650061104</t>
  </si>
  <si>
    <t>2-s2.0-0027909905</t>
  </si>
  <si>
    <t>['wiley company', 'vhf range', 'spdt switch', 'one unit', 'letter discusses', 'inc .,', 'high power', '53 mhz']</t>
  </si>
  <si>
    <t>breakdown | High power switch | VHF</t>
  </si>
  <si>
    <t>This Letter discusses the design and development of high power, low‚Äêloss SPDT switch using SPDT vacuum relays from dc to VHF range. One unit of SPDT switch was developed and subjected to 120.0‚ÄêKW peak power at 53 MHz with no trace of breakdown. ¬© 1993 John Wiley &amp; Sons, Inc. Copyright ¬© 1993 Wiley Periodicals, Inc., A Wiley Company</t>
  </si>
  <si>
    <t>652-655</t>
  </si>
  <si>
    <t>Agarwal, Arvind</t>
  </si>
  <si>
    <t>Mumbai</t>
  </si>
  <si>
    <t>Society for Applied Microwave Electronics Engineering &amp; Research</t>
  </si>
  <si>
    <t>Agarwal A.</t>
  </si>
  <si>
    <t>High‚Äêpower, low‚Äêloss, broadband, spdt switch for VHF applications</t>
  </si>
  <si>
    <t>10.1002/mop.4650061112</t>
  </si>
  <si>
    <t>2-s2.0-0027909907</t>
  </si>
  <si>
    <t>['wiley company', 'incident field', 'inc .,', 'good match', 'dc output', '45 ghz']</t>
  </si>
  <si>
    <t>bow‚Äêtie antenna | detector | microwave‚Äêdc conversion | Rectenna</t>
  </si>
  <si>
    <t>A new rectenna circuit is described. The rectenna circuit uses a bow‚Äêtie antenna integrated with a diode. The newly developed bow‚Äêtie rectenna has a high conversion efficiency, is broadband, is not sensitive to the angle of the incident field, has a good match to its circuit, and behaves as a low‚Äêpass filter for dc output. A microwave‚Äêto‚Äêdc conversion efficiency of 79% has been achieved at 2.45 GHz. ¬© 1993 John Wiley &amp; Sons, Inc. Copyright ¬© 1993 Wiley Periodicals, Inc., A Wiley Company</t>
  </si>
  <si>
    <t>655-656</t>
  </si>
  <si>
    <t>57191001550;7203041870</t>
  </si>
  <si>
    <t>And, Michael Tran;Nguyen, Cam</t>
  </si>
  <si>
    <t>And M.</t>
  </si>
  <si>
    <t>A new rectenna circuit using a bow‚Äêtie antenna for the conversion of microwave power to dc power</t>
  </si>
  <si>
    <t>10.1002/mop.4650061113</t>
  </si>
  <si>
    <t>2-s2.0-0027909908</t>
  </si>
  <si>
    <t>['‚ äêsandwich', 'wiley company', 'results obtained', 'inc .,', 'complete band', '5 db']</t>
  </si>
  <si>
    <t>A‚Äêsandwich window | C‚Äêsandwich window | optical ray tracing | power transmission coefficient</t>
  </si>
  <si>
    <t>The design, analysis, and the results obtained on two ultrabroad‚Äêband antenna windows, operating over 2‚Äê18 GHz, one in A‚Äêsandwich and the other in C‚Äêsandwich construction are presented. Curves are given for theoretical and practical power transmission coefficients. The maximum transmission loss measured in the A‚Äêsandwich window is &lt;1.5 dB and that of the C‚Äêsandwich window is &lt;1.5 dB over the complete band. ¬© 1993 John Wiley &amp; Sons, Inc. Copyright ¬© 1993 Wiley Periodicals, Inc., A Wiley Company</t>
  </si>
  <si>
    <t>665-670</t>
  </si>
  <si>
    <t>60015465;60015465</t>
  </si>
  <si>
    <t>12796206000;6603455018</t>
  </si>
  <si>
    <t>Prasad, R. V.Hara;Lakshminarayana, D.</t>
  </si>
  <si>
    <t>Prasad R.</t>
  </si>
  <si>
    <t>On the design and analysis of ultrabroadband antenna windows</t>
  </si>
  <si>
    <t>10.1002/mop.4650061117</t>
  </si>
  <si>
    <t>2-s2.0-0027909920</t>
  </si>
  <si>
    <t>['wiley company', 'passive antenna', 'measured gain', 'inc .,', 'h plane', 'fet amplifier', 'extra gain', 'e plane', 'article presents', 'active antenna', '7 db', '5 db', '11 db', '10 db', '1 ghz']</t>
  </si>
  <si>
    <t>Active antennas | integrated antenna amplifiers | slot dipole antennas</t>
  </si>
  <si>
    <t>This article presents the design and performance of a slop dipole antenna integrated directly with an FET amplifier. The measured radiation patterns of the antenna are linear with cross‚Äêpolarization levels of 11 dB down in E plane and 17.5 dB down in H plane. The measured gain of the antenna is 10 dB at 7.1 GHz. Compared with a passive antenna, the active antenna has an extra gain of 7 dB. Copyright ¬© 1993 Wiley Periodicals, Inc., A Wiley Company</t>
  </si>
  <si>
    <t>856-857</t>
  </si>
  <si>
    <t>Wu, Xiao‚ÄêDong ‚ÄêD;Chang, Kai</t>
  </si>
  <si>
    <t>Integrated active slot dipole antenna amplifier</t>
  </si>
  <si>
    <t>10.1002/mop.4650061510</t>
  </si>
  <si>
    <t>2-s2.0-0027910102</t>
  </si>
  <si>
    <t>['wiley company', 'subzone division', 'practical technique', 'plane wave', 'inc .,', 'given first', 'focal field']</t>
  </si>
  <si>
    <t>Antenna | Fresnel zone plate | phase correction | subzone</t>
  </si>
  <si>
    <t>Subzone phase correction is a practical technique to produce high‚Äêefficiency Fresnel zone plate antennas. In this article a strict theory underlying the technique is presented. A closed‚Äêform expression of the focal field for the subzone phase correcting Fresnel zone plate (FZP) illuminated by a plane wave is given first. The subzone division and the corresponding phase correction are then optimized to produce the maximum focal field intensity. To overcome the difficulty of placing many subzone phase shifters in the narrow outer full‚Äêwave zones, an aperiodic subzone phase correction technique is proposed. Copyright ¬© 1993 Wiley Periodicals, Inc., A Wiley Company</t>
  </si>
  <si>
    <t>840-843</t>
  </si>
  <si>
    <t>On the subzone phase correction of fresnel zone plate antennas</t>
  </si>
  <si>
    <t>10.1002/mop.4650061505</t>
  </si>
  <si>
    <t>2-s2.0-0027910107</t>
  </si>
  <si>
    <t>['wiley company', 'tail section', 'studied experimentally', 'selected among', 'scattering effects', 'rotor blades', 'multipath effect', 'many lgas', 'low cost', 'located near', 'least 8', 'inc .,', 'helix antenna', 'easily mounted']</t>
  </si>
  <si>
    <t>helicopter satellite communications | mobile communication antennas | Mobile communications</t>
  </si>
  <si>
    <t>The feasibility of using a low‚Äêgain antenna (LGA) as a mobile terminal antenna for helicopers is described in this article. The objectives are (a) to select the lowest cost antenna system which can be easily mounted on a helicopter and capable of communicating with a satellite, and (b) to determine the best antenna position on the helicopter to mitigate the signal blockage due to rotor blades and the multipath effect from the ehlicopter's body. The omnidirectional low gain antenna (LGA) is selected because it is simple, reliable, and low cost. The helix antenna is selected among the many LGAs because it is the most economical and has the widest elevation beam‚Äêwidth. Both two‚Äê and four‚Äêarm helices are studied experimentally to determine the antenna's performance and the scattering effects from the helicopter's body. It is found that the LGA should be located near the tail section and at least 8 in. above the helicopter. Copyright ¬© 1993 Wiley Periodicals, Inc., A Wiley Company</t>
  </si>
  <si>
    <t>846-850</t>
  </si>
  <si>
    <t>Wu, Te‚ÄêKao ‚ÄêK</t>
  </si>
  <si>
    <t>Low cost L‚Äêband mobile terminal antennas for helicopters</t>
  </si>
  <si>
    <t>10.1002/mop.4650061507</t>
  </si>
  <si>
    <t>2-s2.0-0027910125</t>
  </si>
  <si>
    <t>['¬© 1993', 'rights reserved', 'measured copolar', 'good agreement', 'first time', 'electrical engineers']</t>
  </si>
  <si>
    <t>Antennas | Horn antennas</t>
  </si>
  <si>
    <t>The design, fabrication and performance of a 175.5-191.5 GHz dielectric core horn is presented for the first time. Good agreement is shown between predicted and measured copolar and crosspolar radiation patterns. ¬© 1993, The Institution of Electrical Engineers. All rights reserved.</t>
  </si>
  <si>
    <t>130-131</t>
  </si>
  <si>
    <t>60018829;60018829</t>
  </si>
  <si>
    <t>7102125229;36861134800</t>
  </si>
  <si>
    <t>Cahill, R.;Prior, C. J.</t>
  </si>
  <si>
    <t>BAE Systems plc</t>
  </si>
  <si>
    <t>Cahill R.</t>
  </si>
  <si>
    <t>G-band dielectric core horn</t>
  </si>
  <si>
    <t>10.1049/el:19930085</t>
  </si>
  <si>
    <t>2-s2.0-0027910918</t>
  </si>
  <si>
    <t>['¬© 1993', 'theoretical results', 'slot radiators', 'slot doublet', 'rights reserved', 'resonance properties', 'opposing broadfaces', 'moment method', 'good agreement', 'experimental measurements', 'electrical engineers']</t>
  </si>
  <si>
    <t>Moment methods | Slot antennas | Waveguides</t>
  </si>
  <si>
    <t>A moment method is employed to analyse a longitudinal slot doublet in both air-filled and dielectric-filled rectangular waveguides in which the slot radiators are located in the opposing broadfaces of the waveguide. Theoretical results are presented for the resonance properties of the slot doublet, and these are in good agreement with experimental measurements. ¬© 1993, The Institution of Electrical Engineers. All rights reserved.</t>
  </si>
  <si>
    <t>16-18</t>
  </si>
  <si>
    <t>Sangster, A. J.;Wang, H.</t>
  </si>
  <si>
    <t>Resonance properties of omnidirectional slot doublet in rectangular waveguide</t>
  </si>
  <si>
    <t>10.1049/el:19930011</t>
  </si>
  <si>
    <t>2-s2.0-0027910963</t>
  </si>
  <si>
    <t>['¬© 1993', 'source distribution', 'rights reserved', 'radiation behaviour', 'matched amplifiers', 'matched amplifier', 'integrated antenna', 'electrical engineers', 'allow estimation', 'active devices']</t>
  </si>
  <si>
    <t>Active antennas | Antenna radiation patterns | Antennas | Microstrip</t>
  </si>
  <si>
    <t>The analysis of active microstrip antennas consisting of patches or other microstrip radiators integrated with active devices such as matched amplifiers is described. The analysis uses circuit voltages generated by the TOUCHSTONE analysis package as source distribution for a magnetic current radiation calculation to allow estimation of the radiation behaviour of the integrated antenna. Results for radiation from a matched amplifier are close to those measured and calculations of radiation from active patches show that pattern perturbation due to unwanted circuit radiation can be substantial. ¬© 1993, The Institution of Electrical Engineers. All rights reserved.</t>
  </si>
  <si>
    <t>127-129</t>
  </si>
  <si>
    <t>Hall, P. S.</t>
  </si>
  <si>
    <t>Hall P.</t>
  </si>
  <si>
    <t>Analysis of radiation from active microstrip antennas</t>
  </si>
  <si>
    <t>10.1049/el:19930083</t>
  </si>
  <si>
    <t>2-s2.0-0027910971</t>
  </si>
  <si>
    <t>['¬© 1993', 'rights reserved', 'radiating elements', 'multibeam patterns', 'ideas concerning', 'grating lobes', 'electrical engineers']</t>
  </si>
  <si>
    <t>The design and realisation of two new types of microwave printed antenna array, which exhibit unusual radiation diagrams are described. Some ideas concerning the association of radiating elements into blocks are developed in order to synthesise important radiation functions: creation of multibeam patterns, reduction of the secondary lobe levels, elimination of some grating lobes and compensation for others. ¬© 1993, The Institution of Electrical Engineers. All rights reserved.</t>
  </si>
  <si>
    <t>88-90</t>
  </si>
  <si>
    <t>26536508100;7202044329</t>
  </si>
  <si>
    <t>Motta Cruz, E.;Daniel, J. P.</t>
  </si>
  <si>
    <t>Motta Cruz E.</t>
  </si>
  <si>
    <t>Multibeam printed antenna arrays</t>
  </si>
  <si>
    <t>10.1049/el:19930058</t>
  </si>
  <si>
    <t>2-s2.0-0027910989</t>
  </si>
  <si>
    <t>['¬© 1993', 'unusual geometry', 'single element', 'simple tool', 'rights reserved', 'reaction theorem', 'reaction integral', 'mutual coupling', 'method provides', 'measurement techniques', 'less convenient', 'great advantage', 'electrical engineers', 'array elements']</t>
  </si>
  <si>
    <t>Antenna radiation patterns | Antenna theory</t>
  </si>
  <si>
    <t>Mutual coupling between a pair of identical array elements is calculated from far field radiation. The reaction theorem is used on a single element to carry out a mutual coupling calculation. Evaluation of the reaction integral over a spherical surface surrounding a single waveguide element produces results better than the conventional aperture surface integral when using far fields. The method provides a simple tool for the estimate of mutual coupling given knowledge of the far field radiation of a single element. This is of great advantage during the development of array elements of unusual geometry, where analysis or other measurement techniques are difficult or less convenient. ¬© 1993, The Institution of Electrical Engineers. All rights reserved.</t>
  </si>
  <si>
    <t>1299-1301</t>
  </si>
  <si>
    <t>60009658;60009658;60026242</t>
  </si>
  <si>
    <t>6603393766;57213425197;7003442370</t>
  </si>
  <si>
    <t>Bamford, L. D.;Hall, P. S.;Fray, A.</t>
  </si>
  <si>
    <t>Salisbury;Swindon</t>
  </si>
  <si>
    <t>Defence Science and Technology Laboratory;Defence College of Management and Technology</t>
  </si>
  <si>
    <t>60026242;60009658</t>
  </si>
  <si>
    <t>Bamford L.</t>
  </si>
  <si>
    <t>Calculation of antenna mutual coupling from far radiated fields</t>
  </si>
  <si>
    <t>10.1049/el:19930867</t>
  </si>
  <si>
    <t>2-s2.0-0027912027</t>
  </si>
  <si>
    <t>['¬© 1993', 'test dipoles', 'rights reserved', 'nonzero results', 'new term', 'electrical engineers', 'agree precisely']</t>
  </si>
  <si>
    <t>Antenna theory | Antennas</t>
  </si>
  <si>
    <t>The periodic moment method predicts zero mutual impedance between expansion and test dipoles that are perpendicular. A new term has been added for this case, with nonzero results that agree precisely with spatial domain mutual impedance summations. ¬© 1993, The Institution of Electrical Engineers. All rights reserved.</t>
  </si>
  <si>
    <t>1245-1246</t>
  </si>
  <si>
    <t>Hansen, R. C.</t>
  </si>
  <si>
    <t>Tarzana</t>
  </si>
  <si>
    <t>Consulting Engineer</t>
  </si>
  <si>
    <t>Incompleteness of the periodic moment method</t>
  </si>
  <si>
    <t>10.1049/el:19930832</t>
  </si>
  <si>
    <t>2-s2.0-0027912083</t>
  </si>
  <si>
    <t>['¬© 1993', 'starting point', 'rights reserved', 'prescribed far', 'po optimisation', 'phase distributions', 'obtained using', 'geometric optics', 'electrical engineers', 'derivative condition', 'aperture distributions', 'ampere approach']</t>
  </si>
  <si>
    <t>Antennas | Reflector antennas</t>
  </si>
  <si>
    <t>A method of synthesising smooth aperture amplitude and phase distributions from a prescribed far-field radiation pattern is proposed. A geometric optics (GO) solution of the problem, which gives a starting point for the final physical optics (PO) optimisation, is obtained using the Monge-Ampere approach of Westcott. During PO optimisation a derivative condition is invoked to control the smoothness of the aperture distributions. ¬© 1993, The Institution of Electrical Engineers. All rights reserved.</t>
  </si>
  <si>
    <t>1275-1276</t>
  </si>
  <si>
    <t>60025225;60025225;60025225</t>
  </si>
  <si>
    <t>7004261323;7003982874;7006049500</t>
  </si>
  <si>
    <t>Westcott, B. S.;Zaporozhets, A. A.;Searle, A. D.</t>
  </si>
  <si>
    <t>Smooth aperture distribution synthesis for shaped beam reflector antennas</t>
  </si>
  <si>
    <t>10.1049/el:19930851</t>
  </si>
  <si>
    <t>2-s2.0-0027912086</t>
  </si>
  <si>
    <t>['¬© 1993', 'year subset', 'single parameter', 'rights reserved', 'r scheme', 'olympus satellite', 'latter considered', 'frequency dependence', 'existing itu', 'electrical engineers', 'data base', 'amplitude scintillations', '30 months']</t>
  </si>
  <si>
    <t>Radiowave propagation | Tropospheric EM wave propagation</t>
  </si>
  <si>
    <t>The Letter reports scintillation measurements using the beacons of the Olympus satellite at 12.5, 20 and 30GHz. Based on a period of 30 months, the frequency dependence of amplitude scintillations has been investigated. In the Letter, complete monthly distributions of short-term signal variances, which could be characterised by a single parameter, were taken into account. Results have been compared with those of an earlier investigation based on a one-year subset of the data base. The latter considered only variances which were exceeded for low time percentages. Furthermore, results have been compared with the existing ITU-R scheme and with experimental results found in the literature. ¬© 1993, The Institution of Electrical Engineers. All rights reserved.</t>
  </si>
  <si>
    <t>2219-2220</t>
  </si>
  <si>
    <t>Ortgies, G.</t>
  </si>
  <si>
    <t>Deutsche Bundespost Telekom</t>
  </si>
  <si>
    <t>Ortgies G.</t>
  </si>
  <si>
    <t>Frequency dependence of slant-path amplitude scintillations</t>
  </si>
  <si>
    <t>10.1049/el:19931490</t>
  </si>
  <si>
    <t>2-s2.0-0027913105</t>
  </si>
  <si>
    <t>['¬© 1993', 'vertical polarisation', 'uniformly scattered', 'unconventional feed', 'rights reserved', 'plane perpendicular', 'particularly suited', 'parabolic subreflector', 'new type', 'higher frequencies', 'electrical engineers', 'conical pattern']</t>
  </si>
  <si>
    <t>Omnidierctional antennas | Reflector antennas</t>
  </si>
  <si>
    <t>A new type of high gain omnidirectional antenna is presented, particularly suited for higher frequencies (e.g. milllimetre waves): it is obtained with an axially symmetric dual reflector system, fed with an unconventional feed with conical pattern. The feed radiated field, after reflection on the parabolic subreflector and on the conical main reflector, is uniformly scattered in the plane perpendicular to the axis of the system, with vertical polarisation and narrow vertical beamwidth. ¬© 1993, The Institution of Electrical Engineers. All rights reserved.</t>
  </si>
  <si>
    <t>2158-2159</t>
  </si>
  <si>
    <t>60012162;60012162</t>
  </si>
  <si>
    <t>7003419808;7004544655</t>
  </si>
  <si>
    <t>Orefice, M.;Pirinoli, P.</t>
  </si>
  <si>
    <t>Turin</t>
  </si>
  <si>
    <t>Politecnico di Torino</t>
  </si>
  <si>
    <t>Orefice M.</t>
  </si>
  <si>
    <t>Dual reflector antenna with narrow broadside beam for omnidirectional coverage</t>
  </si>
  <si>
    <t>10.1049/el:19931448</t>
  </si>
  <si>
    <t>2-s2.0-0027913114</t>
  </si>
  <si>
    <t>['¬© 1993', 'rights reserved', 'planar antenna', 'electrical engineers', '40 ghz']</t>
  </si>
  <si>
    <t>Antennas | Microstrip | Microwave integrated circuits</t>
  </si>
  <si>
    <t>A novel fully planar transition between two microstrip lines with side changed metallisation patterns is presented. This transition is suited to connecting a planar antenna to hermetically sealed integrated circuits. The measured return loss between 36 and 40 GHz was 20dB. A broader operating bandwidth can be expected. ¬© 1993, The Institution of Electrical Engineers. All rights reserved.</t>
  </si>
  <si>
    <t>2205-2206</t>
  </si>
  <si>
    <t>60026638;60026638</t>
  </si>
  <si>
    <t>57216045989;57199889914</t>
  </si>
  <si>
    <t>Meier, U.;M√ºller, H.</t>
  </si>
  <si>
    <t>Nokia Corporation</t>
  </si>
  <si>
    <t>Meier U.</t>
  </si>
  <si>
    <t>Substrate integrated transition between a planar millimetre wave antenna and hermetically sealed integrated circuits</t>
  </si>
  <si>
    <t>10.1049/el:19931481</t>
  </si>
  <si>
    <t>2-s2.0-0027913147</t>
  </si>
  <si>
    <t>['¬© 1993', 'wave frequencies', 'rights reserved', 'radiation patterns', 'planar arrays', 'nrd guide', 'nonradiating dielectric', 'feed network', 'electrical engineers']</t>
  </si>
  <si>
    <t>Antenna feeders | Dielectric waveguides | Microstrip antennas</t>
  </si>
  <si>
    <t>Owing to its low loss property at millimetre-wave frequencies, the nonradiating dielectric (NRD) waveguide is very attractive for use as a feed network in planar arrays. In the Letter, the design, fabrication and testing of a microstrip patch antenna fed by NRD guide at X-band is described. Radiation patterns are measured and presented. ¬© 1993, The Institution of Electrical Engineers. All rights reserved.</t>
  </si>
  <si>
    <t>2157-2158</t>
  </si>
  <si>
    <t>60000854;106618082;106618082</t>
  </si>
  <si>
    <t>United States;Canada</t>
  </si>
  <si>
    <t>Hampton;Ottawa</t>
  </si>
  <si>
    <t>NASA Langley Research Center;Communications Research Center</t>
  </si>
  <si>
    <t>60000854;106618082</t>
  </si>
  <si>
    <t>Aperture coupled microstrip patch antenna fed by nonradiating dielectric waveguide</t>
  </si>
  <si>
    <t>10.1049/el:19931447</t>
  </si>
  <si>
    <t>2-s2.0-0027913153</t>
  </si>
  <si>
    <t>['whistler waves', 'thermal fluctuations', 'resonant enhancement', 'observed fluctuations', 'nfce ),', 'neither described', 'like spectrum', 'length ).', 'flat spectrum', 'f ce', 'evanescent regime', 'cyclotron emission', '4 torr', '1992 )].']</t>
  </si>
  <si>
    <t>Thermal fluctuations have been measured with a magnetic loop antenna inside a large afterglow plasma in the regime of whistler waves (f‚â≤f ce‚âÉ30 MHz‚â™f pe‚âÉ3000 MHz; Ar, 2X10 -4 Torr, 1 m diamX2.5 m length). The magnetic fluctuations BÃÉ(œâ) exhibit a 1/f-like spectrum for whistlers (f&lt;f ce), no resonant enhancement at the electron cyclotron frequency f ce, and a flat spectrum in the evanescent regime (f ce&lt;f‚â™pe). Thus the observed fluctuations are neither described by blackbody radiation laws (B ‚àù œâ) nor by cyclotron emission (lines at nfce), but resemble the decaying Alfv√©nic fluctuation spectrum calculated by Cable and Tajima [Phys. Rev. A 46, 3413 (1992)]. ¬© 1993 American Institute of Physics.</t>
  </si>
  <si>
    <t>3122-3126</t>
  </si>
  <si>
    <t>60027550-60011774;60027550</t>
  </si>
  <si>
    <t>6603477510;7004643397</t>
  </si>
  <si>
    <t>Golubyatnikov, G.;Stenzel, R. L.</t>
  </si>
  <si>
    <t>Golubyatnikov G.</t>
  </si>
  <si>
    <t>Thermal magnetic fluctuations of whistlers in a Maxwellian plasma</t>
  </si>
  <si>
    <t>10.1063/1.860648</t>
  </si>
  <si>
    <t>2-s2.0-0037786567</t>
  </si>
  <si>
    <t>['whistler packet', 'wave vector', 'three dimensions', 'space plasmas', 'radial space', 'pulsed currents', 'propagation characteristics', 'physical arguments', 'linked toroidal', 'latter arising', 'j includes', 'investigated experimentally', 'highly oblique', 'frequency whistlers', 'free interior', 'field topology', 'energy flow', 'electrodynamic tethers', 'electric field', 'different dynamics', 'current density', 'constant amplitude', 'charge field', 'charge contributions', 'basic properties', 'b 0', ')= œº0j']</t>
  </si>
  <si>
    <t>Time-varying plasma currents associated with low-frequency whistlers have been investigated experimentally. Pulsed currents are induced in the uniform, boundary-free interior of a large laboratory plasma by means of insulated magnetic antennas. The time-varying magnetic field is measured in three dimensions and the current density is calculated from VÃÑ√óB(r,t)= Œº0J, where J includes the displacement current density. Typical fields B(r,t) and J(r,t) induced by a magnetic loop antenna show three-dimensional helices due to linked toroidal and solenoidal field topologies. Constant amplitude and phase surfaces assume conical shapes since the propagation speed along B0 is higher than oblique to B 0. The wave vector is highly oblique to B0 while the energy flow is mainly along B0. The electric field in the wave packet contains both inductive and space-charge contributions, the latter arising from the different dynamics of electrons and ions as explained by physical arguments. The dominant electric field in a whistler packet is a radial space-charge field. Neither the field topology nor the propagation characteristics are sensitive to the induced magnetic field amplitude up to Bwave ‚â≤ B0. The results are relevant to both the basic properties of whistlers and to applications such as large loop antennas and electrodynamic tethers in space plasmas. ¬© 1993 American Institute of Physics.</t>
  </si>
  <si>
    <t>325-338</t>
  </si>
  <si>
    <t>7004643397;7005745994;6603263209</t>
  </si>
  <si>
    <t>Stenzel, R. L.;Urrutia, J. M.;Rousculp, C. L.</t>
  </si>
  <si>
    <t>Stenzel R.</t>
  </si>
  <si>
    <t>Pulsed currents carried by whistlers. Part I: Excitation by magnetic antennas</t>
  </si>
  <si>
    <t>10.1063/1.860517</t>
  </si>
  <si>
    <t>2-s2.0-0038757367</t>
  </si>
  <si>
    <t>['velocity range', 'velocity extent', 'velocities near', 'two cavities', 'systemic velocity', 'supernova remnant', 'snr shock', 'small cloud', 'semiquantitative model', 'ray emission', 'observed x', 'noticeably absent', 'neutral gas', 'morphological evidence', 'likely associated', 'lies within', 'kinematic distance', 'interstellar medium', 'geometrical center', 'full sensitivity', 'expanding h', 'eastern part', 'diffuse emission', 'developed along', 'density regions', 'continuum shell', 'antenna data', 'angular sizes', 'angular resolution', 'also observed', 'also found', '80 km', '70 km', '5 km', '3 kpc', '1991 )]', '180 km', '16 km', '1420 mhz', '1 yielding', '1 arcmin']</t>
  </si>
  <si>
    <t>Dominion Radio Astrophysical Observatory aperture synthesis observations, in the continuum at 1420 MHz and in the 21 cm line of H I, are presented of the supernova remnant (SNR) CTA1. The angular resolution is 1 arcmin. Full sensitivity to structures of all angular sizes down to this scale has been achieved by combining the aperture synthesis observations with single-antenna data. In the continuum, in addition to the well-known bright arcs giving the SNR the appearance of an incomplete shell structure, diffuse emission can be traced to the north and northeast of the remnant and also in the southwest. Some of these faint features coincide with diffuse [O III] emission. A comparison with the 100 Œºm coadded IRAS image shows the presence of two cavities of low infrared emissivity adjacent to these regions. The diffuse radio emission within the outline of the SNR is more prominent in the eastern part of the object where most of the observed x-ray emission is also found. There is evidence in the H I data for part of a shell of neutral gas in the northwest where the continuum shell is noticeably absent. The systemic velocity of this shell is -16¬±3 km s-1 yielding a kinematic distance of 1.4¬±0.3 kpc for CTA1. H I gas, most likely associated with the SNR, is also observed in the range -40 to -80 km s-1 in projection against the geometrical center of the remnant. The centroid of this emission, particularly at -70 km s-1, is near the peak of the fast-expanding H I detected by Koo and Heiles [ApJ, 382, 204 (1991)] in the velocity range -150 to -180 km s-1. A small cloud, containing 10¬±4script M sign‚äô of H I, lies within the H I shell at -16 km s-1, and coincides with it in velocity extent. It is coincident with an IRAS point source. This H I-IR object may be a protostar whose formation has been triggered by the SNR shock. A conspicuous nearly perfectly circular shell of H I is evident at velocities near -8.5 km s-1 but its association with the SNR remains uncertain. The morphological evidence of the infrared, optical, and radio observations suggests that, in the north and west, the SNR has broken out into low-density regions of the interstellar medium. A semiquantitative model is developed along these lines.</t>
  </si>
  <si>
    <t>1060-1073</t>
  </si>
  <si>
    <t>60032619;60009839;60032619;60032619</t>
  </si>
  <si>
    <t>6701697887;7003557448;7004885929;7801629105</t>
  </si>
  <si>
    <t>Pineault, Serge;Landecker, T. L.;Madore, Bruno;Gaumont-Guay, Stephan</t>
  </si>
  <si>
    <t>Quebec;Ottawa ON,</t>
  </si>
  <si>
    <t>Universit√© Laval;National Research Council Canada</t>
  </si>
  <si>
    <t>60032619;60009839</t>
  </si>
  <si>
    <t>Pineault S.</t>
  </si>
  <si>
    <t>The supernova remnant CTA1 and the surrounding interstellar medium</t>
  </si>
  <si>
    <t>10.1086/116493</t>
  </si>
  <si>
    <t>2-s2.0-0038982308</t>
  </si>
  <si>
    <t>['varying intensities', 'two times', 'synechocystis sp', 'stimulation seems', 'quantum yield', 'ps ii', 'photosystem ii', 'pcc 6803', 'page analysis', 'isolated phycobilisomes', 'grown cells', 'functional changes', 'faster turnover', 'energy redistribution', 'control cells', 'cobalt ions', 'cells showed', 'causes stimulation', 'allophycocyanin ratio', '77 k']</t>
  </si>
  <si>
    <t>cyanobacteria | heavy metal | oxygen evolution | photosystems</t>
  </si>
  <si>
    <t>Synechocystis sp. PCC 6803 when grown in the presence of sublethal (ŒºM) levels of cobalt chloride shows an enhancement of Photosystem II (PS II) catalyzed Hill reaction. This stimulation seems to be induced by cobalt ions as other metal ions inhibit para-benzoquinone catalyzed Hill reaction. At saturating white light intensity, this enhancement is two times over that of the control cells on unit chlorophyll basis. Analysis of the PS II electron transport rate at varying intensities of white, blue or yellow light suggests an increased maximal rates but no change in the quantum yield or effective antenna size of CoCl2-grown cells. There were no structural and functional changes in the phycobilisome as judged by the absence of changes in the phycocyanin/allophycocyanin ratio, fluorescence emission spectra, second derivative absorption spectra at 77 K and SDS-PAGE analysis of isolated phycobilisomes. The 77 K fluorescence emission spectra of the cells showed a decrease in the ratio of Photosystem I emission (F725) to Photosystem II emission (F685) in CoCl2-grown cells compared to the control cells. These observations indicate three possibilities: (1) there is an increase in the number of Photosystem II units; (2) a faster turnover of Photosystem II centers; or (3) an alteration in energy redistribution between PS II and PS I in CoCl2-grown cells which causes stimulation of Photosystem II electron transport rate. ¬© 1993 Kluwer Academic Publishers.</t>
  </si>
  <si>
    <t>463-469</t>
  </si>
  <si>
    <t>60030622;60030622</t>
  </si>
  <si>
    <t>7202965415;7101652469</t>
  </si>
  <si>
    <t>Tiwari, Swati;Mohanty, Prasanna</t>
  </si>
  <si>
    <t>Jawaharlal Nehru University</t>
  </si>
  <si>
    <t>Tiwari S.</t>
  </si>
  <si>
    <t>Cobalt chloride induced stimulation of Photosystem II electron transport in Synechocystis sp. PCC 6803 cells</t>
  </si>
  <si>
    <t>10.1007/BF00046775</t>
  </si>
  <si>
    <t>2-s2.0-0041343271</t>
  </si>
  <si>
    <t>['wiley blackwell', 'transition moments', 'thermal deactivation', 'room temperature', 'rights reserved', 'reversible twisting', 'reversible changes', 'related probably', 'pigment molecules', 'photoacoustic spectra', 'membrane plane', 'linear dichroism', 'film plane', 'exactly parallel', 'carotenoid molecules', '85 k', '800 nm']</t>
  </si>
  <si>
    <t>Abstract‚Äî Polarized absorption, fluorescence and photoacoustic spectra of bacteriochlorophyll (BChl)‚Äêlipoprotein complexes from the purple bacterium Chromatium minutissimum oriented in stretched polyvinylalcohol films were measured at room temperature and 85 K. The preparations contain large amounts of the B800‚Äê820 antenna complexes. From polarized absorption spectra taken under various light beam incidence angles with respect to the film plane, conclusions concerning arrangement of pigment molecules in B800‚Äê820 complex are obtained. The transition moments of the BChl Qy band are not exactly parallel to the membrane plane. It seems that there are pools of differently oriented BChl chromophores absorbing in both 800 nm and 820 nm regions. Change in temperature strongly influences linear dichroism of carotenoids and BChl Qy bands. The reversible changes in absorption, linear dichroism and photoacoustic spectra caused by the variation in sample temperature suggest strongly the reversible twisting of carotenoid molecules, related probably to modification of the interactions between carotenoids and proteins. Various carotenoids exhibit different yield of thermal deactivation and this yield is also temperature dependent. Copyright ¬© 1993, Wiley Blackwell. All rights reserved</t>
  </si>
  <si>
    <t>877-884</t>
  </si>
  <si>
    <t>60008555;60110546;60021501;60021501</t>
  </si>
  <si>
    <t>57204227660;8929548100;56625077200;35510906100</t>
  </si>
  <si>
    <t>Frackowiak, Danuta;Abdourakhmanov, Ismail;Cegielski, Roman;Leblanc, Roger M.</t>
  </si>
  <si>
    <t>Russian Federation;Canada;Poland</t>
  </si>
  <si>
    <t>Pushchino;Trois-Rivieres;Poznan</t>
  </si>
  <si>
    <t>Institute of Fundamental Problems of Biology of the Russian Academy of Sciences;Universit√© du Qu√©bec √† Trois-Rivi√®res;Politechnika Poznanska</t>
  </si>
  <si>
    <t>60110546;60021501;60008555</t>
  </si>
  <si>
    <t>Frackowiak D.</t>
  </si>
  <si>
    <t>POLARIZED SPECTRA OF ORIENTED PIGMENT‚ÄêLIPOPROTEIN COMPLEXES FROM THE PURPLE BACTERIUM: Chromatium minutissimum</t>
  </si>
  <si>
    <t>10.1111/j.1751-1097.1993.tb09228.x</t>
  </si>
  <si>
    <t>2-s2.0-0342636246</t>
  </si>
  <si>
    <t>['whose dependence', 'well described', 'wave damping', 'stochastic effects', 'small changes', 'radiated spectrum', 'poloidal extent', 'poloidal angle', 'plasma parameters', 'planck code', 'inner half', 'initial conditions', 'full range', 'exponential divergence', 'experimental data', 'exceed 10', 'efficiently covering', 'effectively reduced', 'detailed analysis', 'current drive', 'combined ray', 'code predictions', 'accurately represented']</t>
  </si>
  <si>
    <t>Using a combined ray-tracing and Fokker-Planck code, a comprehensive and detailed analysis is presented on the importance of toroidally induced ray stochasticity for the modeling of lower-hybrid (LH) current drive in tokamaks and for the dynamics of the launched power spectrum. The injected LH power distribution in poloidal angle and in parallel wave index is accurately represented by taking into account the poloidal extent of the antenna and by efficiently covering the full range of its radiated spectrum. The influence of the balance between the wave damping and the exponential divergence of nearby ray trajectories in determining the shape and robustness of the predicted LH power deposition profiles is emphasized. When stochastic effects are important, code predictions are shown to be stable with respect to small changes in plasma parameters and initial conditions, and to be consistent with experimental data, provided a sufficiently large number of rays is used. Sensitivity studies indicate that the component of the launched power spectrum that is not affected by stochastic effects is well described by a grid in parallel wave index whose spacing may be as large as 10-1, whereas the component that is affected by such effects suffers strong randomization and needs a grid whose spacing must not exceed 10-3. Ray stochasticity tends to broaden the launched power spectrum, to increase the LH power deposition in the inner half of the plasma, and to favor power deposition profiles that are spread over most of the plasma cross section and whose dependence on the injected LH power distribution in poloidal angle and in parallel wave index is weak. It is found that stochastic effects may be effectively reduced by using bottom launch schemes. The fact that it is, in general, misleading to divide a priori the launched power spectrum into "accessible" and "inaccessible" parts is stressed. ¬© 1993 American Institute of Physics.</t>
  </si>
  <si>
    <t>1227-1238</t>
  </si>
  <si>
    <t>60003729-60004956;60003729</t>
  </si>
  <si>
    <t>6602981277;7102026019</t>
  </si>
  <si>
    <t>Bizarro, Jo√£o P.;Moreau, Didier</t>
  </si>
  <si>
    <t>Portugal;France</t>
  </si>
  <si>
    <t>Lisbon;Saint Paul lez Durance</t>
  </si>
  <si>
    <t>Instituto Superior T√©cnico;CEA Cadarache</t>
  </si>
  <si>
    <t>60004956;60003729</t>
  </si>
  <si>
    <t>Bizarro J.</t>
  </si>
  <si>
    <t>On ray stochasticity during lower-hybrid current drive in tokamaks</t>
  </si>
  <si>
    <t>10.1063/1.860912</t>
  </si>
  <si>
    <t>2-s2.0-0343591053</t>
  </si>
  <si>
    <t>['waves bridge', 'wave power', 'modeling indicates', 'massachusetts institute', 'ii tokamak', 'hybrid current', 'drive experiments', 'colder tail', '1981 ).']</t>
  </si>
  <si>
    <t>A "two-parallel-temperature" feature of the fast-electron distribution function has been observed during lower-hybrid current-drive experiments on the Versator-II tokamak (B. Richards, Ph.D. thesis, Massachusetts Institute of Technology, 1981). Computational modeling predicts this feature and indicates that the colder tail is initiated by low-power, high-N ‚à• waves from the sidelobes of the antenna N‚à• spectrum. The modeling indicates these waves bridge the "spectral gap," enabling current drive even though the wave parallel phase velocity greatly exceeds the electron thermal velocity for the majority of the wave power. ¬© 1993 American Institute of Physics.</t>
  </si>
  <si>
    <t>3622-3628</t>
  </si>
  <si>
    <t>60022195-60015916;60022195;60022195-60013901;60022195;60020304;60020304;60013901</t>
  </si>
  <si>
    <t>6507645984;7006050699;7102094477;57220454695;7003454886;57212335878;8535353900</t>
  </si>
  <si>
    <t>Colborn, J. A.;Porkolab, M.;Squire, J. P.;Villase√±or, J.;Skiff, F.;Boyd, D. A.;Harvey, R. W.</t>
  </si>
  <si>
    <t>Cambridge;College Park;San Diego;San Diego</t>
  </si>
  <si>
    <t>Massachusetts Institute of Technology;University of Maryland, College Park;SAIC;General Atomics</t>
  </si>
  <si>
    <t>60022195;60020304;60015916;60013901</t>
  </si>
  <si>
    <t>Colborn J.A.</t>
  </si>
  <si>
    <t>Observation and analysis of a two-parallel-temperature electron tail during lower-hybrid current-drive on a tokamak</t>
  </si>
  <si>
    <t>10.1063/1.860834</t>
  </si>
  <si>
    <t>2-s2.0-0346770629</t>
  </si>
  <si>
    <t>['term effects', 'results suggest', 'photosystem ii', 'lethal concentrations', 'initial growth', 'growth yield', 'green light', 'gramine suppresses', 'fluorescence spectra', 'energy transfer', 'electron transport', 'electron donor', 'cultures showed', 'culture death', 'chlorophyll content', 'cellular growth', 'cells showed', 'antennae emission', 'anabaena sp', 'alkaloid concentration', 'accessory pigments']</t>
  </si>
  <si>
    <t>Long-term and short-term effects of gramine on cells of Anabaena sp. were studied. Culture death was observed after an initial growth in the presence of 0.5 mM gramine, and lower concentrations decreased both the specific growth rate and the growth yield. Cultures showed a reduction in the chlorophyll content as well as an increase in the level of accessory pigments, which were proportional to the alkaloid concentration. When cultures were excited with green light in the presence of 3-(3,4-dichlorophenyl)-1,1-dimethylurea, the fluorescence spectra of the cells showed a shoulder at 685 nm related to the photosystem II (PSII) antennae emission. This band was reduced when gramine was present during the growth, suggesting that gramine suppresses the energy transfer between the phycobilisomes and PSII. At lethal concentrations for cellular growth, gramine suppressed immediately the photosynthetic oxygen production as well as the electron transport from H2O to p-benzoquinone. The influence of gramine on the PSII photochemical reactions was investigated by flash-induced fluorescence measurements, and the results suggest that the alkaloid could act as an electron donor to the PSII reaction center.</t>
  </si>
  <si>
    <t>633-639</t>
  </si>
  <si>
    <t>Plant Physiology</t>
  </si>
  <si>
    <t>60000036;60000036</t>
  </si>
  <si>
    <t>6701815547;6603165255</t>
  </si>
  <si>
    <t>Foguel, Debora;Chaloub, Ricardo M.</t>
  </si>
  <si>
    <t>Rio de Janeiro</t>
  </si>
  <si>
    <t>Universidade Federal do Rio de Janeiro</t>
  </si>
  <si>
    <t>Foguel D.</t>
  </si>
  <si>
    <t>Effects of the alkaloid gramine on the light-harvesting, energy transfer, and growth of Anabaena sp. (PCC 7119)</t>
  </si>
  <si>
    <t>10.1104/pp.101.2.633</t>
  </si>
  <si>
    <t>2-s2.0-0347436724</t>
  </si>
  <si>
    <t>N00014-90-J-1197</t>
  </si>
  <si>
    <t>['¬© 1993', 'uniaxial media', 'systematic development', 'rights reserved', 'printed circuits', 'planar conductors', 'microstrip resonators', 'arbitrary shapes', 'antennas embedded']</t>
  </si>
  <si>
    <t>A systematic development is presented of three distinct mixed-potential integral equations for the analysis of printed circuits, microstrip resonators, and antennas embedded in multi-layered, planar, uniaxial media of infinite lateral extent, with emphasis on microstrip structures comprising non-planar conductors of irregular or arbitrary shapes. ¬© 1993, VSP. All rights reserved.</t>
  </si>
  <si>
    <t>899-917</t>
  </si>
  <si>
    <t>Michalski, K. A.</t>
  </si>
  <si>
    <t>Formulation of Mixed-Potential Integral Equations for Arbitrarily Shaped Microstrip Structures with Uniaxial Substrates</t>
  </si>
  <si>
    <t>10.1163/156939393X00101</t>
  </si>
  <si>
    <t>2-s2.0-11744357857</t>
  </si>
  <si>
    <t>['¬© 1993', 'specific roles', 'rights reserved', 'proper target', 'primary responsibilities', 'pathfinding require', 'particular molccules', 'paper discusses', 'intracellular calcium', 'growth cone', 'elongating neurite']</t>
  </si>
  <si>
    <t>calcium | filopodia | growth cone | intracellular messenger</t>
  </si>
  <si>
    <t>One of the primary responsibilities of the neuronal growth cone is its role of guiding an elongating neurite to its proper target. The events during extension and pathfinding require that the neuronal growth cone responds to particular molccules in the environment by making appropriate changes in the behaviour of the growth cone. This paper discusses the role of intracellular calcium as a signalling system mediating these responses. The specific roles of the growth cone lilopodia in acting as antennae in advance of the motile growth cone are discussed in the context of calcium mediated pathfinding events. ¬© 1993, Brill. All rights reserved.</t>
  </si>
  <si>
    <t>284-300</t>
  </si>
  <si>
    <t>Netherlands Journal of Zoology</t>
  </si>
  <si>
    <t>60009226;60009226</t>
  </si>
  <si>
    <t>7005402529;36932006400</t>
  </si>
  <si>
    <t>Kater, S. B.;Shibata, A.</t>
  </si>
  <si>
    <t>Fort Collins</t>
  </si>
  <si>
    <t>Colorado State University</t>
  </si>
  <si>
    <t>Kater S.</t>
  </si>
  <si>
    <t>A TOPIC REVISITED: THE UNIQUE AND SHARED PROPERTIES OF NEURONAL GROWTH CONES THAT ENABLE NAVIGATION AND SPECIFIC PATHFINDING</t>
  </si>
  <si>
    <t>10.1163/156854293X00403</t>
  </si>
  <si>
    <t>2-s2.0-13144262519</t>
  </si>
  <si>
    <t>['¬© 1993', 'vlbi measurements', 'vla measurements', 'unpolarized radiation', 'total intensity', 'time scales', 'thus appears', 'tauri taken', 'tauri stars', 'tau resembles', 'sufficient sensitivity', 'stellar winds', 'simultaneous combination', 'sequence binary', 'rights reserved', 'radio emission', 'probable source', 'previously thought', 'previously documented', 'parallel failed', 'lower limit', 'large array', 'free radiation', 'circular polarization', 'array operating', '18 cm', '1 hr']</t>
  </si>
  <si>
    <t>Stars: formation | Stars: magnetic fields | Stars: pre-main-sequence radio continuum: stars</t>
  </si>
  <si>
    <t>The pre-main-sequence binary T Tauri was observed in 1991 September using a simultaneous combination of the Very Large Array (VLA) and a four-antenna Very Long Baseline Interferometry (VLBI) array operating at Œª = 18 cm. Strong circular polarization (25%-30%) was detected in the VLA measurements, and there was evidence for variations in both circular polarization V and total intensity / on time scales of 1 hr. VLBI measurements of T Tauri taken in parallel failed to detect any compact flux density, despite having sufficient sensitivity to measure fringe visibilities as faint as 15% of the total flux density from the source. If the radiation from T Tau resembles that from other stellar radio sources in circular polarization fraction n, the VLBI measurements imply a lower limit on the size of unpolarized radiation of ‚àº 1 AU or 70 stellar radii. The circular polarization and rapid flux variations indicate a significant nonthermal contribution in the radio emission from T Tau, previously thought to be solely thermal free-free radiation from stellar winds or inflows. Reanalysis of high-resolution 1983 VLA data implicates the protostar T Tau(S) as the probable source of the circular polarization. It thus appears to be the first protostar system to show nonthermal radio activity, previously documented to be present around weak-lined T Tauri stars (e.g., Phillips, Lonsdale, &amp; Feigelson 1991). ¬© 1993. The American Astronomical Society. All rights reserved.</t>
  </si>
  <si>
    <t>1 PART II</t>
  </si>
  <si>
    <t>0004637X</t>
  </si>
  <si>
    <t>Astrophysical Journal</t>
  </si>
  <si>
    <t>60015009-60001439;60015009;60015009</t>
  </si>
  <si>
    <t>24360834200;35357992400;7005914044</t>
  </si>
  <si>
    <t>Phillips, Robert B.;Lonsdale, Colin J.;Feigelson, Eric D.</t>
  </si>
  <si>
    <t>Westford;University Park</t>
  </si>
  <si>
    <t>MIT Haystack Observatory;Pennsylvania State University</t>
  </si>
  <si>
    <t>60015009;60001439</t>
  </si>
  <si>
    <t>Phillips R.</t>
  </si>
  <si>
    <t>Magnetic nonthermal activity in the T tauri system</t>
  </si>
  <si>
    <t>10.1086/186717</t>
  </si>
  <si>
    <t>2-s2.0-21144477203</t>
  </si>
  <si>
    <t>['¬© 1993', 'rights reserved', 'ra diation', 'form solutions', 'coodinates transfomation', 'conformal maping', 'characteristic parameters', 'biconical antenna']</t>
  </si>
  <si>
    <t>The methods of coodinates transfomation and conformal maping are applied to the problem of ra diation from a biconical antenna and V-conical an tenna with elliptic cross section. The infinite el liptic cone geometry can be transformed into two dimentions plane under the assumption of pure TEM spherical wave. The Closed-form solutions for the fields, currents, and characteristic parameters are obtained. ¬© 1993, Plenum Publishing Corporation. All rights reserved.</t>
  </si>
  <si>
    <t>117-128</t>
  </si>
  <si>
    <t>60005465;60005465;60005465</t>
  </si>
  <si>
    <t>7005006477;55276453500;57017555800</t>
  </si>
  <si>
    <t>Yuan, Naichang;Ruan, Chengli;Li, Weigan</t>
  </si>
  <si>
    <t>Yuan N.</t>
  </si>
  <si>
    <t>Biconical antenna and V-conical antenna with elliptic cross section</t>
  </si>
  <si>
    <t>10.1007/BF02274720</t>
  </si>
  <si>
    <t>2-s2.0-2342637017</t>
  </si>
  <si>
    <t>['¬© 1993', 'two high', 'tremendous potential', 'structural damping', 'step experiment', 'space structures', 'space environment', 'reflector deployment', 'phase c', 'phase b', 'paper describes', 'operational conditions', 'new class', 'nasa office', 'mature enough', 'low weight', 'low cost', 'hardware development', 'good potential', 'garde inc', 'garde concept', 'fiscal year', 'experiment approach', 'completely satisfying', 'based radar']</t>
  </si>
  <si>
    <t>Large deployable space antennas are needed to accommodate a number of applications that include mobile communications, earth observation radiometry, active microwave sensing, space-orbiting very long baseline interferometry, and Department of Defense (DoD) space-based radar. The criteria for evaluating candidate structural concepts for essentially all the applications is the same; high deployment reliability, low cost, low weight, low launch volume, and high aperture precision. A new class of space structures, called inflatable deployable structures, have tremendous potential for completely satisfying the first four criteria and good potential for accommodating the longer wavelength applications. An inflatable deployable antenna under development by L'Garde Inc. of Tustin, California, represents such a concept. Its level of technology is mature enough to support a meaningful orbital technology experiment. The NASA Office of Aeronautics and Space Technology initiated the In-Space Technology Experiments Program (IN-STEP) specifically to sponsor the verification and/or validation of unique and innovative space technologies in the space environment. The potential of the L'Garde concept has been recognized and resulted in its selection for an IN-STEP experiment. The objective of the experiment is to (a) validate the deployment of a 14-meter, inflatable parabolic reflector structure, (b) measure the reflector surface accuracy, and (c) investigate structural damping characteristics under operational conditions. The experiment approach will be to use the NASA Spartan Spacecraft to carry the experiment on orbit. Reflector deployment will be monitored by two high-resolution video cameras. Reflector surface quality will be measured with a digital imaging radiometer. Structural damping will be based on measuring the decay of reflector structure amplitude. The experiment is being managed by the Jet Propulsion Laboratory. The experiment definition phase (Phase B) will be completed by the end of fiscal year (FY) 1992; hardware development (Phase C/D) is expected to start by early FY 1993; and launch is scheduled for 1995. The paper describes the accomplishments to date and the approach for the remainder of the experiment. ¬© 1993.</t>
  </si>
  <si>
    <t>29-40</t>
  </si>
  <si>
    <t>Acta Astronautica</t>
  </si>
  <si>
    <t>60009037;60078226</t>
  </si>
  <si>
    <t>7007112166;6508100814</t>
  </si>
  <si>
    <t>Freeland, R. E.;Bilyeu, G.</t>
  </si>
  <si>
    <t>Tustin;Pasadena</t>
  </si>
  <si>
    <t>L'Garde, Inc.;Jet Propulsion Laboratory</t>
  </si>
  <si>
    <t>60078226;60009037</t>
  </si>
  <si>
    <t>Freeland R.</t>
  </si>
  <si>
    <t>In-step inflatable antenna experiment</t>
  </si>
  <si>
    <t>0094-5765(93)90098-H</t>
  </si>
  <si>
    <t>10.1016/0094-5765(93)90098-H</t>
  </si>
  <si>
    <t>2-s2.0-2442432181</t>
  </si>
  <si>
    <t>['wave oscillators', 'subtaarmonically injection', 'proposed approach', 'phase coherency', 'oscillating mixing', 'new approach', 'loop technique', 'locked phase', 'frequency detuning', 'experimental results', 'desired goal']</t>
  </si>
  <si>
    <t>A new approach for the design of optically synchronized millimeter-wave local oscillators based on a subtaarmonically injection-locked phase-lock-loop technique is introduced. The experimental results support the desired goal of frequency and phase coherency, phase shift control of millimeter-wave oscillators, and self-oscillating mixing to downconvert a millimeter-wave RF signal. Experimental results and theoretical analysis show the advantages of the proposed approach: larger locking range of two subharmonically locked oscillators, lower FM noise degradation, and smaller phase error caused by frequency detuning. ¬© 1993 IEEE</t>
  </si>
  <si>
    <t>998-1004</t>
  </si>
  <si>
    <t>60033252;60014662;60014662;60014662</t>
  </si>
  <si>
    <t>6603135951;55743249900;7410265743;7006552817</t>
  </si>
  <si>
    <t>Sturzebecher, Dana J.;Zhou, Xiangdong;Zhang, Xue Song;Daryoush, Afshin S.</t>
  </si>
  <si>
    <t>Adelphi;Philadelphia</t>
  </si>
  <si>
    <t>U.S. Army Research Laboratory;Drexel University</t>
  </si>
  <si>
    <t>60033252;60014662</t>
  </si>
  <si>
    <t>Sturzebecher D.</t>
  </si>
  <si>
    <t>Optically Controlled Oscillators for Millimeter-Wave Phased-Array Antennas</t>
  </si>
  <si>
    <t>10.1109/22.238515</t>
  </si>
  <si>
    <t>2-s2.0-28844446552</t>
  </si>
  <si>
    <t>['wave spectral', 'two configurations', 'second configuration', 'radiates linearly', 'domain method', 'analyzed numerically', '1 bandwidth']</t>
  </si>
  <si>
    <t>Two configurations of broadband microstrip antennas are proposed and analyzed numerically by the full-wave spectral-domain method. One is a square Archimedean spiral microstrip antenna which yields circular polarization; the second configuration is a log-periodic patch microstrip antenna, which radiates linearly. In this paper, the definition of bandwidth of an antenna is redefined and is based on both VSWR and radiation pattern behavior. A 25% bandwidth for a square Archimedean spiral microstrip antenna and a 2:1 bandwidth for a log-periodic patch microstrip antenna are achieved using electrically thick (1/8Œª to 1/4Œª) substrates. ¬© 1993 VSP.</t>
  </si>
  <si>
    <t>123-146</t>
  </si>
  <si>
    <t>60022904;60027550</t>
  </si>
  <si>
    <t>56161418400;7004468161</t>
  </si>
  <si>
    <t>Wu, S. C.;Alexopoulos, N. G.</t>
  </si>
  <si>
    <t>Los Angeles;Newark</t>
  </si>
  <si>
    <t>University of California, Los Angeles;New Jersey Institute of Technology</t>
  </si>
  <si>
    <t>60027550;60022904</t>
  </si>
  <si>
    <t>Wu S.</t>
  </si>
  <si>
    <t>Broadband Microstrip Antennas on Electrically Thick Substrates</t>
  </si>
  <si>
    <t>10.1163/156939393X01100</t>
  </si>
  <si>
    <t>2-s2.0-3342970999</t>
  </si>
  <si>
    <t>['using simulation', 'used criterion', 'reference signal', 'radiomobile communications', 'performance study', 'paper describes', 'multivath correction', 'learning sequence', 'jammers cancelling', 'generated using', 'experimental results', 'digitally implemented', 'digital receiver', 'demodulator results', 'adaptive filter']</t>
  </si>
  <si>
    <t>Adaptive antenna | Adaptive filter | Antenna array | Digital transmission | Mobile radiocommunication | Multipath propagation | Receiver | Signal interference</t>
  </si>
  <si>
    <t>This paper describes a digital receiver for radiomobile communications. The adaptive filter is a purely spatial filter. The used criterion is the minimisation of a mean square error between the array output signal and a reference signal. The reference signal is generated using the demodulator results. No learning sequence is required. The algorithm is digitally implemented and it uses a direct matrix inversion algorithm. The performance study, using simulation and experimental results, shows tracking properties, jammers cancelling and multivath correction. ¬© 1993 Springer-Verlag.</t>
  </si>
  <si>
    <t>35-46</t>
  </si>
  <si>
    <t>Annales Des T√©l√©communications</t>
  </si>
  <si>
    <t>6602895840;6508075914;7004537102</t>
  </si>
  <si>
    <t>Diouris, Jean Fran√ßois;Feuvrie, Bruno;Saillard, Joseph</t>
  </si>
  <si>
    <t>Diouris J.F.</t>
  </si>
  <si>
    <t>Adaptive multisensor receiver for mobile communications</t>
  </si>
  <si>
    <t>10.1007/BF03005230</t>
  </si>
  <si>
    <t>2-s2.0-33646903228</t>
  </si>
  <si>
    <t>['wind velocity', 'theoretical problem', 'surface state', 'spectrum parameters', 'simultaneous contributions', 'sea surface', 'radar velocity', 'field spectrum', 'beam angle']</t>
  </si>
  <si>
    <t>The theoretical problem of the spectrum of a microwave radar signal reflected from the sea surface is examined with allowance for the simultaneous contributions of two scattering mechanisms - reflective and Bragg. The characteristics of the scattered-field spectrum are studied as functions of wind velocity, radar-beam angle of incidence, radar velocity, and antenna beam width. The results indicate high sensitivity of the spectrum parameters to changes in the sea-surface state. ¬© 1994 Plenum Publishing Corporation.</t>
  </si>
  <si>
    <t>Radiophysics and Quantum Electronics</t>
  </si>
  <si>
    <t>6602757326;35606391400</t>
  </si>
  <si>
    <t>Kanevskii, M. B.;Karaev, V. Yu</t>
  </si>
  <si>
    <t>Kanevskii M.B.</t>
  </si>
  <si>
    <t>Spectrum of radar signal reflected from sea surface</t>
  </si>
  <si>
    <t>10.1007/BF01047185</t>
  </si>
  <si>
    <t>2-s2.0-33747944833</t>
  </si>
  <si>
    <t>['¬© 1993', 'surface probing', 'rights reserved', 'potential applications', 'low loss', 'lossy half', 'high frequency', 'geophysical sub', 'deteriorates otherwise', 'annular slots']</t>
  </si>
  <si>
    <t>Focusing the electromagnetic fields within a lossy half-space is analyzed for a symmetrical annular slotted antenna array. The excitation for focusing the vertical electric field component is specified. Both phase and amplitude compensated focusing results are shown. The focusing is very sharp for high frequency and/or low loss and it deteriorates otherwise. Also, focusing becomes sharper as the number of annular slots is increased. Amplitude compensated focusing is shown to be more tolerant to loss than pure phase focusing. Potential applications are to hyperthermic cancer therapy and to geophysical sub-surface probing. ¬© 1993, VSP. All rights reserved.</t>
  </si>
  <si>
    <t>345-353</t>
  </si>
  <si>
    <t>Nabulsi, K.;Wait, J. R.</t>
  </si>
  <si>
    <t>Focusing into a Lossy Medium From an Annular Slot Array</t>
  </si>
  <si>
    <t>10.1163/156939393X00697</t>
  </si>
  <si>
    <t>2-s2.0-33748036566</t>
  </si>
  <si>
    <t>87-89</t>
  </si>
  <si>
    <t>Measurement Techniques</t>
  </si>
  <si>
    <t>Rumyantsev, R. I.</t>
  </si>
  <si>
    <t>Rumyantsev R.</t>
  </si>
  <si>
    <t>Enclosure for antenna measurements over an expanded frequency range</t>
  </si>
  <si>
    <t>10.1007/BF00986184</t>
  </si>
  <si>
    <t>2-s2.0-34250077516</t>
  </si>
  <si>
    <t>['¬© 1993', 'timely actions', 'planning processes', 'new products', 'new product', 'might need', 'market research', 'higher value', 'experience helps', 'especially since', 'encourage innovative', 'driven process', 'collaborative ways', 'better translated', 'better decide', 'antenna shops', 'added resource']</t>
  </si>
  <si>
    <t>Customers frequently need assistance in knowing what they want or might need, especially since they are unaware of the array of new products that are still in the R &amp; D labs. If they could 'see it and experience it', customers could then better decide if they needed the new product. Thus, creating the experience helps to create the need. Towards this end, technical-market research is an innovative, technology-driven process to understand the mind of the consumer, so that the voice of the customer can be better translated into new products by designers, engineers, and marketers. The use of planning processes such as technical-market research and 'antenna shops' encourage innovative, collaborative ways for R &amp; D organizations to become a higher value-added resource in the customer satisfaction process, resulting in more timely actions with fewer 'false starts'. ¬© 1993.</t>
  </si>
  <si>
    <t>78-82</t>
  </si>
  <si>
    <t>Long Range Planning</t>
  </si>
  <si>
    <t>Lauglaug, Antonio S.</t>
  </si>
  <si>
    <t>Akron</t>
  </si>
  <si>
    <t>Diamond Rubber Co.</t>
  </si>
  <si>
    <t>Lauglaug A.</t>
  </si>
  <si>
    <t>Technical-market research-Get customers to collaborate in developing products</t>
  </si>
  <si>
    <t>0024-6301(93)90138-6</t>
  </si>
  <si>
    <t>10.1016/0024-6301(93)90138-6</t>
  </si>
  <si>
    <t>2-s2.0-3543116677</t>
  </si>
  <si>
    <t>['¬© 1993', 'time evolution', 'term recurrence', 'symmetric three', 'radiation patterns', 'power spectrum', 'orthogonal polynomials', 'linear operator', 'linear combinations', 'initial fields', 'gaussian pulse', 'formal solution', 'equations may', 'electromagnetic field', 'continued fraction', 'basis fields', 'applied numerically', 'analytic three']</t>
  </si>
  <si>
    <t>The formal solution of Maxwell's equations may be written as the exponential of a linear operator, the Maxwellian, which generates the time evolution of the electromagnetic field. Given initial fields for a system which conserves electromagnetic energy, the Maxwellian can be transformed to a symmetric three-term recurrence relation or a symmetric tridiagonal matrix whose basis is a sequence of linearly independent fields. The power spectrum of this recurrence is the spectrum of a continued fraction, and the stationary electromagnetic waves, whose superposition gives the initial fields, are linear combinations of products of orthogonal polynomials in frequency with the basis fields. As an example, an initial field consisting of a Gaussian pulse from an electric dipole leads to an analytic three-term recurrence with a two-peaked power spectrum. The method can also be applied numerically to calculate the radiation patterns of antennas and, when generalized, to systems where the electromagnetic field exchanges energy with other degrees of freedom. ¬© 1993 The American Physical Society.</t>
  </si>
  <si>
    <t>2172-2177</t>
  </si>
  <si>
    <t>1063651X</t>
  </si>
  <si>
    <t>Physical Review E</t>
  </si>
  <si>
    <t>Haydock, Roger</t>
  </si>
  <si>
    <t>Eugene</t>
  </si>
  <si>
    <t>University of Oregon</t>
  </si>
  <si>
    <t>Haydock R.</t>
  </si>
  <si>
    <t>Recursive solution of Maxwell's equations</t>
  </si>
  <si>
    <t>10.1103/PhysRevE.48.2172</t>
  </si>
  <si>
    <t>2-s2.0-35949007367</t>
  </si>
  <si>
    <t>['zeroth order', 'velocity across', 'time evolution', 'stored instantaneously', 'scaling laws', 'results indicate', 'radiation field', 'quantitative results', 'polarization field', 'plasma momentum', 'plasma cloud', 'normal mode', 'model treats', 'frequencies defined', 'formed instantaneously', 'electromagnetic waves', 'dynamics associated', 'dimensional model', 'companion manuscript']</t>
  </si>
  <si>
    <t>The early-time evolution of plasmas moving across a background magnetic field is addressed with a two-dimensional model in which a plasma cloud is assumed to have formed instantaneously with a velocity across a uniform background magnetic field and with a Gaussian density profile in the two dimensions perpendicular to the direction of motion. This model treats both the dynamics associated with the formation of a polarization field and the generation and propagation of electromagnetic waves. In general, the results indicate that, to zeroth order, the plasma cloud behaves like a large dipole antenna oriented in the direction of the polarization field which oscillates at frequencies defined by the normal mode of the system. The magnitude of the radiation field and the amount of plasma momentum and energy carried away by and stored instantaneously in the fields are discussed only qualitatively in this paper, quantitative results for specific cloud parameters and scaling laws for the magnitude of the fields and the slowing down of the plasma cloud are presented in a companion manuscript. ¬© 1993 American Institute of Physics.</t>
  </si>
  <si>
    <t>1289-1305</t>
  </si>
  <si>
    <t>60006164;60025778</t>
  </si>
  <si>
    <t>7004099607;57202842126</t>
  </si>
  <si>
    <t>Roussel-Dupr√©, Robert;Miller, Ronald H.</t>
  </si>
  <si>
    <t>Ann Arbor;Los Alamos</t>
  </si>
  <si>
    <t>University of Michigan, Ann Arbor;Los Alamos National Laboratory</t>
  </si>
  <si>
    <t>60025778;60006164</t>
  </si>
  <si>
    <t>Roussel-Dupr√© R.</t>
  </si>
  <si>
    <t>Radiative properties of a plasma moving across a magnetic field. I: Theoretical analysis</t>
  </si>
  <si>
    <t>10.1063/1.860920</t>
  </si>
  <si>
    <t>2-s2.0-36449000942</t>
  </si>
  <si>
    <t>['useful tool', 'transit time', 'sol induced', 'sol density', 'sol ).', 'sheared flow', 'rapid enough', 'power heating', 'plasma separation', 'phasing dependence', 'monopole phasing', 'mode data', 'jet h', 'heat deposition', 'h mode', 'good candidate', 'fusion technol', 'energy across', 'driven convection', 'drive steady', 'confined plasma', 'antenna sheaths', 'antenna limiters', '1987 )].']</t>
  </si>
  <si>
    <t>It is shown that radio-frequency (rf) antenna sheaths can bias the edge plasma potential and drive steady-state convective cells in the scrape-off layer (SOL). The resulting EXB convective flow opposes the direction of the sheared flow in the SOL induced by the radially decaying Bohm sheath potential. A two-dimensional fluid simulation shows that the interaction of the opposing poloidal flows produces secondary vortices, which connect the edge of the confined plasma to the antenna limiters, when the antenna-plasma separation is typically of order a few times the local electron skin depth at the antenna. Estimates for typical tokamak edge parameters suggest that the transit time of particles and energy across these vortices is rapid enough to cause the broadening of SOL density and temperature profiles observed during high-power heating with ion cyclotron range of frequency (ICRF) antennas in monopole phasing. Radio-frequency-sheath-driven convection is also a good candidate to explain the phasing dependence of the global confinement properties of ICRF H modes on the Joint European Torus (JET) [Fusion Technol. 11, 13 (1987)]. A comparison of the JET H-mode data with the theoretical modeling supports this idea and suggests that ICRF convection may be a useful tool to spread the heat deposition in the divertor and to extend the lifetime of the H mode. ¬© 1993 American Institute of Physics.</t>
  </si>
  <si>
    <t>3603-3617</t>
  </si>
  <si>
    <t>60026358;60026358;60025104;60025104</t>
  </si>
  <si>
    <t>7004011751;7004139188;7005524697;57212335886</t>
  </si>
  <si>
    <t>D'Ippolito, D. A.;Myra, J. R.;Jacquinot, J.;Bures, M.</t>
  </si>
  <si>
    <t>United States;United Kingdom</t>
  </si>
  <si>
    <t>Boulder;</t>
  </si>
  <si>
    <t>Lodestar Research Corporation;EFDA-JET</t>
  </si>
  <si>
    <t>60026358;60025104</t>
  </si>
  <si>
    <t>D'Ippolito D.</t>
  </si>
  <si>
    <t>Radio-frequency-sheath-driven edge plasma convection and interaction with the H mode</t>
  </si>
  <si>
    <t>10.1063/1.860832</t>
  </si>
  <si>
    <t>2-s2.0-36449005583</t>
  </si>
  <si>
    <t>['two techniques', 'suppressing interference', 'recent evaluations', 'interuser interference', 'diversity combining', 'counteracting multipath', 'arbitrary number']</t>
  </si>
  <si>
    <t>We survey recent advances in equalization and diversity combining for counteracting multipath and interuser interference in digital portable wireless systems. These two techniques are complementary, and, given sufficient excess bandwidth and/or number of receiving antenna array elements, they can eliminate interference among an arbitrary number of interfering users‚Ä≤ signals. Recent evaluations of adaptive decision feedback equalizers applied to suppressing interference in TDMA and CDMA radio systems are summarized. ¬© 1993 Academic Press, Inc.</t>
  </si>
  <si>
    <t>148-162</t>
  </si>
  <si>
    <t>Digital Signal Processing</t>
  </si>
  <si>
    <t>60017592;60017592;60017592;60017592;60017592</t>
  </si>
  <si>
    <t>7102893730;6602213365;7005817310;7201499604;57218945302</t>
  </si>
  <si>
    <t>Falconer, D. D.;Abdulrahman, M.;Lo, N. W.K.;Petersen, B. R.;Sheikh, A. U.H.</t>
  </si>
  <si>
    <t>Carleton University</t>
  </si>
  <si>
    <t>Falconer D.D.</t>
  </si>
  <si>
    <t>Advances in equalization and diversity for portable wireless systems</t>
  </si>
  <si>
    <t>S1051200483710213</t>
  </si>
  <si>
    <t>10.1006/dspr.1993.1021</t>
  </si>
  <si>
    <t>2-s2.0-38248999022</t>
  </si>
  <si>
    <t>['¬© 1993', 'west dimensions', 'vlf transmitter', 'vlf holography', 'transform properties', 'south dimensions', 'small lies', 'single night', 'simultaneous trimpis', 'simplest model', 'simple form', 'scattering inversion', 'path dimensions', 'night occurred', 'night could', 'multiple lies', 'multiduct whistlers', 'lie size', 'km array', 'inversion process', 'inverse scattering', 'individual cases', 'great circle', 'geometric optics', 'full range', 'five elements', 'fine structure', 'extreme models', 'element array', 'butterworth lies', 'assumed model', '8 km', '550 km', '3 khz', '250 km', '2000 km']</t>
  </si>
  <si>
    <t>A 600-km array of five Trimpi receivers ("elements") has been set up in New Zealand broadside to the VLF (22.3 kHz) transmitter, NWC, some 6000 km west, with element separations varying from 8 km to 550 km. Although such a five-element array is inadequate for imaging of lightning-induced ionisation enhancements (LIEs) by VLF holography, or inverse scattering, estimates of LIE size and location can be made if the shape and form of the LIE can be guessed or assumed, with even fewer elements. With five elements, tests of the assumed model can be made as well. Owing to its transform properties, the simplest model to use for scattering inversion is the Gaussian LIE distribution. For this model, and for single mode propagation, an inversion process is derived here for the full range of LIE and path dimensions, ranging from those for which the receiver is in the diffraction far field to those in which "geometric optics" dominate. This inversion process has some validity for small LIEs of other shapes of simple form. For more extreme models, the dominance of geometry or diffraction can usually be established in individual cases which then allows simple scaling procedures to be used in scattering inversion. Some 70 Trimpi events were observed on all five elements during a single night in July. 1991 (late winter). These were used to determine LIE location and size, and to test the applicability of various LIE models. It was found that most LIEs that night occurred over the Tasman Sea near the great circle from the VLF transmitter, NWC, to Wellington, generally some 500 to 2000 km from Wellington, and with north-south dimensions of 100-250 km. Much longer east-west dimensions (oriented towards NWC) are suggested to account for the very strong Trimpis observed. While about half of these LIEs that night could have had a smooth lateral spread (e.g., Gaussian), the remainder required varying degrees of fine structure, from "flat" or Butterworth LIEs to multiple LIEs as might be expected from multiduct whistlers, to explain the observed diffraction pattern exhibiting maxima and minima as well as the wide angular range over which simultaneous Trimpis were observed. ¬© 1993.</t>
  </si>
  <si>
    <t>1335-1359</t>
  </si>
  <si>
    <t>60017695;60017695</t>
  </si>
  <si>
    <t>7004520441;24292788200</t>
  </si>
  <si>
    <t>Dowden, R. L.;Adams, C. D.D.</t>
  </si>
  <si>
    <t>Gottingen</t>
  </si>
  <si>
    <t>Max Planck Institute for Solar System Research</t>
  </si>
  <si>
    <t>Dowden R.L.</t>
  </si>
  <si>
    <t>Size and location of lightning-induced ionisation enhancements from measurement of VLF phase and amplitude perturbations on multiple antennas</t>
  </si>
  <si>
    <t>10.1016/0021-9169(93)90102-5</t>
  </si>
  <si>
    <t>2-s2.0-38249000361</t>
  </si>
  <si>
    <t>['¬© 1993', 'ventral surface', 'stained positive', 'soluble esterase', 'smooth cuticle', 'sites outside', 'sectioned antennae', 'related increases', 'produced initially', 'pore tubules', 'pit fields', 'olfactory sensilla', 'olfactory processes', 'males may', 'male beetles', 'male antennae', 'like depressions', 'histochemical studies', 'female antennae', 'esterase activity', 'dermal glands', 'decyl propanoate', 'cup sensilla', 'chrysomclidae ).', 'biological significance', 'associated glands']</t>
  </si>
  <si>
    <t>epidermal glands | Olfaction | pore tubules</t>
  </si>
  <si>
    <t>Morphological and histochemical studies were performed on the flagellar antennal segments of adult Diabrotica virgifera virgifera LeConte (Coleoptera : Chrysomclidae). The work was part of a program to investigate the biological significance of a soluble esterase (Est-a) found only in the antennae. Est-a was known to be produced initially it the distal flagellar segments and age-related increases in concentration have been recorded in male beetles in comparison to females. The ventral surface of the 5 distal segments of male antennae possess a field of raised, smooth cuticle having pit-like depressions. The pits contain unusual cup-shaped sensilla abundantly supplied with pore tubules, typical of those associated with olfactory processes in other species. The epicuticle of the cur) sensilla is thin but lacks the pores commonly found in olfactory sensilla. The duct of at least one dermal gland opens into each pit. When sectioned antennae were stained fcr general esterase activity, it was the cells of the dermal glands that stained positive. The pit fields are unique to males. However, cup sensilla and dermal glands with esterase activity are present on female antennae and at sites outside the pit fields on male antennae. Circumstantial evidence suggests that the observed sensillum type functions in olfaction. The sensilla and associated glands in the pit fields of males may be involved in detection of the female-produced sex pheromone, 8-methyl-2-decyl propanoate. ¬© 1993.</t>
  </si>
  <si>
    <t>535-547</t>
  </si>
  <si>
    <t>International Journal of Insect Morphology and Embryology</t>
  </si>
  <si>
    <t>60032280;60032280;60032280</t>
  </si>
  <si>
    <t>7402544470;57197057861;24304411100</t>
  </si>
  <si>
    <t>Newman, Samuel M.;McDonald, Ian C.;Triebold, Beverly</t>
  </si>
  <si>
    <t>United States Department of Agriculture</t>
  </si>
  <si>
    <t>Newman S.</t>
  </si>
  <si>
    <t>Antennal sexual dimorphism in Diabrotica virgifera virgifera (Le Conte) (Coleoptera : Chrysomelidae): Male specific structures, ultrastructure of a unique sensillum, and sites of esterase activity</t>
  </si>
  <si>
    <t>0020-7322(93)90039-4</t>
  </si>
  <si>
    <t>10.1016/0020-7322(93)90039-4</t>
  </si>
  <si>
    <t>2-s2.0-38249000473</t>
  </si>
  <si>
    <t>['¬© 1993', 'three compounds', 'take place', 'synthetic samples', 'subsequently converted', 'pheromone pool', 'male antennae', 'immediate precursor', 'gastropacha quercifolia', 'ester 3', 'electrophysiological activity', 'earlier stage', 'dodecenol 2', 'dodecenoate 3', 'dodecenal 1', 'dodecanoic acid', 'direct desaturation', 'components 1']</t>
  </si>
  <si>
    <t>(Z)-5-dodecenal | (Z)-5-dodecenoate | (Z)-5-dodecenol (Z)-5-dodecenyl | Final steps of biosynthesis | Gastropacha quercifolia | Sex pheromone</t>
  </si>
  <si>
    <t>The major volatile constituents in the sex pheromone gland of females of Gastropacha quercifolia (Lepidoptera: Lasiocampidae) were identified as (Z)-5-Dodecenal 1, (Z)-5-dodecenol 2 and (Z)-5-dodecenyl(Z)-5-dodecenoate 3. Synthetic samples of the first two compounds 1 and 2 were able to evoke strong electroantennographic responses from male antennae, however, no electrophysiological activity was found for the ester 3. The final steps involved in the biosynthesis of the three compounds were investigated using deuterated biosynthesis intermediates. (Z)-5-Dodecenoic acid 14 was established as the immediate precursor of (Z)-5-dodecenol 2 which is subsequently converted to the (Z)-5-dodecenal 1. Since a direct desaturation of dodecanoic acid was not observed, the introduction of the double bond appears to take place at an earlier stage of biosynthesis. No evidence was found that the ester 3 might serve as a pheromone pool from which the components 1 and 2 can be derived; on the other hand, (Z)-5-dodecenol and (Z)-5-dodecenoic acid served as the bioprecursors of the ester 3. ¬© 1993.</t>
  </si>
  <si>
    <t>793-799</t>
  </si>
  <si>
    <t>60000765;60000765;60000765;60000765;60000765;60000765;60000765;60000765</t>
  </si>
  <si>
    <t>7006503853;7004511995;6602598266;7101671059;6602973273;7102526674;7003507540;6603473253</t>
  </si>
  <si>
    <t>Bestmann, H. J.;Attygalle, A. B.;Garbe, W.;Kern, F.;Martichonok, V.;Sch√§fer, D.;Vostrowsky, O.;Hasenfu√ü, I.</t>
  </si>
  <si>
    <t>Bestmann H.</t>
  </si>
  <si>
    <t>Chemical structure and final steps of biosynthesis of the female sex pheromone of Gastropacha quercifolia (Lepidoptera: Lasiocampidae)</t>
  </si>
  <si>
    <t>0965-1748(93)90067-3</t>
  </si>
  <si>
    <t>10.1016/0965-1748(93)90067-3</t>
  </si>
  <si>
    <t>2-s2.0-38249001133</t>
  </si>
  <si>
    <t>['¬© 1993', 'west quadrants', 'third experiment', 'thin layers', 'significant fraction', 'scatter observations', 'region thin', 'region densities', 'one example', 'magnetic north', 'lower altitudes', 'layers occurring', 'layer altitude', 'higher altitudes', 'fields directed', 'field direction', 'electric field', 'directed vertically', 'composition estimate', 'august 1991', 'august 1990', 'also observed', '4 h', '3 km', '200 km', '16 nights', '100 km']</t>
  </si>
  <si>
    <t>High resolution incoherent-scatter observations of E-region thin (1-3 km) metallic ion layers are presented. Data were collected during three different periods from August 1990 to August 1991, in three different experimental modes. First, the antenna was directed vertically and the entire duty cycle was devoted to Barker coded multi-pulse [Zamlutti (1980) J. atmos. terr. Phys. 42, 975-982] measurements to determine the densities and temperatures in the E-region with 300 m resolution. The second experiment measured the F-region electric field as well as the high resolution E-region densities. For the third experiment the antenna was scanned magnetic north-south while only the E-region densities were measured. The experiments were carried out on 16 different nights for a period of 4 h each night at a time near magnetic midnight. Thin ionization layers were observed on 12 of the 16 nights. The first experiment demonstrated that the thin layers are composed of a significant fraction of heavy metallic ions; assuming the layers are composed of a mixture of Fe+ and Mg+ a composition estimate of 63% Fe+ was obtained in one example. The second experiment investigated the relationship between the direction of the electric field and the presence of the thin layers. In these observations thin layers were only present when the electric field was pointed in the magnetic north-west or south-west quadrants, most frequently when the field was near magnetic west. Correlation between layer altitude and field direction was also observed, layers occurring at higher altitudes for fields directed in the north-west, and lower altitudes for fields directed to the south-west. The observations are compatible with the electric field mechanism for thin ionization layer formation. The scanning experiment showed that the layers were of a limited latitudinal extent, typically about 100 km up to a maximum of about 200 km. ¬© 1993.</t>
  </si>
  <si>
    <t>60011976;60011976</t>
  </si>
  <si>
    <t>6507121556;7101768791</t>
  </si>
  <si>
    <t>Bristow, W. A.;Watkins, B. J.</t>
  </si>
  <si>
    <t>Fairbanks</t>
  </si>
  <si>
    <t>University of Alaska Fairbanks</t>
  </si>
  <si>
    <t>Bristow W.</t>
  </si>
  <si>
    <t>Incoherent scatter observations of thin ionization layers at Sondrestrom</t>
  </si>
  <si>
    <t>002191699390028W</t>
  </si>
  <si>
    <t>10.1016/0021-9169(93)90028-W</t>
  </si>
  <si>
    <t>2-s2.0-38249002714</t>
  </si>
  <si>
    <t>['¬© 1993', 'volatile emission', 'various mixtures', 'various concentrations', 'tuned specialists', 'trichoplusia ni', 'three types', 'responds predominantly', 'one compound', 'one component', 'neuron responds', 'mixture interaction', 'highly selective', 'found downwind', 'female effluvium', 'compounds within', 'cabbage looper', 'ac concentrations']</t>
  </si>
  <si>
    <t>Antenna | Behavior | Cabbage looper | Discrimination | Electrophysiology | Single cell responses</t>
  </si>
  <si>
    <t>Three types of sensilla on the antenna of Trichoplusia ni (H√ºbner) each house an olfactory receptor neuron that responds predominantly to only one component of the virgin female volatile effluvium. The HS(a) neuron responds to Z7-12:Ac at concentrations above 1 √ó 10-15 M; the LS(b) neuron to Z7-14:Ac concentrations above 1 √ó 10-15 M; the NS(a) neuron to Z9-14:Ac concentrations above 1 √ó 10-18M. The sensitivity and selectivity of each of these neurons to all of the other compounds in the volatile female effluvium was investigated at various concentrations. At concentrations that correspond with those found downwind of a virgin "calling" female each of these neurons was highly selective for only one compound. Each responded to all of the other compounds at concentrations that exceeded the normal emission level of the female. The pheromone receptor neurons of the cabbage looper are, therefore, concentration-tuned specialists. Assays of various mixtures and the volatile emission of an excised female sex pheromone gland show that the response of the HS(a) specialist neuron reflects only the concentration of Z7-12:Ac, supporting a hypothesis that there is no mixture interaction with the other compounds within the female effluvium. ¬© 1993.</t>
  </si>
  <si>
    <t>401-412</t>
  </si>
  <si>
    <t>Mayer, M. S.</t>
  </si>
  <si>
    <t>Gainesville</t>
  </si>
  <si>
    <t>USDA Agricultural Research Service, Gainesville</t>
  </si>
  <si>
    <t>Mayer M.</t>
  </si>
  <si>
    <t>Responses of three antennal specialist neurons of male Trichoplusia ni (H√ºbner) to sex pheromone components at and above naturally emitted levels</t>
  </si>
  <si>
    <t>0022-1910(93)90028-P</t>
  </si>
  <si>
    <t>10.1016/0022-1910(93)90028-P</t>
  </si>
  <si>
    <t>2-s2.0-38249004021</t>
  </si>
  <si>
    <t>['‚ äêinvestigation', 'supposed segmentation', 'special attention', 'schematic diagrams', 'relationships within', 'quite contradictory', 'present paper', 'polychaete families', 'polychaete brain', 'phylogenetic instrument', 'nervous system', 'nereis pelagica', 'nereid brain', 'neanthes virens', 'inter alia', 'detailed comparisons', 'cyclomer theory', 'corresponding observations', 'conclusions concerning', 'brain commissures']</t>
  </si>
  <si>
    <t>Abstract Earlier papers dealing with the microanatomy of the nereid brain have been studied. On this basis a re‚Äêinvestigation of the cephalic nervous system and of the innervation and homologues of the anterior end appendages of these animals appeared necessary: the existing literature proved insufficient for detailed comparisons with other polychaete families and many earlier statements were quite contradictory. In the present paper, the brain commissures and the innervation of, inter alia, the antennae and the palps of Neanthes virens and Nereis pelagica are described. Special attention was paid to the roots of the circum‚Äêoesophageal connectives and the ganglia in this part of the nervous system. The results, summarized in schematic diagrams and tables, are compared with corresponding observations in 14 other polychaete families. In a discussion of the architecture of the polychaete nervous system as a phylogenetic instrument, the supposed segmentation of the polychaete brain is questioned and the idea that the configuration of the polychaete nervous system offers support to the cyclomer theory is rejected. Other conclusions concerning the relationships within the Polychaeta are pointed out. 1993 The Royal Swedish Academy of Sciences</t>
  </si>
  <si>
    <t>145-172</t>
  </si>
  <si>
    <t>Acta Zoologica</t>
  </si>
  <si>
    <t>Orrhage, Lars</t>
  </si>
  <si>
    <t>G√∂teborgs Universitet</t>
  </si>
  <si>
    <t>Orrhage L.</t>
  </si>
  <si>
    <t>On the Microanatomy of the Cephalic Nervous System of Nereidae (Polychaeta), with a Preliminary Discussion of Some Earlier Theories on the Segmentation of the Polychaete Brain</t>
  </si>
  <si>
    <t>10.1111/j.1463-6395.1993.tb01231.x</t>
  </si>
  <si>
    <t>2-s2.0-38249004584</t>
  </si>
  <si>
    <t>['¬© 1993', 'water ).', 'vigna sinensis', 'stimuli detected', 'sexta larvae', 'results show', 'requires inputs', 'normal level', 'need varies', 'maxillary palps', 'lycopersicon esculentum', 'leaf discs', 'larvae reared', 'information mediated', 'host plant', 'food discrimination', 'first time', 'feeding responses', 'feeding response', 'epipharyngeal sensilla', 'differentially affected', 'different types', 'dietary experience', 'decrease ).', 'acceptable non']</t>
  </si>
  <si>
    <t>Chemosensory organs | Food plants | Food preference | Induction of preference | Information processing | Sensory ablations</t>
  </si>
  <si>
    <t>The complement of chemosensory organs required for food discrimination was examined using larvae whose food preferences were differentially affected by rearing on either the host plant, Lycopersicon esculentum, or the acceptable non-host plant, Vigna sinensis. Larvae having different types of chemosensory organs remaining after microsurgery were given a choice between leaf discs of V. sinensis and wetted filter paper discs (water). Information mediated by the lateral maxillary sensilla styloconica is necessary to detect the feeding deterrent properties of V. sinensis by larvae reared on L. esculentum. In contrast, larvae reared on V. sinensis are stimulated to eat this plant, which requires inputs from both the antennae and the maxillary palps. Although the remaining chemosensory organs also mediate food selection, their contribution to a normal level of food selection could not be demonstrated. Thus, feeding responses to V. sinensis require information from only a subset of the available chemosensory organs. This need varies with the dietary experience of the larvae. The same subset is required to mediate a diet-induced food preference when larvae are given a choice between L. esculentum and V. sinensis. These results show for the first time that the antennae and the maxillary palps can be more important in mediating food selection by M. sexta larvae than the maxillary sensilla styloconica and the epipharyngeal sensilla. The dominance of certain chemosensory organs over others in mediating food selection suggests perception of stimuli carrying weighting factors of substantially different strength. The switch in feeding response to V. sinensis from deterrent (by larvae reared on L. esculentum) to stimulatory (by larvae reared on V. sinensis) seems to be due to changes in weighting factors assigned to stimuli detected by (1) the antennae (increase) and (2) the maxillary palps (increase) and/or the lateral maxillary sensilla styloconica (decrease). The results do not support linear processing of chemosensory inputs underlying feeding responses to V. sinensis. ¬© 1993.</t>
  </si>
  <si>
    <t>17-24</t>
  </si>
  <si>
    <t>De Boer, Gerrit</t>
  </si>
  <si>
    <t>De Boer G.</t>
  </si>
  <si>
    <t>Plasticity in food preference and diet-induced differential weighting of chemosensory information in larval Manduca sexta</t>
  </si>
  <si>
    <t>0022-1910(93)90013-H</t>
  </si>
  <si>
    <t>10.1016/0022-1910(93)90013-H</t>
  </si>
  <si>
    <t>2-s2.0-38249006695</t>
  </si>
  <si>
    <t>['subsequently damped', 'sawtooth activity', 'plasma phys', 'numerical modeling', 'loop voltage', 'fusion technol', 'electron heating', '7œ ©', '2 mhz', '1991 )].']</t>
  </si>
  <si>
    <t>Heating in the Alfv√©n resonant regime has been demonstrated in the Phaedrus-T tokamak [Fusion Technol. 19, 1327 (1991)]. Electron heating during injection of radio-frequency (rf) power is indicated by a 30%-40% drop in loop voltage and modifications in sawtooth activity. Heating was observed at a frequency œârf‚âà0.7Œ©i on axis, using a two-strap fast wave antenna operated at 7 and 9.2 MHz with 180¬∞ phasing (N‚à• ‚àº 100). Numerical modeling with the fast wave code FASTWA [Plasma Phys. Controlled Fusion 33, 417 (1991)] indicates that for Phaedrus-T parameters the kinetic Alfv√©n wave is excited via mode conversion from a surface fast wave at the Alfv√©n resonance and is subsequently damped on electrons. ¬© 1993 American Institute of Physics.</t>
  </si>
  <si>
    <t>2506-2512</t>
  </si>
  <si>
    <t>60032179-60018020;60032179;60032179;60032179;60032179;60032179;60032179;60032179;60032179;60032179;60032179;60032179;60032179;60032179;60032179;60032179;60032179;60032179;60032179;60032179;60032179;60032179;60032179</t>
  </si>
  <si>
    <t>35356029400;7007030753;7005437737;7003953563;6603739347;35555062500;23014342800;6602976013;6602677244;22960480100;7005006972;7006072211;23015228400;7003268380;35350555300;56292944800;6507803896;7003819700;22972707700;36093309600;56164756600;7003907330;6508325899</t>
  </si>
  <si>
    <t>Majeski, R.;Probert, P.;Moroz, P.;Intrator, T.;Breun, R.;Brouchous, D.;Che, H. Y.;DeKock, J. R.;Diebold, D.;Doczy, M.;Fonck, R.;Hershkowitz, N.;Johnson, R. D.;Kishinevsky, M.;McKee, G.;Meyer, J.;Nonn, P.;Oliva, S. P.;Pew, J.;Sorensen, J.;Tanaka, T.;Vukovic, M.;Winz, G.</t>
  </si>
  <si>
    <t>Madison;Princeton</t>
  </si>
  <si>
    <t>University of Wisconsin-Madison;Princeton Plasma Physics Laboratory</t>
  </si>
  <si>
    <t>60032179;60018020</t>
  </si>
  <si>
    <t>Majeski R.</t>
  </si>
  <si>
    <t>Alfv√©n wave experiments in the Phaedrus-T tokamak</t>
  </si>
  <si>
    <t>10.1063/1.860736</t>
  </si>
  <si>
    <t>2-s2.0-4043173914</t>
  </si>
  <si>
    <t>['¬© 1993', 'temperature within', 'protein complex', 'observed phenomenon', 'fluorescence spectra', 'cp 47', 'cp 43', 'antenna complexes', '2 k', '10 ps']</t>
  </si>
  <si>
    <t>Results of persistent spectral hole burning in fluorescence spectra of photosystem II core antenna complexes CP 43 and CP 47 are presented. The holewidths (extrapolated to zero burning fluence) yield the excited state population decay times T1 which are influenced by fast energy transfer within the antenna complexes. The obtained T1 values range between 6.6 and 10 ps. The holewidths are independent on temperature within the studied temperature interval 1.5-4.2 K. The observed phenomenon of laser-induced hole filling in the spectra of CP 43 is explained in terms of energy transfer within the CP 43 pigment-protein complex. ¬© 1993.</t>
  </si>
  <si>
    <t>131-134</t>
  </si>
  <si>
    <t>Journal of Molecular Structure</t>
  </si>
  <si>
    <t>60016605;60016605;60016605;60016605;60016605;60016605</t>
  </si>
  <si>
    <t>7003986908;6602944690;6603612633;7004075200;6603954699;7004652660</t>
  </si>
  <si>
    <t>V√°cha, M.;Adamec, F.;Ambro≈æ, M.;Dian, J.;P≈°enƒç√≠k, J.;H√°la, J.</t>
  </si>
  <si>
    <t>Czech Republic</t>
  </si>
  <si>
    <t>Prague Praha</t>
  </si>
  <si>
    <t>Charles University</t>
  </si>
  <si>
    <t>V√°cha M.</t>
  </si>
  <si>
    <t>Spectral hole burning study of photosynthetic antenna pigment-protein complexes</t>
  </si>
  <si>
    <t>002228609380332P</t>
  </si>
  <si>
    <t>10.1016/0022-2860(93)80332-P</t>
  </si>
  <si>
    <t>2-s2.0-4243113256</t>
  </si>
  <si>
    <t>['¬© 1993', 'model considers', 'giffard limit', 'general mechanical', 'effective temperature', 'e .,', 'apparatus sensitivity', 'analytical expression']</t>
  </si>
  <si>
    <t>We report on the development of a model for a resonant gravitational wave antenna. This model considers a resonant bar coupled with a resonant capacitive transducer connected to a dc SQUID amplifier, i.e., a system with three coupled oscillators. The model is used to derive an analytical expression of the apparatus sensitivity in terms of an effective temperature for "burst" signals. This leads to new and more general mechanical and electrical matching conditions for improving the sensitivity: when they are satisfied the Giffard limit is obtained. ¬© 1993 The American Physical Society.</t>
  </si>
  <si>
    <t>5485-5495</t>
  </si>
  <si>
    <t>Tricarico, Pietro</t>
  </si>
  <si>
    <t>Tricarico P.</t>
  </si>
  <si>
    <t>Analytical model of a resonant gravitational wave antenna</t>
  </si>
  <si>
    <t>10.1103/PhysRevD.48.5485</t>
  </si>
  <si>
    <t>2-s2.0-4243420232</t>
  </si>
  <si>
    <t>['¬© 1993', 'uncoupled period', 'transducer resonant', 'time dependent', 'relative displacement', 'multimode system', 'makes use', 'frequency detunings', 'different times', 'current generation', 'coupled oscillators', 'also discussed']</t>
  </si>
  <si>
    <t>The current generation of Weber gravitational wave antennae is a multimode system which makes use of a transducer resonant with the antenna and is expected to reach the standard quantum limit of sensitivity and possibly, by using quantum nondemolition measurement strategies, to surpass it. Quantum nondemolition measurement strategies have been studied until now only for a single harmonic oscillator. In this paper we generalize the stroboscopic quantum nondemolition strategy to coupled harmonic oscillators. We calculate the commutator of the relative displacement at different times for two and three coupled harmonic oscillators. It is shown that the commutator is time dependent in such a way as to retain values close to zero for a duration of the order of the uncoupled period of oscillations. The stability of this result with respect to frequency detunings is studied. The implications of this result for adapting the proposed quasistroboscopic quantum nondemolition schemes to coupled oscillators are also discussed. ¬© 1993 The American Physical Society.</t>
  </si>
  <si>
    <t>2176-2183</t>
  </si>
  <si>
    <t>60000481-60027165;60028218</t>
  </si>
  <si>
    <t>7003989227;57197845285</t>
  </si>
  <si>
    <t>Onofrio, Roberto;Rioli, Alessandro</t>
  </si>
  <si>
    <t>Italy;United States;Italy</t>
  </si>
  <si>
    <t>Bologna;Rochester;Padua</t>
  </si>
  <si>
    <t>Alma Mater Studiorum Universit√† di Bologna;University of Rochester;Universit√† degli Studi di Padova</t>
  </si>
  <si>
    <t>60028218;60027165;60000481</t>
  </si>
  <si>
    <t>Onofrio R.</t>
  </si>
  <si>
    <t>Quantum nondemolition stroboscopic scheme for coupled harmonic oscillators</t>
  </si>
  <si>
    <t>10.1103/PhysRevD.47.2176</t>
  </si>
  <si>
    <t>2-s2.0-4244047920</t>
  </si>
  <si>
    <t>['¬© 1993', 'simplified analysis', 'noise ratio', 'different origin', 'detection scheme', 'anticoincidence veto']</t>
  </si>
  <si>
    <t>We propose a simple new configuration of measurements for the detection of gravitational waves using a Weber-type gravitational wave antenna. The detection scheme is characterized by three normal modes of vibration; one of them is uncoupled to the gravitational wave interaction, and it is available as an anticoincidence veto for signals of different origin, such as those due to cosmic rays interacting with the antenna. Moreover, on the basis of a simplified analysis of the signal-to-noise ratio of this setup, we show that it is easier to approach the final sensitivity limit of a linear detection scheme of measurements. ¬© 1993 The American Physical Society.</t>
  </si>
  <si>
    <t>5233-5237</t>
  </si>
  <si>
    <t>60032350;60021660-60010146;60003218;60032350;60021660</t>
  </si>
  <si>
    <t>22960145700;7003816910;23985950800;7003636273;7103269533</t>
  </si>
  <si>
    <t>Canzoniere, M.;Majorana, E.;Ogawa, Y.;Rapagnani, P.;Ricci, F.</t>
  </si>
  <si>
    <t>Italy;Italy;Italy;Japan</t>
  </si>
  <si>
    <t>Rome;Rome;Catania;Tsukuba</t>
  </si>
  <si>
    <t>Sapienza Universit√† di Roma;Istituto Nazionale di Fisica Nucleare - INFN;Universit√† degli Studi di Catania;High Energy Accelerator Research Organization, Tsukuba</t>
  </si>
  <si>
    <t>60032350;60021660;60010146;60003218</t>
  </si>
  <si>
    <t>Canzoniere M.</t>
  </si>
  <si>
    <t>Weber-type gravitational wave antenna with two resonant transducers: A new tool for gravitational wave signal identification</t>
  </si>
  <si>
    <t>10.1103/PhysRevD.47.5233</t>
  </si>
  <si>
    <t>2-s2.0-4244146033</t>
  </si>
  <si>
    <t>['¬© 1993', 'rf power', 'reflectors combined', 'puerto rico', 'provide coverage', 'new limits', 'msat satellites', 'msat satellite', 'mobile users', 'band coverage', 'band antenna', '35 watts', '000 subscribers']</t>
  </si>
  <si>
    <t>To be launched in 1994, the MSAT satellites will provide coverage of Canada, continental United States, Alaska, Hawaii, Puerto Rico and Mexico. The mobile users will be linked to the spacecraft by 6 high gain beams providing over 57 dBW Aggregate Effective Isotropic Radiated Power at L-band. To achieve this, two major technologies are being pushed to new limits. First, the MSAT antennas use very large deployable offset mesh reflectors. These reflectors combined with the fully integrated beam forming network provide the high directivity beams necessary for the L-band coverage. Second, MSAT uses high efficiency SSP As with 35 watts at better than 16 dB noise power ratio. By combining these SSP As in a hybrid matrix amplifier system, nearly 500 watts of RF power is delivered to the L-band antenna. With this amount of power, each MSAT satellite can service up to 400,000 subscribers. ¬© 1993.</t>
  </si>
  <si>
    <t>229-237</t>
  </si>
  <si>
    <t>60013506;60013506;60013506;60013506;60013506</t>
  </si>
  <si>
    <t>24300694600;7006406536;24302057200;24304295900;6506564082</t>
  </si>
  <si>
    <t>Belanger, R.;Moody, H. J.;Hatzigeorgiou, S.;Turgeon, G.;Voulelikas, G.</t>
  </si>
  <si>
    <t>Edmonton</t>
  </si>
  <si>
    <t>L-3 Communications SPAR Aerospace Limited</t>
  </si>
  <si>
    <t>Belanger R.</t>
  </si>
  <si>
    <t>The communications payload of the MSAT spacecraft</t>
  </si>
  <si>
    <t>009457659390115D</t>
  </si>
  <si>
    <t>10.1016/0094-5765(93)90115-D</t>
  </si>
  <si>
    <t>2-s2.0-43949162338</t>
  </si>
  <si>
    <t>['¬© 1993', 'vibrational modes', 'small disturbances', 'receding horizon', 'operating point', 'lyapunov function', 'linearized version', 'large disturbances', 'infinite dimensions', 'gravitational field', 'generic modes', 'flexible body', 'column antenna']</t>
  </si>
  <si>
    <t>The dynamics of a 100-m dia, hoop-column antenna in near-Earth equatorial circular orbit considered as a flexible body is investigated. The dynamics of the antenna involve nonlinear coupled equations of translational, rotational and generic modes of infinite dimensions. Using a linearized version of the equation about an operating point, the above modes are truncated. The generic modes are functions of the eigenfrequencies of the system. The main disturbances considered here are due to the Earth's gravitational field and vibrational modes. A nonlinear control law (receding horizon) based on the principles of Lyapunov function is designed to stabilize the antenna in rotational as well as in generic modes. The receding horizon principle has advantage over linear control laws in that its response to large disturbances is fast and its response to small disturbances is slow; whereas linear control laws respond uniformly to all disturbances. ¬© 1993.</t>
  </si>
  <si>
    <t>503-509</t>
  </si>
  <si>
    <t>6506345369;7201420546</t>
  </si>
  <si>
    <t>Bofah, Peter;Choudhury, Ajit K.</t>
  </si>
  <si>
    <t>Bofah P.</t>
  </si>
  <si>
    <t>Receding horizon feedback control law for a large space hoop-column antenna</t>
  </si>
  <si>
    <t>0094-5765(93)90055-2</t>
  </si>
  <si>
    <t>10.1016/0094-5765(93)90055-2</t>
  </si>
  <si>
    <t>2-s2.0-43949162365</t>
  </si>
  <si>
    <t>['¬© 1993', 'tour selection', 'selected tour', 'overall performance', 'orbit jupiter', 'october 29', 'october 18', 'observation plan', 'mission phase', 'made concomitant', 'jupiter orbit', 'jupiter arriving', 'hga cannot', 'gravity assist', 'galileo high', 'galileo became', 'gain antenna', 'first spacecraft', 'first half', 'exciting observations', 'direct trajectory', 'decision rationale', 'december 8', 'december 7', 'december 1992', 'comprehensive investigation', '300 km', '1989 launch']</t>
  </si>
  <si>
    <t>In December 1992, just over three years since its October 18, 1989 launch, Galileo will complete its VEEGA (Venus-Earth-Earth-Gravity Assist) mission phase. Galileo will fly by the Earth on December 8, 1992, with a closest approach altitude of 300 km to receive the gravity assist that will place it on a direct trajectory to Jupiter arriving on December 7, 1995. Galileo will be the first spacecraft to send an Atmospheric Entry Probe into Jupiter's atmosphere and the first to orbit Jupiter. Immediately after the 75-minute Probe descent mission, the Orbiter will insert itself into Jupiter orbit to perform a two-year orbital mission. A far more intensive and comprehensive investigation of Jupiter will be performed than was possible with the Voyagers. Galileo became the first spacecraft to encounter an asteroid on October 29, 1991. The observations Galileo made of Gaspra are discussed. Galileo will also make unique and exciting observations of the Earth and moon during its December 1992 gravity assist encounter. The observation plan is described. The Galileo High-Gain Antenna (HGA) deployment anomaly status is reported and future corrective actions are outlined. The Low-Gain Antenna Contingency Mission that will be implemented if the HGA cannot be deployed is described. The overall performance and status of the space-craft is discussed. In the first half of 1992, the final Galileo Jupiter satellite-gravity-assist orbital tour candidates were designed. The selected tour is described. The decision to perform the August 1993 asteroid Ida flyby option was made concomitant with the tour selection. The decision rationale is presented. ¬© 1993.</t>
  </si>
  <si>
    <t>311-329</t>
  </si>
  <si>
    <t>7004186733;6506098122;7404019423;6506477442</t>
  </si>
  <si>
    <t>O'Neil, William J.;Ausman, Neal E.;Johnson, Torrence V.;Landano, Matthew R.</t>
  </si>
  <si>
    <t>O'Neil W.</t>
  </si>
  <si>
    <t>Galileo completing VEEGA - A mid-term report</t>
  </si>
  <si>
    <t>0094-5765(93)90123-E</t>
  </si>
  <si>
    <t>10.1016/0094-5765(93)90123-E</t>
  </si>
  <si>
    <t>2-s2.0-43949162444</t>
  </si>
  <si>
    <t>['¬© 1993', 'uniporous pitted', 'trichodea b', 'specimens examined', 'sensory function', 'sensillar apex', 'sem ),', 'relative positions', 'probably sensilla', 'positions suggests', 'parasitic hymenoptera', 'one seta', 'one campaniform', 'olfactory function', 'nubilale antennae', 'multiporous pitted', 'mpp placodea', 'minute pore', 'mechanoreceptor function', 'like structures', 'like structure', 'latter also', 'gustatory function', 'genus trichogramma', 'external morphology', 'antennal sensilla', 'analyses suggest', '6 morphologically']</t>
  </si>
  <si>
    <t>Scanning electron microscopy</t>
  </si>
  <si>
    <t>We describe the external morphology and relative positions of antennal sensilla of female Trichgramma nubilale (Hymenoptera : Trichogrammatidae) by scanning electron microscopy (SEM), and compared the results with 11 similar studies representing 15 species and 8 families within the parasitic Hymenoptera. There are 6 morphologically and structurally distinct structures on female T. nubilale antennae, which are probably sensilla, and one seta and one campaniform-like structure that may have a sensory function. Sensilla pore numbers and positions suggests that the multiporous grooved basiconica (MPG) C, multiporous pitted (MPP) trichodea A and the MPP placodea A have an olfactory function, whereas the MPP trichodea C have a gustatory function. The lack of pores and the presence of a basal socket suggests a mechanoreceptor function for aporous (AP) trichodea B, and the uniporous pitted (UPP) trichodea D, although, the latter also have a minute pore or dimple at the sensillar apex. Positions and numbers of these sensilla, setae and campaniform-like structures were consistent in all the specimens examined. These analyses suggest that antennal sensilla types and relative positions are highly conserved within the genus Trichogramma, and there are broad similarities within the parasitic Hymenoptera. ¬© 1993.</t>
  </si>
  <si>
    <t>507-520</t>
  </si>
  <si>
    <t>60029445;60029445</t>
  </si>
  <si>
    <t>7402201645;7003919672</t>
  </si>
  <si>
    <t>Olson, D. M.;Andow, D. A.</t>
  </si>
  <si>
    <t>Minneapolis</t>
  </si>
  <si>
    <t>University of Minnesota Twin Cities</t>
  </si>
  <si>
    <t>Olson D.M.</t>
  </si>
  <si>
    <t>Antennal sensilla of female Trichogramma nubilale (Ertle and Davis) (Hymenoptera : Trichogrammatidae) and comparisons with other parasitic Hymenoptera</t>
  </si>
  <si>
    <t>0020-7322(93)90037-2</t>
  </si>
  <si>
    <t>10.1016/0020-7322(93)90037-2</t>
  </si>
  <si>
    <t>2-s2.0-43949164932</t>
  </si>
  <si>
    <t>['¬© 1993', 'two anomalies', 'successful completion', 'subsequently launched', 'struts supporting', 'structural failure', 'stop activities', 'spar aerospace', 'soon concluded', 'second anomaly', 'satellite reached', 'safely deploy', 'reflector tie', 'pyro harness', 'pyro firing', 'possible causes', 'possible cause', 'never envisaged', 'modification implemented', 'mission maneuvers', 'likely cause', 'large number', 'interference resulting', 'intensive investigation', 'immediately organized', 'hinge dampers', 'hinge damper', 'high degree', 'ground testing', 'ge astro', 'full deployment', 'first anomaly', 'final recovery', 'executed flawlessly', 'ever carried', 'e2 satellite', 'deployment occurred', 'complex maneuvers', 'cold soak', 'briefly describe', 'battery capacity', 'band reflector', 'ariane 44p', 'apogee burns', 'another series', '3 months', '2 days']</t>
  </si>
  <si>
    <t>Anik-E2 was launched from Kourou on an Ariane 44P on 4 April 1991. Upon a successful completion of a series of apogee burns, the satellite reached the predicted drift orbit. Subsequently, two anomalies on deployment occurred. The first anomaly was the delay in deploying the Ku-band reflector. The full deployment did not occur until 2 days after the tie-down pyro firing. The second anomaly was noticed in connection with the deployment of the C-band reflector which did not deploy. An intensive investigation was immediately organized by Telesat and supported by Spar Aerospace and GE Astro to identify the possible cause(s) of the C-band antenna deployment failure. The investigations were focused on possible causes of failure which included the wiring of the pyro harness, freezing of the hinge damper, structural failure of the struts supporting the reflectors, alignment of the reflector tie-downs and interference of the thermal blankets surrounding the tie-down mechanisms. Due to some outstanding logistic planning effort and execution of a number of Anik-E2 flight manoeuvres and Anik-E1 ground testing, it was soon concluded that the most likely cause for the C-band reflector deployment failure was an interference resulting from the loosening of the thermal blankets surrounding the tie-down mechanisms. Based on the results of ground testing on Anik-E1, the required breakaway force for the snag was determined. This force requirement created a reflector deployment environment which was much more severe than the nominal design environment. In order to safely deploy the C-band reflector, another series of non-stop activities were performed by Telesat and its contractors to define a more dynamic satellite maneuver, e.g. high degree of nutation, coupled with a cold soak for the hinge dampers in order to provide a high breakaway force and efficient energy absorption during deployment to reduce the force at impact. A series of complex maneuvers with gradually increasing nutation was performed and the C-band reflector was eventually safely deployed on 3 July 1991 which was 3 months after the launch. Due to the constraints of the omni antenna coverage and the battery capacity, Telesat had conducted a large number of maneuvers which were never envisaged and rarely if ever carried out before. This paper will detail all the fault investigation events and mission maneuvers which led to the final recovery of the Anik-E2 satellite, and briefly describe the modification implemented on Anik-E1 which was subsequently launched and on which all deployments were executed flawlessly. ¬© 1993.</t>
  </si>
  <si>
    <t>811-815</t>
  </si>
  <si>
    <t>October 1993/November 1993</t>
  </si>
  <si>
    <t>60058524;60058524</t>
  </si>
  <si>
    <t>56103118700;24302864500</t>
  </si>
  <si>
    <t>Wang, D.;Martens, N.</t>
  </si>
  <si>
    <t>Wang D.</t>
  </si>
  <si>
    <t>Anik-E2 recovery mission</t>
  </si>
  <si>
    <t>009457659390162P</t>
  </si>
  <si>
    <t>10.1016/0094-5765(93)90162-P</t>
  </si>
  <si>
    <t>2-s2.0-43949166161</t>
  </si>
  <si>
    <t>['¬© 1993', 'specific circuitry', 'phase shifters', 'laser ablation', 'experimental data', 'copper metallization', '8 ghz', '32 ghz']</t>
  </si>
  <si>
    <t>Since they discovery of high temperature superconductivity in 1987, NASA Lewis Research Center has been involved in efforts to demonstrates its advantages for applications involving microwave electronics in space, especially space communications. The programs has included thin film fabrication by means of laser ablation. Specific circuitry which has been investigated includes microstrip ring resonators at 32 GHz, phase shifters which utilize a superconducting, optically activated switch, an 8√ó8 32 GHz superconducting microstrip antenna array, and an HTS-ring- resonator stabilized oscillator at 8 GHz. The latter two components are candidates for use i n space experiments which will be described in other papers. Experimental data on most of the circuits will be presented as well as, in some cases, a comparison of their performances with an identical circuit utilizing gold or copper metallization. ¬© 1993.</t>
  </si>
  <si>
    <t>1341-1347</t>
  </si>
  <si>
    <t>Chorey, C. Z.</t>
  </si>
  <si>
    <t>Sverdrup Technology</t>
  </si>
  <si>
    <t>Chorey C.Z.</t>
  </si>
  <si>
    <t>Space applications of superconducting microware electronics at NASA Lewis Research Centre</t>
  </si>
  <si>
    <t>0964-1807(93)90441-4</t>
  </si>
  <si>
    <t>10.1016/0964-1807(93)90441-4</t>
  </si>
  <si>
    <t>2-s2.0-43949166724</t>
  </si>
  <si>
    <t>['¬© 1993', 'trajectory determination', 'relatively narrow', 'range accuracies', 'proposed ground', 'possible solution', 'orbital debris', 'increasing threat', 'design considerations', 'based radar', 'approach window', 'antenna experiment', '90 ¬∞)', '4 radians', '30 ¬∞', '10 cm']</t>
  </si>
  <si>
    <t>Orbital debris with dimensions between 1 and 10 cm is an increasing threat to the Space Station Freedom. A possible solution is to track the debris with a station-based radar and passive IR sensors. Studies at JSC have shown that the approach window of the debris is relatively narrow, ¬± 10¬∞ in elevation and ¬± (30¬∞ to 90¬∞) in azimuth. Preliminary JSC studies suggest that angle and range accuracies of 10-4 radians and 6 m are required for trajectory determination. Design considerations for minimizing the costs of a microwave array antenna are discussed. A proposed ground-based radar/antenna experiment for tracking small particles with high angular rates is described. ¬© 1993.</t>
  </si>
  <si>
    <t>65-68</t>
  </si>
  <si>
    <t>60006711;60006711;105782857</t>
  </si>
  <si>
    <t>7004987262;7101805342;24309128100</t>
  </si>
  <si>
    <t>Arndt, G. D.;Fink, P.;Warren, W. B.</t>
  </si>
  <si>
    <t>Houston;Atlanta</t>
  </si>
  <si>
    <t>NASA Johnson Space Center;GBW Research Inc.</t>
  </si>
  <si>
    <t>60006711;105782857</t>
  </si>
  <si>
    <t>Arndt G.D.</t>
  </si>
  <si>
    <t>A space station-based orbital debris tracking system</t>
  </si>
  <si>
    <t>027311779390569W</t>
  </si>
  <si>
    <t>10.1016/0273-1177(93)90569-W</t>
  </si>
  <si>
    <t>2-s2.0-43949170721</t>
  </si>
  <si>
    <t>['¬© 1993', 'substantional limitations', 'short review', 'reviews edited', 'review may', 'gravitational radiation', 'gravitational antennae', '2 ].']</t>
  </si>
  <si>
    <t>The goal of this short review on the detection of gravitational radiation is to enlist and to analyze a number of substantional limitations of the sensitivity of gravitational antennae which have not yet been discussed. This review may be regarded as an extension of the review by K.S.Thorne [1] and of the reviews edited by D.Blair [2]. ¬© 1993.</t>
  </si>
  <si>
    <t>341-354</t>
  </si>
  <si>
    <t>Vistas in Astronomy</t>
  </si>
  <si>
    <t>Braginsky, Vladimir B.</t>
  </si>
  <si>
    <t>Lomonosov Moscow State University</t>
  </si>
  <si>
    <t>Braginsky V.B.</t>
  </si>
  <si>
    <t>Detection of gravitational waves: Problems and prospects</t>
  </si>
  <si>
    <t>0083-6656(93)90063-P</t>
  </si>
  <si>
    <t>10.1016/0083-6656(93)90063-P</t>
  </si>
  <si>
    <t>2-s2.0-43949173703</t>
  </si>
  <si>
    <t>['¬© 1992', 'voltage pulses', 'time duration', 'received voltage', 'peak values', 'integrating circuit', 'frequencies higher', 'far zone', 'exciting voltage', 'exciting single', 'although overlapping', '5 cycles', '2 cycles']</t>
  </si>
  <si>
    <t>The zero-order approximate solution for the currents along thin antennae is used to study the behavior of a received voltage pulse across the terminals of a thin dipole placed at the far zone of a thin transmitting dipole excited by a single-cycle sinusoidal voltage. It is found that each of the four distinct electric field pulses which the transmitting dipole radiates, induces four distinct (although overlapping) voltage pulses at the discontinuities of the receiving dipole antenna. Although the exciting voltage is single-cycle, the time duration of the incident electric field and the induced received voltage is lengthened by 1.5 cycles and up to 2 cycles, respectively. The receiving antenna behaves like an integrating circuit. The spectra of the short-pulse radiated field and the received voltage have peak values at frequencies higher than the carrier frequency f0 of the exciting single-cycle sinusoidal voltage. ¬© 1992.</t>
  </si>
  <si>
    <t>17-28</t>
  </si>
  <si>
    <t>Journal of the Franklin Institute</t>
  </si>
  <si>
    <t>Samaddar, S. N.</t>
  </si>
  <si>
    <t>Samaddar S.N.</t>
  </si>
  <si>
    <t>Behavior of a received pulse radiated by half-wave dipole excited by a single-cycle sinusoidal voltage</t>
  </si>
  <si>
    <t>001600329390017O</t>
  </si>
  <si>
    <t>10.1016/0016-0032(93)90017-O</t>
  </si>
  <si>
    <t>2-s2.0-43949174753</t>
  </si>
  <si>
    <t>['¬© 1993', 'uniform intensity', 'statistical theories', 'sps ),', 'reflector antennas', 'random arrays', 'radiation patterns', 'predict mean', 'phased arrays', 'parametric values', 'lunar surface', 'lunar limbs', 'earth stations', 'beaming power', 'amplitude errors', 'amplitude distributions']</t>
  </si>
  <si>
    <t>The lunar solar power system (LSP) is a system for collecting solar radiant power on the lunar surface, converting the power to microwaves, and transmitting multiple power beams directly (or indirectly using orbital reflectors) to Earth stations. The microwave transmission systems for LSP direct beams consist of phased arrays of randomly placed reflector antennas distributed over large diameter equivalent apertures near the lunar limbs, each aperture generating multiple radiating wave fronts of different frequencies converging toward equivalent focal points beyond the Earth surface receiver planes. Unlike most versions of the space solar power system (SPS), the radiation patterns are governed by radiative near field or Fresnel diffraction constraints and provide a more uniform intensity over most of the receiver ground area and more rapid attenuation beyond the beam collection zone than is possible with Fraunhofer diffraction limited power beams. Statistical theories for radiation patterns of random arrays and phase or amplitude errors of reflector antennas have been described. These are combined to predict mean and peak side lobe power levels. Central beam power distributions are calculated from transmitting wavefront curvature and amplitude distributions. Parametric values for single power beams and mature global power distribution systems are presented for beaming power to receivers on Earth. ¬© 1993.</t>
  </si>
  <si>
    <t>;60005837</t>
  </si>
  <si>
    <t>7004971517;7005619427</t>
  </si>
  <si>
    <t>Waldron, Robert D.;Criswell, David R.</t>
  </si>
  <si>
    <t>Houston</t>
  </si>
  <si>
    <t>University of Houston</t>
  </si>
  <si>
    <t>Waldron R.</t>
  </si>
  <si>
    <t>Summary of characteristics of beamed power radiation patterns and side lobe levels for the lunar solar power system</t>
  </si>
  <si>
    <t>0094-5765(93)90157-R</t>
  </si>
  <si>
    <t>10.1016/0094-5765(93)90157-R</t>
  </si>
  <si>
    <t>2-s2.0-43949176288</t>
  </si>
  <si>
    <t>['¬© 1993', 'supporting spacecraft', 'perspex model', 'paper describes', 'natural frequency', 'minimum mass', 'manufactured antenna', 'larger space', 'intensive research', 'given rise', 'experimental analysis', 'erectable systems', 'dynamically isolated', 'deployable antenna', 'based systems', 'based structures']</t>
  </si>
  <si>
    <t>The demand for larger space-based structures has given rise to intensive research in the field of deployable and erectable systems over the past two decades. The major design drivers for space-based systems are that they are of minimum mass, and that they are dynamically isolated from their supporting spacecraft by ensuring that their first resonant frequency is above a given threshold level. This paper describes a deployable antenna concept currently being developed for use in geosynchronous earth orbit. The natural frequency of vibration of the deployable antenna is predicted using finite element eigenvalue extraction techniques and the experimental analysis of a perspex model is used to identify the optimum experimental test configuration for the manufactured antenna. ¬© 1993.</t>
  </si>
  <si>
    <t>Composites Engineering</t>
  </si>
  <si>
    <t>A case study in the design and analysis for a 5.0 m deployable composite antenna</t>
  </si>
  <si>
    <t>096195269390017E</t>
  </si>
  <si>
    <t>10.1016/0961-9526(93)90017-E</t>
  </si>
  <si>
    <t>2-s2.0-43949176342</t>
  </si>
  <si>
    <t>['¬© 1993', 'track resolution', 'swath widths', 'standard configurations', 'sar instrument', 'projected performance', 'performance predictions', 'paper describes', 'operating modes', 'operating flexibility', 'narrow swath', 'mission life', 'flexible set', 'described including', 'baseline design', 'anywhere within', 'antenna pattern', '500 km', '49 ¬∞.']</t>
  </si>
  <si>
    <t>The Canadian RADARSAT Remote Sensing Satellite will employ a Synthetic Aperture Radar (SAR) instrument with a very flexible set of operating modes that include selectable swath widths, ground incidence angle and resolution. This SAR instrument will be able to alter its beam pointing angle to anywhere within a 500 km Earth ground track, with either a wide or narrow swath, at ground incidence angles from 20 to 49¬∞. Swath widths of 50, 100, 150 and 500 km will be available as standard configurations but the antenna pattern is reconfigurable in flight to enable other swath widths to be considered. In addition, the SAR instrument will be able to alter the across-track resolution. This paper describes the many design features of the baseline design of the RADARSAT SAR payload that provide the operating flexibility. The projected performance over the mission life will be described including the breadboard model development and performance predictions. ¬© 1993.</t>
  </si>
  <si>
    <t>195-203</t>
  </si>
  <si>
    <t>60007248;60007248;113048959</t>
  </si>
  <si>
    <t>7003762909;6506323230;7101863198</t>
  </si>
  <si>
    <t>Zimcik, D. G.;Naraine, P.;Ferguson, I.</t>
  </si>
  <si>
    <t>Longueuil;Montreal</t>
  </si>
  <si>
    <t>Canadian Space Agency;Spar Aerospace</t>
  </si>
  <si>
    <t>60007248;113048959</t>
  </si>
  <si>
    <t>Zimcik D.</t>
  </si>
  <si>
    <t>The RADARSAT Synthetic Aperture Radar payload</t>
  </si>
  <si>
    <t>0094-5765(93)90049-3</t>
  </si>
  <si>
    <t>10.1016/0094-5765(93)90049-3</t>
  </si>
  <si>
    <t>2-s2.0-44949266632</t>
  </si>
  <si>
    <t>['¬© 1992', 'wave field', 'velocity close', 'unperturbed value', 'typical parameters', 'time distribution', 'strong inhomogeneous', 'reflection region', 'reach values', 'radio location', 'qualitative level', 'nonstationary modulation', 'ms tids', 'moon ).', 'linear approximation', 'ionospheric modification', 'increased intensity', 'heights near', 'heating experiments', 'give rise', 'field intensity', 'corresponding distribution', '10 km']</t>
  </si>
  <si>
    <t>Using ray tracing we investigate, on a qualitative level and in the linear approximation, the effects of medium-scale travelling ionospheric disturbances (MS TIDs) arising when powerful HF radio transmitters are operated in conjunction with antenna arrays designed for ionospheric modification (heating) and for radio location of the Moon. It is shown that the HF radio wave focusing effect, arising during the movement of the MS TIDs, can give rise to a strong inhomogeneous and nonstationary modulation of the space-time distribution of the field intensity of a powerful radio transmitter both at heights near the reflection region (in heating experiments) and at the exit from the ionosphere (in radio location of the Moon). The excess of intensity over an unperturbed value for typical parameters of MS TIDs in experiments on ionospheric modification can reach values of hundreds of percent: a 'spot' of increased intensity of the wave field can have the size of about 1-10 km, and can move with a velocity close to the MS TID phase velocity. In the case of lunar radio location, the inhomogeneity and nonstationarity of the wave field intensity distribution at the exit from the ionosphere substantially complicates the evaluation of the corresponding distribution on the Moon's surface and the interpretation of the Moon-reflected radio signal characteristics. ¬© 1992.</t>
  </si>
  <si>
    <t>57-64</t>
  </si>
  <si>
    <t>101389635;101389635</t>
  </si>
  <si>
    <t>8049183300;24327940500</t>
  </si>
  <si>
    <t>Afraimovich, E. L.;Udodov, M. Yu</t>
  </si>
  <si>
    <t>Irkutsk</t>
  </si>
  <si>
    <t>SibIZMIR</t>
  </si>
  <si>
    <t>Afraimovich E.</t>
  </si>
  <si>
    <t>Travelling ionospheric disturbances and the effectiveness of powerful HF transmitters in ionospheric modification and radio location of the Moon</t>
  </si>
  <si>
    <t>002191699390154Q</t>
  </si>
  <si>
    <t>10.1016/0021-9169(93)90154-Q</t>
  </si>
  <si>
    <t>2-s2.0-44949267597</t>
  </si>
  <si>
    <t>['sidelobe level', 'phase errors', 'perfectly known', 'paper deals', 'mutual impedance', 'limited precision', 'array antenna']</t>
  </si>
  <si>
    <t>Antenna arrays | Digital beam-forming | Low sidelobe | Mutual coupling | Tolerance</t>
  </si>
  <si>
    <t>Accurate mutual coupling correction is necessary for an array antenna to reach ultralow sidelobe level. If the mutual impedance or mutual coupling coefficient matrix of an array is perfectly known, theoretically, one can compensate the effects of mutual coupling completely and realize the desired low sidelobe level. However, the mutual impedance matrix obtained whether by calculation or by measurement has limited precision, which limits the effectiveness of compensation. This paper deals with the requirements on the precision of mutual impedance for compensation in ultra-low sidelobe array antennas. The relationship between mutual impedance errors and the amplitude and phase errors of an array is derived, by which the relationship between the mutual impedance errors and the sidelobe level is obtained. ¬© 1993 Science Press.</t>
  </si>
  <si>
    <t>Journal of Electronics (China)</t>
  </si>
  <si>
    <t>60025578;60025578</t>
  </si>
  <si>
    <t>15925435400;6507539564</t>
  </si>
  <si>
    <t>Linrang, Zhang;Yuhong, Zhang</t>
  </si>
  <si>
    <t>Linrang Z.</t>
  </si>
  <si>
    <t>The limitation of mutual impedance precision to the sidelobe level of array antenna</t>
  </si>
  <si>
    <t>10.1007/BF02778763</t>
  </si>
  <si>
    <t>2-s2.0-51649133737</t>
  </si>
  <si>
    <t>['summation formula', 'moment method', 'lossy medium', 'input impedance', 'elliptic integral', 'dyadic green', 'double series', 'double integral', 'antenna parameters']</t>
  </si>
  <si>
    <t>Cavity-backed slot antenna | Dyadic Green's function | Lossy medium | Moment method</t>
  </si>
  <si>
    <t>The characteristics of a cavity-backed slot antenna in a lossy medium are given by using the moment method and Dyadic Green's function. The Poisson's summation formula is used to convert the double series of the elements into a more rapidly converging series, and the integration middle value theorem and elliptic integral are used to simplify the double integral of the elements. Numerical results show the effects of the lossy medium and antenna parameters on the input impedance, which could be used in designing the cavity-backed slot antenna. ¬© 1993 Science Press.</t>
  </si>
  <si>
    <t>46-55</t>
  </si>
  <si>
    <t>60073719;60073719;60005465</t>
  </si>
  <si>
    <t>24785524100;14526162400;23017385300</t>
  </si>
  <si>
    <t>Xinbao, Wu;Weiyan, Pan;Weigan, Lin</t>
  </si>
  <si>
    <t>Xinxiang;Chengdu</t>
  </si>
  <si>
    <t>China Research Institute of Radiowave Propagation;University of Electronic Science and Technology of China</t>
  </si>
  <si>
    <t>60073719;60005465</t>
  </si>
  <si>
    <t>Xinbao W.</t>
  </si>
  <si>
    <t>Characteristics of cavity-backed narrow slot antenna in a lossy medium</t>
  </si>
  <si>
    <t>10.1007/BF02778761</t>
  </si>
  <si>
    <t>2-s2.0-51649138491</t>
  </si>
  <si>
    <t>['presented analytically', 'phase centers', 'phase center', 'electromagnetic horns', 'best choice']</t>
  </si>
  <si>
    <t>Antenna | Electromagnetic horn | Phase center</t>
  </si>
  <si>
    <t>The characteristics of the phase centers of electromagnetic horns having nearly symmetric pattern are presented analytically. It is proved that the phase center on the œÜ{symbol}=45¬∞ plane coincides with the average phase center, and if a single plane phase center is used to define the horn phase center approximately, the œÜ{symbol}=45¬∞ plane phase center will be the best choice. ¬© 1993 Science Press.</t>
  </si>
  <si>
    <t>86-90</t>
  </si>
  <si>
    <t>24785665500;24784698500</t>
  </si>
  <si>
    <t>Yihong, Qi;Sifan, Li</t>
  </si>
  <si>
    <t>Yihong Q.</t>
  </si>
  <si>
    <t>Study on the phase center of electromagnetic horns</t>
  </si>
  <si>
    <t>10.1007/BF02778766</t>
  </si>
  <si>
    <t>2-s2.0-51649140292</t>
  </si>
  <si>
    <t>['upper limit', 'ultrafast process', 'transfer kinetics', 'three systems', 'strongly wavelength', 'stentorin ii', 'stentorin chromophore', 'rotational diffusion', 'ps resolution', 'ps excited', 'probe studies', 'polarized pump', 'photosynthetic antennae', 'main long', 'likely associated', 'isotropic decays', 'intramolecular excited', 'intense excited', 'exhibits 0', 'control experiments', 'ciliary motion', 'chromoproteins stentorin', 'active chromoprotein', '&lt;- 0', '630 nm', '5 ps', '3 ps', '2 ).', '1 ns', '0 ),']</t>
  </si>
  <si>
    <t>Polarized absorption difference profiles have been obtained with 3-6-ps resolution between 565 and 630 nm for the chromoproteins stentorin I and stentorin II, isolated from the protozoan ciliate Stentor coeruleus. Control experiments were performed on hypericin and on the stentorin chromophore in methanol. The isotropic decays of stentorin I and the stentorin chromophore are dominated by components with lifetimes conservatively longer than 1 ns. Stentorin I, the stentorin chromophore, and hypericin all develop, within &lt;5 ps, an intense excited-state absorption band that is blue-shifted from and polarized essentially perpendicular to the main long-wavelength absorption band. The presence of this excited-state absorption band is signaled by the appearance of strongly wavelength-dependent initial anisotropies r(0), which assume large positive as well as negative values (&gt;0.4 and &lt;-0.2). To our knowledge, such anisotropies have not been reported in polarized pump-probe studies of rotational diffusion in solution or of energy-transfer kinetics in photosynthetic antennae. Hypericin itself exhibits 0.4-6-ps excited-state absorption decay kinetics, which are likely associated with intramolecular excited-state proton transfer. The corresponding proton transfers may be faster in stentorin I and in the stentorin chromophore. Stentorin II rapidly develops a unique absorption difference spectrum that lacks the excited-state absorption feature displayed by the other three systems. The ultrafast process in stentorin II (thought to be the active chromoprotein in ciliary motion) may be intermolecular proton transfer to an appropriately situated protein residue. The present experiments redefine the upper limit for the dominant lifetime component in this photoprocess to &lt;3 ps. ¬© 1993 American Chemical Society.</t>
  </si>
  <si>
    <t>12379-12386</t>
  </si>
  <si>
    <t>60008023;60026306;60026306;60008023</t>
  </si>
  <si>
    <t>6701607000;7006558139;7201918197;57193129444</t>
  </si>
  <si>
    <t>Savikhin, Sergei;Tao, Nengbing;Song, Pill Soon;Struve, Walter S.</t>
  </si>
  <si>
    <t>Lincoln;Ames</t>
  </si>
  <si>
    <t>University of Nebraska‚ÄìLincoln;Ames Laboratory</t>
  </si>
  <si>
    <t>60026306;60008023</t>
  </si>
  <si>
    <t>Savikhin S.</t>
  </si>
  <si>
    <t>Ultrafast pump-probe spectroscopy of the photoreceptor stentorins from the ciliate Stentor coeruleus</t>
  </si>
  <si>
    <t>10.1021/j100149a045</t>
  </si>
  <si>
    <t>2-s2.0-5244265970</t>
  </si>
  <si>
    <t>['‚ àº0', 'tftr plasma', 'supershots predict', 'supershot plasmas', 'significant increase', 'recycling plasmas', 'low recycling', 'instability driven', 'icrf power', 'icrf heating', 'hydrogen minority', 'heating system', 'fusion tech', 'full size', 'four antennas', 'first observation', 'equivalent deuterium', 'deuterium neutral', 'deliver 12', 'beam injection', '5 mw', '4 mw', '30 mw', '3 minority', '), helium']</t>
  </si>
  <si>
    <t>The complete ion cyclotron range of frequency (ICRF) heating system for the Tokamak Fusion Test Reactor (TFTR) [Fusion Tech. 21, 1324 (1992)], consisting of four antennas and six generators designed to deliver 12.5 MW to the TFTR plasma, has now been installed. Recently a series of experiments has been conducted to explore the effect of ICRF heating on the performance of low recycling, supershot plasmas in minority and nonresonant electron heating regimes. The addition of up to 7.4 MW of ICRF power to full size (R‚àº2.6 m, a‚àº0.95 m), helium-3 minority, deuterium supershots heated with up to 30 MW of deuterium neutral-beam injection has resulted in a significant increase in core electron temperature (ŒîTe-3-4 keV). Simulations of equivalent deuterium-tritium (D-T) supershots predict that such ICRF heating should result in an increase in Œ≤Œ± (0) ‚àº30%. Direct electron heating has been observed and has been found to be in agreement with theory. The ICRF heating has also been coupled to neutral-beam heated plasmas fueled by frozen deuterium pellets. In addition ICRF heated energetic ion tails have been used to simulate fusion alpha particles in high-recycling plasmas. Up to 11.4 MW of ICRF heating has been coupled into a hydrogen minority, high-recycling helium plasma and the first observation of the toroidal Alfv√©n eigenmode (TAE) instability driven by the energetic proton tail has been made in this regime. ¬© 1993 American Institute of Physics.</t>
  </si>
  <si>
    <t>2437-2444</t>
  </si>
  <si>
    <t>60018020;60018020;60018020;60018020;60018020;60018020;60018020;60018020;60018020;60018020;60018020;60018020;60018020;60018020;60018020;60018020;60018020;60018020;60018020;60018020;60018020;60018020;60018020;60018020;60018020;60018020;60018020;60018020;60018020;60018020;60018020;60018020;60018020;60018020;60018020;60018020;60018020;60018020;60018020;60018020;60018020;60018020;60024266;60024266;60024266;60024266;60024266;60024266;60024266;60022195;60025104;60032179</t>
  </si>
  <si>
    <t>56567233300;57203633485;6602131391;12754936800;35350498700;22959964400;7409441281;7005152297;7006760017;35355481200;7006799673;7202722416;7004548626;7004474945;57224161346;22967475100;23021643700;7005490556;6603861054;7406821041;7404798991;35356029400;7004818649;7005603137;7005088185;7202616563;8662461800;24364190000;57208698218;56415174700;57203798415;7404268854;12754942600;6701802814;55414624800;22969339500;7006849275;7005222361;7005728391;57202528890;7404759730;7006473418;7006009039;7103312394;6602357390;7402222174;57202314574;6603742866;56814450500;6603883237;7004221273;7202170402</t>
  </si>
  <si>
    <t>Taylor, G.;Bell, M. G.;Biglari, H.;Bitter, M.;Bretz, N. L.;Budny, R.;Chen, L.;Darrow, D.;Efthimion, P. C.;Ernst, D.;Fredrickson, E.;Fu, G. Y.;Grek, B.;Grisham, L.;Hammett, G.;Hosea, J. C.;Janos, A.;Jassby, D.;Jobes, F. C.;Johnson, D. W.;Johnson, L. C.;Majeski, R.;Mansfield, D. K.;Mazzucato, E.;Medley, S. S.;Mueller, D.;Nazikian, R.;Owens, D. K.;Paul, S.;Park, H.;Phillips, C. K.;Rogers, J. H.;Schilling, G.;Schivell, J.;Schmidt, G. L.;Stevens, J. E.;Stratton, B. C.;Strachan, J. D.;Synakowski, E.;Wilson, J. R.;Wong, K. L.;Zweben, S. J.;Baylor, L.;Bush, C. E.;Goldfinger, R. C.;Hoffman, D. J.;Murakami, M.;Qualls, A. L.;Rasmussen, D.;Machuzak, J.;Rimini, F.;Chang, Z.</t>
  </si>
  <si>
    <t>United States;United Kingdom;United States;United States;United States</t>
  </si>
  <si>
    <t>Madison;;Oak Ridge;Cambridge;Princeton</t>
  </si>
  <si>
    <t>University of Wisconsin-Madison;EFDA-JET;Oak Ridge National Laboratory;Massachusetts Institute of Technology;Princeton Plasma Physics Laboratory</t>
  </si>
  <si>
    <t>60032179;60025104;60024266;60022195;60018020</t>
  </si>
  <si>
    <t>Taylor G.</t>
  </si>
  <si>
    <t>Ion cyclotron range of frequency heating on the Tokamak Fusion Test Reactor</t>
  </si>
  <si>
    <t>10.1063/1.860728</t>
  </si>
  <si>
    <t>2-s2.0-6244222257</t>
  </si>
  <si>
    <t>['two antennas', 'transmitted signal', 'phase modulated', 'periodic waveform', 'peak power', 'modulation periods', 'duty cycle', 'cw signals', 'cw implies', 'corresponding receivers', 'combined response', 'average power', 'almost identical', '2 periods', '100 %.']</t>
  </si>
  <si>
    <t>We discuss CW signals, phase modulated by a periodic waveform, and their corresponding receivers. The combined response in delay and Doppler is almost identical to the (Ideal) response of the coherent pulse train. The receivers are matched to an integral number N of modulation periods of the transmitted signal. CW Implies a duty cycle of 100%. However, the signal duration need not be longer than N + 2 periods. The CW signals have the advantage that their peak power is equal to the average power. Their disadvantage is a more complicated receiver processing and the need for two antennas. ¬© 1993 IEEE</t>
  </si>
  <si>
    <t>Levanon, Nadav</t>
  </si>
  <si>
    <t>Tel Aviv-Yafo</t>
  </si>
  <si>
    <t>Tel Aviv University</t>
  </si>
  <si>
    <t>Levanon N.</t>
  </si>
  <si>
    <t>CW alternatives to the coherent pulse train‚Äîsignals and processors</t>
  </si>
  <si>
    <t>10.1109/7.249132</t>
  </si>
  <si>
    <t>2-s2.0-65449150826</t>
  </si>
  <si>
    <t>['two kinds', 'thin slots', 'slot antennas', 'prohibitive grid', 'present method', 'particular investigation', 'equtions using']</t>
  </si>
  <si>
    <t>Finite difference method | Patch antenna | Printed antenna | Slot antenna | Time domain method</t>
  </si>
  <si>
    <t>In this paper, a time domain method is introduced for analyzing microstrip antennas having thin slots. The present method is based on a resolution of Maxwelƒæs. equtions using the finite difffreence time domain method. A particular investigation has been made for taking thin slots into account, this avoids a prohibitive grid to represent the slots. Two kinds of antennas have been analyzed by this method: the slot antennas and the radiatins patch fed by a line through a slot. ¬© 1993 Springer-Verlag.</t>
  </si>
  <si>
    <t>29-34</t>
  </si>
  <si>
    <t>60027892;60027892</t>
  </si>
  <si>
    <t>7004363654;7006402070</t>
  </si>
  <si>
    <t>Reineix, Alain;Jecko, Bernard</t>
  </si>
  <si>
    <t>XLIM Institut de Recherche</t>
  </si>
  <si>
    <t>Reineix A.</t>
  </si>
  <si>
    <t>A time domain theoretical method for the analysis of microstrip antennas composed by slots</t>
  </si>
  <si>
    <t>10.1007/BF03005229</t>
  </si>
  <si>
    <t>2-s2.0-65749312579</t>
  </si>
  <si>
    <t>['warren stutzman', 'warren needs', 'virginia tech', 'state university', 'sincere thanks', 'readers wishing', 'phd candidate', 'ms degrees', 'marco terada', 'fine article', 'electrical engineering', 'bradley department', '6834 ).']</t>
  </si>
  <si>
    <t>This interesting submission comes to us from Warren Stutzman and Marco Terada, both with Virginia Tech. Warren needs no introduction, having been President of our Society in 1992. Marco is a native of Brazil, where he obtained his BS and MS degrees in electrical engineering from the University of Brasilia. He is currently a PhD candidate in the Bradley Department of Electrical Engineering. Readers wishing to contact either co-author may write to them at the Satellite Communications Group, Bradley Department of Electrical Engineering, Virginia Polytechnic Institute and State University, Blacksburg, VA 24061‚Äì0111 (Tel: 703-231-6834). Sincere thanks to Warren and Marco for submitting this fine article. ¬© 1993 IEEE</t>
  </si>
  <si>
    <t>46-49</t>
  </si>
  <si>
    <t>57189501138;7006247497;7202562512</t>
  </si>
  <si>
    <t>Schrank, Hal;Stutzman, Warren;Terada, Marco</t>
  </si>
  <si>
    <t>Design of Offset-Parabolic-Reflector Antennas for Low Cross-Pol and Low Sidelobes</t>
  </si>
  <si>
    <t>10.1109/74.248488</t>
  </si>
  <si>
    <t>2-s2.0-84863272429</t>
  </si>
  <si>
    <t>['topographic maps', 'tectonic activity', 'south carolina', 'river patterns', 'morphologic changes', 'landsat imagery', 'incised channels', 'geophysical data', 'convex toward', 'aerial photography', '1886 charleston']</t>
  </si>
  <si>
    <t>Although the fault(s) responsible for the 1886 Charleston, South Carolina, earthquake have not yet been identified (primarily because of the lack of surface rupture), evaluation of Landsat imagery, aerial photography, and topographic maps have revealed an ~200-km-long, ~15-km-wide, north-northeast-trending zone composed of subtle topographic highs and morphologic changes in rivers that may be associated with tectonic activity. River anomalies observed within this zone include river bends that are convex toward the north-northeast, incised channels, changes in river patterns, and convex-upward longitudinal profiles. Analyses of geologic and geophysical data further indicate that these surface features may be the result of ongoing tectonic uplift along a north-northeast-trending fault zone possibly associated with recent seismicity near Charleston. -Authors</t>
  </si>
  <si>
    <t>651-654</t>
  </si>
  <si>
    <t>Geology</t>
  </si>
  <si>
    <t>6602828462;7004010882</t>
  </si>
  <si>
    <t>Marple, R. T.;Talwani, P.</t>
  </si>
  <si>
    <t>Marple R.</t>
  </si>
  <si>
    <t>Evidence of possible tectonic upwarping along the South Carolina coastal plain from an examination of river morphology and elevation data</t>
  </si>
  <si>
    <t>10.1130/0091-7613(1993)021&lt;0651:EOPTUA&gt;2.3.CO;2</t>
  </si>
  <si>
    <t>2-s2.0-84879887702</t>
  </si>
  <si>
    <t>['¬© 1993', 'skin depth', 'rights reserved', 'rf powers', 'pyrex tube', 'primarily radial', 'primarily azimuthal', 'plasma source', 'numerical solution', 'higher powers', 'fields produced', 'electromagnetic fields', 'electromagnetic field', 'e field', 'ctfpeao ).', 'axial direction', '7 g', '600 w', '6 cm', '200 v', '100 w', '100 v', '1 kw']</t>
  </si>
  <si>
    <t>The electromagnetic fields which drive a radio-frequency induction plasma are both modeled and measured. The plasma source consists of a planar, square coil separated from a low pressure plasma chamber by a 2.54-cm-thick quartz window. A small loop antenna, which is sealed in a pyrex tube, is immersed in the discharge to determine the magnitude and direction of the L magnetic field. The measured B field is primarily radial and axial. Typical rf field strengths vary from 2 to 7 G for rf powers of 0.1-1 kW. The radial B field decays exponentially in the axial direction. The skin depth of the electromagnetic field is 1.6-3.6 cm which is consistent with Langmuir probe measured ion densities (typically 3 X 10I!cm‚Äù) in argon. Invoking Maxwell‚Äôs equations to deduce the rf electric field from the measured B field, we find the E field to be primarily azimuthal. Peak field strengths increase from 100 V/m at 100 W to 200 V/m at 600 W where they saturate for higher powers. Finally, we present a 3D finite element solution for the fields produced by this plasma source which employs a cold, collisionless plasma model to relate the relative plasma permittivity erto the electron plasma frequency, co using er= 1 ‚Äî (ctfpeAo). The measured fields support this numerical solution. ¬© 1993, American Vacuum Society. All rights reserved.</t>
  </si>
  <si>
    <t>147-151</t>
  </si>
  <si>
    <t>Journal of Vacuum Science and Technology A: Vacuum, Surfaces and Films</t>
  </si>
  <si>
    <t>60017366;60017366;60017366;60017366</t>
  </si>
  <si>
    <t>7102386717;7005894117;6603044198;7005986346</t>
  </si>
  <si>
    <t>Hopwood, J.;Guarnieri, C. R.;Whitehair, S. J.;Cuomo, J. J.</t>
  </si>
  <si>
    <t>Yorktown Heights</t>
  </si>
  <si>
    <t>IBM Thomas J. Watson Research Center</t>
  </si>
  <si>
    <t>Hopwood J.</t>
  </si>
  <si>
    <t>Electromagnetic fields in a radio-frequency induction plasma</t>
  </si>
  <si>
    <t>10.1116/1.578281</t>
  </si>
  <si>
    <t>2-s2.0-84881141054</t>
  </si>
  <si>
    <t>['¬© 1993', 'vaxious singularities', 'various cases', 'type integrals', 'term contains', 'special case', 'salient properties', 'rights reserved', 'path along', 'numerical solution', 'moment method', 'integral equation', 'infinitely long', 'infinite tube', 'infinite series', 'highlighted since', 'either inside', 'directed antenna', 'current induced', 'conducting tube', 'complicated integrands', 'axis case']</t>
  </si>
  <si>
    <t>A numerical solution to an integral equation is developed (via the moment method) for the current induced on an axially-directed antenna in the presence of an infinitely long, perfectly conducting tube where the antenna can be either inside or outside the tube. The special case of a cylindrical antenna residing coaxially within the conducting tube is treated as is the more general off-axis case. The salient properties of the part of the integral equation kernel due to the presence of the infinite tube are highlighted since this term contains an infinite series of Sommerfeld-type integrals with complicated integrands. Attention is given to the efficient numerical evaluation of this term in light of the vaxious singularities which exist on the path along which the integral is evaluated. Techniques which accelerate the convergence of the series are presented for the case where the antenna is very near the tube‚Äôs surface. Data for the current induced on the antenna are presented for various cases where the antenna is inside or outside the tube. ¬© 1993, VSP. All rights reserved.</t>
  </si>
  <si>
    <t>1033-1056</t>
  </si>
  <si>
    <t>;60026610</t>
  </si>
  <si>
    <t>7404933093;7201550943</t>
  </si>
  <si>
    <t>Martin, A. Q.;Butler, C. M.</t>
  </si>
  <si>
    <t>Clemson</t>
  </si>
  <si>
    <t>Clemson University</t>
  </si>
  <si>
    <t>Martin A.</t>
  </si>
  <si>
    <t>Analysis of an Axially-Directed Antenna Exciting an Infinite Conducting Tube</t>
  </si>
  <si>
    <t>10.1163/156939393X00958</t>
  </si>
  <si>
    <t>2-s2.0-84889544735</t>
  </si>
  <si>
    <t>['¬© 1993', 'tetradecadienyl acetate', 'rights reserved', 'pheromone components', 'f gc', 'com pounds']</t>
  </si>
  <si>
    <t>(9Z,12E)-9,12- Tetradecadienyl Acetate | (9Z,12E)-9,12-Tetradecadien-1-ol | Euzophera punicaella | Pyralidae | Sex Pheromone</t>
  </si>
  <si>
    <t>By means o f GC, GC-M S and GC-combined EAG recordings (9Z,12¬£)-9,12-tetradecadien-l-ol (1) and (9Z,12¬£)-9,12-tetradecadienyl acetate (2) in a ratio of 4:1 were identified as the pheromone components o f the female pyralid moth Euzophera punicaella M. originating from Armenia. Determination o f EAG activity with male moth antennae and synthetic test chemicals revealed best responses with a mixture o f both com pounds. ¬© 1993, Walter de Gruyter. All rights reserved.</t>
  </si>
  <si>
    <t>110-112</t>
  </si>
  <si>
    <t>60000765;60000765;60000765;60000765;60000765;60070846;60070846</t>
  </si>
  <si>
    <t>7006503853;7101671059;7003570312;7102526674;7003507540;16456714600;6602449810</t>
  </si>
  <si>
    <t>Bestmann, H. J.;Kern, F.;Melikyan, G. G.;Sch√§fer, D.;Vostrowsky, O.;Babayan, E. V.;Badanyan, S. O.</t>
  </si>
  <si>
    <t>Armenia;Germany</t>
  </si>
  <si>
    <t>Yerevan;Erlangen</t>
  </si>
  <si>
    <t>National Academy of Sciences of the Republic of Armenia;Friedrich-Alexander-Universit√§t Erlangen-N√ºrnberg</t>
  </si>
  <si>
    <t>60070846;60000765</t>
  </si>
  <si>
    <t>Pheromones, 88 [1]. Sex pheromone components of female euzophera punicaella m. (lepidoptera, pyralidae)</t>
  </si>
  <si>
    <t>10.1515/znc-1993-1-221</t>
  </si>
  <si>
    <t>2-s2.0-84904136431</t>
  </si>
  <si>
    <t>['two users', 'transmit antennas', 'simulations demonstrate', 'receive beam', 'promising technique', 'potential benefits', 'optimal degrees', 'noise ratio', 'letter focuses', 'interference alignment', 'input multiple', 'ia scheme', 'high signal', 'formula omitted', 'forming vectors', 'downlink scenario', 'conventional techniques', 'cellular networks', 'cell multiple', 'analytical results', '2 n']</t>
  </si>
  <si>
    <t>The interference alignment (IA) is a promising technique to effectively mitigate interferences in wireless communication systems. To show the potential benefits of such an IA scheme, this letter focuses on a two-cell multiple-input multiple-output (MIMO) Gaussian interfering broadcast channels (MIMO-IFBC) with M transmit antennas and N receive antennas. It corresponds to a downlink scenario for cellular networks with two base stations (BSs) with M transmit antennas per BS, and two users with N receive antennas per user, on the cell-boundary of each BS. In this scenario, we propose a novel IA technique jointly designing transmit and receive beam-forming vectors in a closed-form expression without iterative computation. It is also analytically shown that the proposed IA algorithm achieves the optimal degrees of freedom (DoF) of 2 N in the case of [formula Omitted] &lt; M &lt; 2N. The simulations demonstrate that not only the analytical results are valid, but the sum-rate of our proposed scheme also outperforms those of conventional techniques, especially in the high signal-to-noise ratio (SNR) regime. ¬© 1993 IEEE</t>
  </si>
  <si>
    <t>786-797</t>
  </si>
  <si>
    <t>60003780;60003780;60003780;60003780;60003780</t>
  </si>
  <si>
    <t>36009462000;35148128800;35190669100;8340976200;7201796317</t>
  </si>
  <si>
    <t>Shin, Wonjae;Lee, Namyoon;Lim, Jong Bu;Shin, Changyong;Jang, Kyunghun</t>
  </si>
  <si>
    <t>Suwon</t>
  </si>
  <si>
    <t>Samsung Electronics Co. Ltd.</t>
  </si>
  <si>
    <t>Shin W.</t>
  </si>
  <si>
    <t>On the Design of Interference Alignment Scheme for Two-Cell MIMO Interfering Broadcast Channels</t>
  </si>
  <si>
    <t>10.1109/7.220930</t>
  </si>
  <si>
    <t>2-s2.0-84941529467</t>
  </si>
  <si>
    <t>['thicker substrates', 'temporal properties', 'source change', 'rapidly evaluated', 'problem since', 'induced waveform', 'induced voltage', 'highly dependent', 'gaussian excitation', 'fundamental resonance', 'elements printed', 'domain response', 'current waveform', 'attractive technique']</t>
  </si>
  <si>
    <t>The singularity expansion method (SEM) is applied to study the interaction of a transient electromagnetic plane wave with a printed strip antenna. The SEM is an attractive technique for this problem since the time-domain response of the element is separated into excitation-independent natural resonances and modes, which have considerable physical significance, and closed-form coupling terms which can be rapidly evaluated as the geometric or temporal properties of the source change. The purpose of this work is to demonstrate the SEM as applied to the transient microstrip problem, and to study the effect of varying the properties of the printed circuit substrate over a range of values typically found in microstrip antenna applications. The transient response due to a step and Gaussian excitation is studied, where it is found that the level of transient signal induced on a printed element increases with increasing substrate thickness and decreases with increasing substrate permittivity. The shape of the induced voltage or current waveform is highly dependent on the geometric and temporal properties of the source for elements printed on relatively thin substrates, while the elements printed on thicker substrates the shape of the induced waveform is much less sensitive to the form of the excitation, and resembles the oscillation of the fundamental resonance of the antenna. ¬© 1993 IEEE</t>
  </si>
  <si>
    <t>1742-1746</t>
  </si>
  <si>
    <t>Hanson, George W.</t>
  </si>
  <si>
    <t>University of Wisconsin-Milwaukee</t>
  </si>
  <si>
    <t>Hanson G.</t>
  </si>
  <si>
    <t>An SEM Analysis of the Voltage Induced upon a Printed Strip Antenna by a Transient Plane Wave</t>
  </si>
  <si>
    <t>10.1109/8.273321</t>
  </si>
  <si>
    <t>2-s2.0-84941532372</t>
  </si>
  <si>
    <t>['¬© 1993', 'us army', 'united states', 'sputnik 1', 'rights reserved', 'probe attemots', 'operating frequency', 'launched within', 'later launches', 'ground stations', 'first elements', 'evolved within', 'crash basis', 'army probes', 'antenna design']</t>
  </si>
  <si>
    <t>To support the series of early Pioneer lunar-probe attemots by the US Air Force and US Army, in 1958‚Äì59, Ramo-Wooldridge‚Äôs Space Technology Laboratories (STL) and Caltech‚Äôs Jet Propulsion Laboratory (JPL) designed two separate networks of ground stations.Because the probes were authorized as a potential quick means of restoring international prestige to the United States, after the Soviet Union‚Äôs successful orbiting of Sputnik 1, and thus were all scheduled to be launched within a year of authorization, both networks had to be installed on a crash basis.The differences between these two initial networks-in terms of antenna design, operating frequency, and location-are described, and it is shown how the extra months afforded to JPL (due to the later launches of the Army probes) allowed its engineers to design and install the first elements of a system that evolved within a few years into NASA‚Äôs Deep Space Network. ¬© 1993, IEEE. All rights reserved.</t>
  </si>
  <si>
    <t>49-57</t>
  </si>
  <si>
    <t>60009037;</t>
  </si>
  <si>
    <t>56894751900;6603395713</t>
  </si>
  <si>
    <t>Waif, Craig B.;Croswell, William F.</t>
  </si>
  <si>
    <t>Waif C.</t>
  </si>
  <si>
    <t>Designing the United States‚Äô Initial ‚ÄúDeep-Space Networks:‚Äù Choices for the Pioneer Lunar-Probe Attempts of 1958‚Äì59</t>
  </si>
  <si>
    <t>10.1109/74.210830</t>
  </si>
  <si>
    <t>2-s2.0-84943459562</t>
  </si>
  <si>
    <t>['temporal error', 'system regime', 'statistical physics', 'replica method', 'receiver go', 'practical system', 'originally developed', 'necessarily gaussian', 'input multiple', 'g .,', 'error probability', 'constant ratio', 'central receiver', 'antenna elements']</t>
  </si>
  <si>
    <t>Using the replica method, originally developed in statistical physics, we derive the asymptotic mutual information (MI) of a spatially correlated Rician multiple-input multiple-output (MIMO) multiple-access (MA) channel for any given signaling input distributions (not necessarily Gaussian) in the large-system regime where the numbers of antennas at the transmitters and the receiver go to infinity with a constant ratio. In addition to the result that uses joint optimum decoding (JOD) at the central receiver, we also obtain asymptotic characteristics of a more practical system which performs separate detection and decoding (SDD) (i.e., spatial detection followed by a temporal error-correction decoder). Simulation results reveal that the asymptotic results provide promising estimates for the average performance metrics (e.g., the error probability and the MI) even with only a few antenna elements at the transceivers. ¬© 1993 IEEE</t>
  </si>
  <si>
    <t>781-786</t>
  </si>
  <si>
    <t>60011357;60022148;60033110</t>
  </si>
  <si>
    <t>7201367144;7404759940;24444199100</t>
  </si>
  <si>
    <t>Wen, Chao Kai;Wong, Kai Kit;Chen, Jung Chieh</t>
  </si>
  <si>
    <t>Taiwan;United Kingdom;Taiwan</t>
  </si>
  <si>
    <t>Kaohsiung;London;Kaohsiung</t>
  </si>
  <si>
    <t>National Kaohsiung Normal University;University College London;National Sun Yat-Sen University</t>
  </si>
  <si>
    <t>60033110;60022148;60011357</t>
  </si>
  <si>
    <t>Wen C.</t>
  </si>
  <si>
    <t>Asymptotic Mutual Information for Rician MIMO-MA Channels with Arbitrary Inputs: A Replica Analysis</t>
  </si>
  <si>
    <t>10.1109/20.195675</t>
  </si>
  <si>
    <t>2-s2.0-84945715847</t>
  </si>
  <si>
    <t>–†–ê–ù</t>
  </si>
  <si>
    <t>['¬© 1993', 'wild type', 'water splitting', 'state rates', 'state cycle', 'significantly diminished', 'signal due', 'rights reserved', 'respiratory inhibition', 'respiratory activity', 'redox cycling', 'red illumination', 'quantum efficiencies', 'performed analyses', 'oxygen rise', 'oxygen concentration', 'optical cross', 'mutated cyanobacterium', 'mutant possesses', 'induced yields', 'ic2 mutants', 'ic2 mutant', 'higher ps', 'first flash', 'extrinsic mn', 'clearly seen', 'background far', 'aerobic conditions', 'acta 1102', '675 nm', '1992 )).']</t>
  </si>
  <si>
    <t>33 kDa Protein | Mutants | Oxygen Evolution | Photosystem II | Synechocystis</t>
  </si>
  <si>
    <t>The absence of the extrinsic Mn-stabilizing 33 kDa protein in the IC2 mutant of Synechocystis PCC 6803 disturbs the redox cycling of the water splitting system and retards the formation of its higher S-states (I. Vass, K. Cook, S. Deak, S. R. Mayes, and J. Barber, Biochim. Biophys. Acta 1102, 195‚Äî201 (1992)). We have performed analyses of the flashinduced oxygen exchange in the mutated cyanobacterium to clarify further the role of the 33 kDa protein. Under aerobic conditions, both the wild type and IC2 mutant show a relatively slow signal of oxygen rise on the first flash which is increased about twice by the addition of 10 (aM DCMU and significantly diminished by lowering the oxygen concentration in the medium. According to action spectra measurements, this mode of apparent oxygen release is mediated by PS I and can be attributed to a light induced inhibition of respiratory activity. In contrast to the wild type, having the usual oxygen evolution flash pattern with a periodicity of four, the IC2 mutant shows a binary oscillation pattern of flash-induced respiratory oxygen exchange at a flash frequency 10 Hz, being dampened with DCMU or by a lower flash frequency (&gt; 1 Hz). Oxygen evolution due to water splitting is clearly seen in the IC2 mutant when background far-red illumination is applied to saturate the signal due to respiratory inhibition, but a quadruple oscillatory component of flash-induced oxygen evolution appears only in the presence of artificial electro n acceptors under partial aerobic conditions. The mutant possesses a higher PS I/PS II ratio compared to the wild type, as judged from both the flash-induced yields and quantum efficiencies of the steady-state rates of the oxygen exchange reactions. Estimates of antenna sizes indicate about a 20% decrease of optical cross-section at 675 nm of the PS II unit in IC2 mutants in comparison with the wild type. It is suggested that the absence of the 33 kDa protein leads to a modification of the PS II assembly and because of the slowing down of the S-state cycle, the rate of cyclic electron flow around PS II is enhanced. It seems that the absence of the 33 kDa protein in Synechocystis 6803 also disturbs energy transfer between adjacent PS II core complexes and may also alter their association with the phycobilisomes. ¬© 1993, Walter de Gruyter. All rights reserved.</t>
  </si>
  <si>
    <t>224-233</t>
  </si>
  <si>
    <t>60015150;60015150-60021331;60021331</t>
  </si>
  <si>
    <t>8952982400;7402350514;35944650900</t>
  </si>
  <si>
    <t>Mayes, S. R.;Barber, J.;Klimov, V. V.</t>
  </si>
  <si>
    <t>Russian Federation;United Kingdom</t>
  </si>
  <si>
    <t>Moscow;London</t>
  </si>
  <si>
    <t>Russian Academy of Sciences;Imperial College London</t>
  </si>
  <si>
    <t>60021331;60015150</t>
  </si>
  <si>
    <t>Mayes S.R.</t>
  </si>
  <si>
    <t>Characterization of the light-induced oxygen gas exchange from the IC2 deletion mutant of synechocystis PCC 6803 lacking the photosystem II 33 kDa extrinsic protein</t>
  </si>
  <si>
    <t>10.1515/znc-1993-3-418</t>
  </si>
  <si>
    <t>2-s2.0-84945735057</t>
  </si>
  <si>
    <t>50-51</t>
  </si>
  <si>
    <t>Schrank, Hal</t>
  </si>
  <si>
    <t>Directivity of Omnidirectional Antennas</t>
  </si>
  <si>
    <t>10.1109/74.242180</t>
  </si>
  <si>
    <t>2-s2.0-84947667927</t>
  </si>
  <si>
    <t>['unduly increase', 'two vertically', 'two antennas', 'scattering strength', 'rotating object', 'provides information', 'proposed method', 'projective coordinate', 'position parameters', 'monopulse imaging', 'image reconstruction', 'fields received', 'field backscattered', 'displaced antennas', 'different height', 'data acquisition', 'cross range', 'computing load']</t>
  </si>
  <si>
    <t>In this paper we propose a 3-D imaging method combining the concepts of monopulse imaging and wideband ISAR imaging. The field backscattered from a rotating object is received by two vertically-displaced antennas. From the fields received by the two antennas we can obtain a 3-D image which provides information about scattering strength and the 3-D position parameters (down range, cross range, and height) of the object‚Äôs scattering centers. This method does not unduly increase the complexity of the data acquisition or computing load in the image reconstruction. Numerical and experimental results show the effectiveness of the proposed method. However, when multiple scattering centers are collocated at the same projective coordinate with different height, the proposed method fails to separate the scatterers. ¬© 1993 VSP</t>
  </si>
  <si>
    <t>1137-1153</t>
  </si>
  <si>
    <t>35722152600;57001280200</t>
  </si>
  <si>
    <t>Li, H. J.;Jauh, Y. Z.</t>
  </si>
  <si>
    <t>Li H.</t>
  </si>
  <si>
    <t>3-D Microwave Imaging by Combined Monopulse and Wideband ISAR Technique</t>
  </si>
  <si>
    <t>10.1163/156939393X01010</t>
  </si>
  <si>
    <t>2-s2.0-84949739402</t>
  </si>
  <si>
    <t>['physical arguments', 'paper describes', 'limiting value', 'interelement spacing', 'francis group', 'finite extent', 'element spacing', 'directivity broadside']</t>
  </si>
  <si>
    <t>This paper describes a simple, mathematically rigorous method for computing the directivity broadside to a homogeneous, rectangular antenna array in terms of the interelement spacing and the number of elements in each side. The finite extent of the array is accounted for by explicit correction terms, and the limiting value of the directivity as the number of elements becomes infinite is shown to agree with the accepted value deduced by physical arguments. The mathematically rigorous argument predicts the well-known 'dips' observed in the directivity as a function of the ratio of element spacing to wavelength. ¬© 1993 Taylor &amp; Francis Group, LLC.</t>
  </si>
  <si>
    <t>675-685</t>
  </si>
  <si>
    <t>Grossman, N.</t>
  </si>
  <si>
    <t>Grossman N.</t>
  </si>
  <si>
    <t>The dips in the directivity of a planar rectangular array</t>
  </si>
  <si>
    <t>10.1163/156939393X00804</t>
  </si>
  <si>
    <t>2-s2.0-84950606738</t>
  </si>
  <si>
    <t>['¬© 1993', 'unwanted signals', 'test region', 'sides except', 'rotating cylinder', 'rights reserved', 'plane wave', 'performed using', 'paper presents', 'measured results', 'indoor far', 'go ).', 'delay allowing', 'conductive walls', 'aspect angle', 'analytical results']</t>
  </si>
  <si>
    <t>This paper presents the analysis and evaluation of an indoor far-field chamber used for radar cross section (RCS) evaluation. The range has conductive walls on all sides except for the pyramidal absorber covered back wall. The chamber was designed such that wall/floor/ceiling interactions occur with a distance (time) delay allowing for their isolation from the test region. Software gating techniques were used to remove these unwanted signals. This paper presents an analysis of the conductive chamber using Geometrical Optics (GO). The objective was to analyze and evaluate the plane wave quality in the chamber test region. The evaluation of the plane wave was performed using the angle transform technique. This method involved measuring the complex RCS vs. aspect angle of a rotating cylinder. The measured results were compared to analytical results and measured antenna patterns. ¬© 1993, VSP. All rights reserved.</t>
  </si>
  <si>
    <t>247-262</t>
  </si>
  <si>
    <t>60022144;115437199</t>
  </si>
  <si>
    <t>35465847700;6508220283</t>
  </si>
  <si>
    <t>Christodoulou, C. G.;Arceneaux, W. S.</t>
  </si>
  <si>
    <t>Orlando;</t>
  </si>
  <si>
    <t>University of Central Florida;Martin Company Orlando</t>
  </si>
  <si>
    <t>On the Evaluation of an Indoor Far-Field Conductive Chamber</t>
  </si>
  <si>
    <t>10.1163/156939393X00327</t>
  </si>
  <si>
    <t>2-s2.0-84950622002</t>
  </si>
  <si>
    <t>['subreflector size', 'small size', 'sidelobe phenomenon', 'several œª', 'scatter patterns', 'rights reserved', 'possible cause', 'plane phase', 'geometrical theory', 'diffraction limitations', 'cassegrain antennas', 'amplitude patterns', '8 œª']</t>
  </si>
  <si>
    <t>Cassegrain antennas have been utilized in applications where small size is critical. It has been observed that for antennas having subreflectors of the order of only several Œª in diameter, near-in sidelobe levels rise beyond normally predicted values. E- plane sidelobes axe often several dB higher than those in the Œó-plane. Disturbances in the illumination of the primary reflector due to diffraction limitations of the electrically small subreflector axe a possible cause of the sidelobe phenomenon. In this work, the results for 3 to 8 Œª -diameter hyperboloidal subreflectors, using the geometrical theory of diffraction (GTD) are presented and compared with the physical optics approach and other data. Degradation of the scatter patterns are observed as the subreflector size is decreased, and the differences in the E-and Œó-plane phase and amplitude patterns are observed in the GTD solution.¬© 1993, VSP. All rights reserved.</t>
  </si>
  <si>
    <t>987-1004</t>
  </si>
  <si>
    <t>60022144;60002959</t>
  </si>
  <si>
    <t>35465847700;57011484100</t>
  </si>
  <si>
    <t>Christodoulou, C. G.;Cook, D. C.</t>
  </si>
  <si>
    <t>Orlando;Bethesda</t>
  </si>
  <si>
    <t>University of Central Florida;Lockheed Martin Corporation</t>
  </si>
  <si>
    <t>Analysis of Electrically Small Hyperbolic Subreflectors Utilizing the Geometrical Theory of Diffraction</t>
  </si>
  <si>
    <t>10.1163/156939393X00156</t>
  </si>
  <si>
    <t>2-s2.0-84950631095</t>
  </si>
  <si>
    <t>['√© tection', 'remote sensing', 'rcs calculated', 'radar cross', 'paper describes', 'minimizing sources', 'also provided', '1 data']</t>
  </si>
  <si>
    <t>This paper describes the design and construction of comer reflectors used in ERS-1 SAR calibration experiments. The emphasis is on minimizing sources of error in both construction and deployment so that the radar cross-section (RCS) is known as accurately as possible. A comparison of the RCS calculated from mechanical assembly measurements with both photogrammetric and antenna range methods is also provided. The use of radomes to maintain target stability is described, and results from ERS-1 data are presented. ¬© Canadian Journal of Remote Sensing/Journal canadien de t√©l√©d√©tection.</t>
  </si>
  <si>
    <t>209-217</t>
  </si>
  <si>
    <t>A precision corner refiector for ers-1 sar calibration</t>
  </si>
  <si>
    <t>2-s2.0-84953608955</t>
  </si>
  <si>
    <t>['source diameter', 'solar observations', 'simple radio', 'pattern equation', 'circular source', 'briefly analyzed']</t>
  </si>
  <si>
    <t>The pattern equation of a simple radio-interferometer is deduced. On the basis of this equation the response and the visibility for a circular source are computed. The analysis of the visibility as a function of the source diameter and the distance between the antennas is done. On the basis of the behavior of the visibility function applications of interferometers for solar observations and communications are briefly analyzed.</t>
  </si>
  <si>
    <t>654-663</t>
  </si>
  <si>
    <t>0035001X</t>
  </si>
  <si>
    <t>Revista Mexicana de Fisica</t>
  </si>
  <si>
    <t>Mendoza-Torres, J. E.</t>
  </si>
  <si>
    <t>Mexico</t>
  </si>
  <si>
    <t>Puebla</t>
  </si>
  <si>
    <t>Instituto Nacional de Astrofisica Optica y Electronica</t>
  </si>
  <si>
    <t>Mendoza-Torres J.</t>
  </si>
  <si>
    <t>The interferometric pattern of a simple radiointerferometer for a circular source</t>
  </si>
  <si>
    <t>2-s2.0-84960082661</t>
  </si>
  <si>
    <t>['¬© 1993', 'sheathless case', 'sheath thickness', 'rights reserved', 'plasma density', 'experimental data', 'dispersion properties', 'directed along', 'azimuthal direction', 'antenna radius', 'antenna axis', 'also considered', 'active plasma']</t>
  </si>
  <si>
    <t>The dispersion properties and electromagnetic field topography of surface waves propagating along and in the azimuthal direction with respect to a cylindrical metal antenna immersed in a magneto-active plasma are investigated. The external magnetic field is directed along the antenna axis. The presence of a vacuum-gap sheath region separating the antenna from the plasma is assumed. The sheathless case is also considered. The dependence of the surface-wave dispersion properties on magnetic field intensity, plasma density, antenna radius and sheath thickness is presented for structure parameters close to experimental data. The results show qualitative agreement between our theory and experiment. The antenna surface impedance is calculated as well. ¬© 1993, Cambridge University Press. All rights reserved.</t>
  </si>
  <si>
    <t>369-384</t>
  </si>
  <si>
    <t>Journal of Plasma Physics</t>
  </si>
  <si>
    <t>60027251;60027251;60027251</t>
  </si>
  <si>
    <t>7005703838;6602888962;26636586300</t>
  </si>
  <si>
    <t>Azarenkov, N. A.;Denisenko, I. B.;Ostrikov, K. N.</t>
  </si>
  <si>
    <t>V. N. Karazin Kharkiv National University</t>
  </si>
  <si>
    <t>Azarenkov N.A.</t>
  </si>
  <si>
    <t>Wave properties of a cylindrical antenna immersed in a magneto-active plasma</t>
  </si>
  <si>
    <t>10.1017/S0022377800017219</t>
  </si>
  <si>
    <t>2-s2.0-84971124394</t>
  </si>
  <si>
    <t>Fonds pour la Formation de Chercheurs et l'Aide √† la Recherche</t>
  </si>
  <si>
    <t>FCAR</t>
  </si>
  <si>
    <t>['¬© 1993', 'turning back', 'surface waves', 'rights reserved', 'respective contribution', 'plasma columns', 'phase diagram', 'guided waves', 'collisional processes', 'axial wavenumber']</t>
  </si>
  <si>
    <t>Electromagnetic surface waves dissipate energy as they propagate in plasma columns. The transfer of energy to the discharge generally occurs through collisional processes - hence the name ‚Äòcollisional‚Äô surface waves. It affects the direction of propagation of the wave, and is responsible in particular for the turning back of the axial wavenumber on the phase diagram. The rate of collisions also influences the respective contribution of surface waves and radiation (unguided) waves to the total electromagnetic field. These considerations are of interest in improving the reliability and accuracy of the electron density diagnostic based on surface waves. This paper takes advantage of the many articles published in the domain of guided waves for antennas. ¬© 1993, Cambridge University Press. All rights reserved.</t>
  </si>
  <si>
    <t>357-374</t>
  </si>
  <si>
    <t>60009507;60009507</t>
  </si>
  <si>
    <t>57206422767;7007168253</t>
  </si>
  <si>
    <t>Margot, J.;Moisan, M.</t>
  </si>
  <si>
    <t>University of Montreal</t>
  </si>
  <si>
    <t>Margot J.</t>
  </si>
  <si>
    <t>Characteristics of surface-wave propagation in dissipative cylindrical plasma columns</t>
  </si>
  <si>
    <t>10.1017/S0022377800017062</t>
  </si>
  <si>
    <t>2-s2.0-84971182243</t>
  </si>
  <si>
    <t>['¬© 1993', 'vlf transmitter', 'vlf investigations', 'unique opportunity', 'tweek investigations', 'rights reserved', 'night conditions', 'near field', 'low ionosphere', 'ionosphere cavity', 'horizontal antenna', 'atmospherics excited', '8 khz']</t>
  </si>
  <si>
    <t>atmospherics | earth-ionosphere waveguide | ELF-VLF diagnostics | Schumann resonances | Siple Station | transverse resonances</t>
  </si>
  <si>
    <t>The paper discusses ELF-VLF investigations of the low Antarctic ionosphere. Two new methods of lower ionospheric diagnostics are based on an investigation of the VLF electromagnetic field structure in the Earth-ionosphere cavity. One method deals with the analysis of local transverse cavity resonances in the near field of an emitter (a horizontal antenna) with a frequency (~1.5-8 kHz) in the range of the first few resonances. The other method, based on tweek investigations, is applicable under night conditions and enables the characteristics of the low ionosphere to be determined over a signal propagation path. The use of the ELF-VLF transmitter at Siple Station provides a unique opportunity to implement these methods, as does the ELF multipoint recording in the Schumann resonance band of atmospherics excited by powerful lightning discharges. ¬© 1993, Antarctic Science Ltd. All rights reserved.</t>
  </si>
  <si>
    <t>107-113</t>
  </si>
  <si>
    <t>Antarctic Science</t>
  </si>
  <si>
    <t>60014036;60014036;60014036;60014036;60014036;60014036;60014036;60014036</t>
  </si>
  <si>
    <t>7102270319;7004663642;56543775400;7005384556;57197314008;23398321900;6508151419;57189528807</t>
  </si>
  <si>
    <t>Reznikov, A. E.;Sukhorukov, A. I.;Edemskii, D. E.;Kopeikin, V. V.;Morozov, P. A.;Ryabov, B. S.;Shchekotov, A. Y.U.;Solov'ev, A. Y.U.</t>
  </si>
  <si>
    <t>Troitsk</t>
  </si>
  <si>
    <t>Pushkov Institute of Terrestrial Magnetism, Ionosphere and Radiowave Propagation, Russian Academy of Sciences</t>
  </si>
  <si>
    <t>Reznikov A.E.</t>
  </si>
  <si>
    <t>Investigations of the Lower Ionosphere Over Antarctica Via Elf-Vlf Radiowaves</t>
  </si>
  <si>
    <t>10.1017/S0954102093000148</t>
  </si>
  <si>
    <t>2-s2.0-84971812823</t>
  </si>
  <si>
    <t>['√© cennie', 'special consideration', 'remote sensing', 'precision photogrammetry', 'potential applications', 'positioning accuracy', 'pilot study', 'photogrammetic society', 'past decade', 'paper discusses', 'operational aspects', 'one part', 'mining industry', 'millimetre level', 'mathematical modelling', 'lessons learned', 'large scale', 'industrial sectors', 'high level', 'helicopter photography', 'geotechnical engineering', 'convergent network', 'come mainly', 'broader application', 'areas alone', 'antenna manufacturing', '6 km']</t>
  </si>
  <si>
    <t>Developments in automated close range photogrammetry over the past decade have produced systems capable of achieving measurement accuracies of one part in several hundred thousand of the size of the object. The impetus for precision photogrammetry has come mainly from the industrial sectors of aircraft, aerospace and antenna manufacturing, but potential applications are not limited to these areas alone. This paper discusses the applicability of industrial photogrammetric techniques for the monitoring of ground surface displacements which accompany oil recovery operations. A pilot study is reported in which photogrammetric positioning accuracies at the millimetre level were sought over an area of 1 √ó 1.6 km. The large scale of the convergent network, coupled with the high level of positioning accuracy, meant that special consideration had to be given to both operational aspects (helicopter photography and targeting) and mathematical modelling (refraction compensation). Lessons learned in this project have implications for the broader application of high precision photogrammetry in large scale civil and geotechnical engineering, as well as in the mining industry. Les progr√®s r√©alis√©s dans la photogramm√©trie rapproch√©e automatis√©e au cours de la derni√®re d√©cennie, ont d√©bouch√© sur des syst√®mes capables ƒèeffectuer des mesures avec une pr√©cision de quelques cent milli√®mes de la taille de ƒæobjet. La photogramm√©trie de haute pr√©cision a b√©n√©fici√©ƒèune impulsion venant essentiellement du secteur des industries de ƒæaviation, de ƒæaerospatial et des constructeurs ƒèantennes, mais ses applications potentielles ne se limitent pas √† ces seuls secteurs. On examine dans cet article la possibility√©ƒèapplication des techniques de photogramm√©trie industrielle √† la surveillance des mouvements de la surface du sol qui se produisent dans les op√©rations ƒèextraction du p√©trole. On d√©crit une op√©ration‚Äêpilote dans laquelle on recherchait des pr√©cisions de localisation photogramm√©trique de ƒæordre du millim√®tre sur une zone de 1 √ó 1,6km. La r√©alisation ƒèun r√©seau de photographies convergentes prises √† grande √©chelle et destin√©es √† fournir une pr√©cision de localisation de haut niveau, a demand√© de pr√™ter une attention particuli√®re aux aspects op√©rationnels (photographie en h√©licopt√®re et pr√©‚Äêbalisage) ainsi qu'√† la mod√©lisation math√©matique (corrections de r√©fraction). ƒΩexp√©rience acquise dans ce projet pourra √™tre utilis√©e pour une application plus √©tendue de la photogramm√©trie de haute pr√©cision dans le domaine du g√©nie civil ou g√©o‚Äêtechnique √† grande √©chelle ainsi que dans ƒæindustrie mini√®re. Entwicklungen in der automatisierten Nahbereichsphotogrammetrie haben in der letzten Dekade zu Sstemen gef√ºhrt, mit denen MeŒ≤genauigkeiten von 1 zu einigen Einhunderttausend der Objektgr√∂Œ≤e m√∂glich sind. Der AnstoŒ≤ zur Pr√§zisionsphotogrammetrie kam hauptsdchlich von der Luftfahrt‚Äê, Raumfahrt‚Äê und Antennenindustrie, aber m√∂gliche Anwendungen sind nicht darauf beschr√§nkt. Im Artikel wird die Anwendbarkeit von Verfahren der Industriephotogrammetrie auf Bewegungen der Gel√§nde‚Äêoberfl√§che, die im Zusammenhang mit der F√∂rderung von Erd√∂l auftreten, diskutiert. Es wird √ºber eine Pilotstudie berichtet, bei der man √ºber ein Gebiet von 1x1,6 km photogrammetrische Positioniergenauigkeiten im Millimeter‚ÄêBereich anstrebte. Der groŒ≤e maŒ≤stab des konvergenten Netzes, gepaart mit dem hohen Niveau der Positioniergenauigkeit bedeuteten, daŒ≤ sowohl die operationellen Aspekte (Hubschrauberaufnahmen und Signalisierung) ah auch die mathematische Modellierung (Kompensation der Refraktion) spezielle √úberlegungen erforderten. Die bei diesem Projekt gesammelten Erfahrungen haben einen EinfluŒ≤ auf die breitere Anwendung der Pr√§zisions‚Äêphotogrammetrie auf groŒ≤maŒ≤st√§bige Aufgaben im Bau‚Äê und Geo‚Äêingenieurwesen sowie im Bergbau. 1993 Blackwell Publishing and the Remote Sensing and Photogrammetic Society</t>
  </si>
  <si>
    <t>505-521</t>
  </si>
  <si>
    <t>0031868X</t>
  </si>
  <si>
    <t>The Photogrammetric Record</t>
  </si>
  <si>
    <t>Fraser, C. S.</t>
  </si>
  <si>
    <t>HIGH ACCURACY GROUND SURFACE DISPLACEMENT MONITORING</t>
  </si>
  <si>
    <t>10.1111/j.1477-9730.1993.tb00278.x</t>
  </si>
  <si>
    <t>2-s2.0-84981568548</t>
  </si>
  <si>
    <t>['wiley blackwell', 'unique suites', 'site association', 'rights reserved', 'relatively portable', 'power supply', 'nine species', 'morphological characters', 'influenced primarily', 'costa rica', 'caudal appendages', 'also reared']</t>
  </si>
  <si>
    <t>Abstract. The larvae of seven of the nine Costa Rican species of Hetaerina (H.capitalis, H.cruentata, H.fuscoguttata, H.majuscula, H.miniata, H.occisa and H. titia) were identified by matching their Cellulose Acetate Gel Electrophoresis (CAGE) patterns with those of adults. CAGE allows larval descriptions to be processed at a much faster rate than through traditional rearing techniques and, provided that refrigeration and a power supply are available, is relatively portable and robust. Adults of H.capitalis, H.cruentata and H.miniata were also reared from final instar larvae. Larvae of H.caja and H.sempronia were identified by site association with adults and unique suites of morphological characters. Characters on the head, antennae, labium, pronotum, legs, abdomen, and caudal appendages are described and illustrated, and a key to final instar larvae of all nine species is presented. The distribution of Hetaerina in Costa Rica is influenced primarily by the Cordillera. Copyright ¬© 1993, Wiley Blackwell. All rights reserved</t>
  </si>
  <si>
    <t>253-265</t>
  </si>
  <si>
    <t>Systematic Entomology</t>
  </si>
  <si>
    <t>60002306;60002306;60071924</t>
  </si>
  <si>
    <t>6602542870;7101687523;7101891683</t>
  </si>
  <si>
    <t>ZLOTY, JACEK;PRITCHARD, GORDON;ESQUIVEL, CARLOS</t>
  </si>
  <si>
    <t>Costa Rica;Canada</t>
  </si>
  <si>
    <t>Heredia;Calgary</t>
  </si>
  <si>
    <t>Universidad Nacional de Costa Rica;University of Calgary</t>
  </si>
  <si>
    <t>60071924;60002306</t>
  </si>
  <si>
    <t>ZLOTY J.</t>
  </si>
  <si>
    <t>Larvae of the Costa Rican Hetaerina (Odonata: Calopterygidae) with comments on distribution</t>
  </si>
  <si>
    <t>10.1111/j.1365-3113.1993.tb00665.x</t>
  </si>
  <si>
    <t>2-s2.0-84981674341</t>
  </si>
  <si>
    <t>['wiley blackwell', 'wavelengths œõ', 'wavelength range', 'trapping time', 'spectral decomposition', 'small compared', 'slight decrease', 'selective excitation', 'rights reserved', 'ps ii', 'picosecond flashes', 'literature data', 'direct excitation', 'close agreement', '717 nm', '715 nm', '710 nm', '705 nm', '700 nm', '690 nm']</t>
  </si>
  <si>
    <t>The primary charge separation in photosystem (PS) I was measured on stacked pea thylakoids using the light‚Äêgradient photovoltage technique. Upon 532 nm excitation with picosecond flashes, a trapping time of 80 ¬± 10 ps for PS I was found, which is in close agreement with literature data. In the wavelength range between 700 nm and 717 nm the trapping time was essentially the same although there was an indication for a slight decrease. To further analyze the data we performed a spectral decomposition of PS I with Chi a and b solvent spectra. This procedure yielded bands at around 682 nm, 690 nm, 705 nm and 715 nm. According to this decomposition, a selective excitation of long‚Äêwavelength antenna pigments at wavelengths Œõ &gt; 710 nm is possible, because the direct excitation of the main 682 nm band is small compared to the excitation of the two most red‚Äêshifted bands. The invariability of the trapping time of the excitation wavelength suggests thermal equilibration of the excitation energy among all antenna pigments according to their excited state energy levels and their abundance. Hence, we conclude that trapping in PS I is essentially rate‚Äêlimited by the primary charge separation much as it is the case in PS II. Then, according to our spectral decomposition in a time constant of2‚Äì3 ps is predicted for the primary charge separation in PS I. Copyright ¬© 1993, Wiley Blackwell. All rights reserved</t>
  </si>
  <si>
    <t>108-112</t>
  </si>
  <si>
    <t>117463516;117463516;117463516</t>
  </si>
  <si>
    <t>57202396392;6506084113;7005429320</t>
  </si>
  <si>
    <t>Trissl, H. ‚ÄêW;Hecks, B.;Wulf, K.</t>
  </si>
  <si>
    <t>Universit√§t Osnabr√§ck</t>
  </si>
  <si>
    <t>Trissl H.</t>
  </si>
  <si>
    <t>INVARIABLE TRAPPING TIMES IN PHOTOSYSTEM I UPON EXCITATION OF MINOR LONG‚ÄêWAVELENGTH‚ÄêABSORBING PIGMENTS</t>
  </si>
  <si>
    <t>10.1111/j.1751-1097.1993.tb02264.x</t>
  </si>
  <si>
    <t>2-s2.0-84984240011</t>
  </si>
  <si>
    <t>['wiley company', 'plasma measurement', 'optimum spacing', 'incident beam', 'inc .,', 'impedance matching', 'focusing optics', 'dielectric lens', 'adjacent detectors']</t>
  </si>
  <si>
    <t>imaging array | Millimeter waves | plasma measurement | video detection | Yagi‚ÄêUda antenna</t>
  </si>
  <si>
    <t>A millimeter‚Äêwave imaging array is proposed in which many Yagi‚ÄêUda antennas are placed on a dielectric lens. By changing the dimensions of these antennas, the impedance matching with the detector is optimized. At the same time, a radiation pattern matched to the incident beam from the focusing optics is realized. The crosstalk between the adjacent detectors on the array is measured. An optimum spacing is derived and a good imaging property is realized. The present imaging array is suitable for MMIC and is applied in practice for plasma measurement for nuclear fusion research. Copyright ¬© 1993 Wiley Periodicals, Inc., A Wiley Company</t>
  </si>
  <si>
    <t>81-90</t>
  </si>
  <si>
    <t>7201993763;23016189800;7004067332;56704856900;36818671300</t>
  </si>
  <si>
    <t>Uehara, Kazuhiro;Nishimura, Hiroshi;Yonekura, Takeshi;Natsume, Ken‚ÄêIchiro ‚ÄêI;Mizuno, Koji</t>
  </si>
  <si>
    <t>Optimum design of yagi‚Äêuda antenna for millimeter‚Äêwave imaging</t>
  </si>
  <si>
    <t>10.1002/ecja.4410760408</t>
  </si>
  <si>
    <t>2-s2.0-84985748336</t>
  </si>
  <si>
    <t>['wiley company', 'virtual multihorns', 'technical standards', 'step discontinuity', 'step discontinuities', 'remote islands', 'radiation pattern', 'proposed anew', 'phase distribution', 'phase difference', 'optimization method', 'optimization depending', 'numerical results', 'main reflector', 'inc .,', 'far field', 'design method', 'current distribution', 'constraint gain', 'broadcast satellite', 'aperture diameter', 'ap 30', 'antenna made', 'amplitude distribution', 'adjacent elements', '40 dbi', '28 dbi', '22 ghz', '12 ghz']</t>
  </si>
  <si>
    <t>Antenna for broadcasting satellite | contoured‚Äêbeam antenna | dual‚Äêreflector antenna | shaped reflector antenna</t>
  </si>
  <si>
    <t>Previously, the authors have proposed a design method of a shaped dual‚Äêreflector contoured‚Äêbeam antenna with virtual multihorns with a view to applications to the broadcast satellite BS‚Äê3. In such a design, there were discontinuities on the main reflector. In this paper, a method for eliminating these step discontinuities is studied for the dual‚Äêreflectors. The current distribution on the main reflector corresponding to the desired radiation pattern is determined by optimization depending on the constraint gain of the far field. Note that the optimization method for the aperture phase distribution was known for a single smoothly shaped contoured‚Äêbeam antenna. Also, in this paper, an optimization method for the amplitude distribution is proposed anew. Further, by adding a restriction to the phase difference between the adjacent elements in the optimization of the phase distribution, the step discontinuity on the reflector is eliminated. By means of this method, an antenna made of a main reflector with an aperture diameter of 2.3 m is designed at 12 GHz which is the frequency of the downlink of the broadcast satellite. Most of Hokkaido, Honshu, Shikoku, Kyushu, and Okinawa is covered by a radiation pattern with more than 40 dBi and other remote islands with more than 28 dBi. A one‚Äêhalf scale model is fabricated and the radiation pattern is measured at 22 GHz. The results agree well with the numerical results. Also, the sidelobe and the cross‚Äêpolarization characteristics of this antenna sufficiently satisfy the technical standards in RR.AP 30. Copyright ¬© 1993 Wiley Periodicals, Inc., A Wiley Company</t>
  </si>
  <si>
    <t>70-80</t>
  </si>
  <si>
    <t>60103907;60103907</t>
  </si>
  <si>
    <t>6701717991;7402596897</t>
  </si>
  <si>
    <t>Shogen, Kazuyoshi;Nishida, Hayato</t>
  </si>
  <si>
    <t>Shogen K.</t>
  </si>
  <si>
    <t>Contoured‚Äêbeam antenna using smoothly shaped dual‚Äêreflectors for broadcasting satellites</t>
  </si>
  <si>
    <t>10.1002/ecja.4410760407</t>
  </si>
  <si>
    <t>2-s2.0-84985756875</t>
  </si>
  <si>
    <t>['wiley company', 'two frequencies', 'transformer made', 'three steps', 'slight modification', 'separation rate', 'separated completely', 'radiating element', 'present method', 'paper combines', 'msa also', 'microstrip antennas', 'method described', 'inc .,', 'ground plane', 'dual banding', 'distributed circuit', 'design consists', '5 percent', '4 percent', '3 percent']</t>
  </si>
  <si>
    <t>broadband | dual frequency | Microstrip antenna | transformer</t>
  </si>
  <si>
    <t>A method for broadbanding and dual banding of the microstrip antennas (MSA) is proposed and discussed. The effect of errors at the time of fabrication of the MSA also is studied. The method described in this paper combines a transformer made of a distributed circuit with the MSA. The design consists of three steps. Since the radiating element and the transformer are separated completely by the ground plane in the present method, the technique can be applied to an MSA with an arbitrary shape without applying any fabrication on the radiating element. Broadbanding can be accomplished rather easily, and the dual‚Äêbanding can be accomplished with a slight modification in the design. The prototype stub‚Äêloaded MSA demonstrated with a bandwidth of 1.3 percent with a VSWR ‚â§ 2 can be increased to 3.4 percent (2.6 times). For the dual‚Äêbanding, the separation rate of two frequencies with respect to the fundamental resonant frequency can be controlled by about 2 to 5 percent. Copyright ¬© 1993 Wiley Periodicals, Inc., A Wiley Company</t>
  </si>
  <si>
    <t>102-112</t>
  </si>
  <si>
    <t>60002561;60002561</t>
  </si>
  <si>
    <t>36908839300;35554356600</t>
  </si>
  <si>
    <t>Sakaguchi, Koichi;Hasebe, Nozomu</t>
  </si>
  <si>
    <t>Nihon University</t>
  </si>
  <si>
    <t>Sakaguchi K.</t>
  </si>
  <si>
    <t>A feeding technique for broadbanding and dual‚Äêbanding microstrip antenna</t>
  </si>
  <si>
    <t>10.1002/ecja.4410760410</t>
  </si>
  <si>
    <t>2-s2.0-84985761653</t>
  </si>
  <si>
    <t>['sex pheromone', 'regularity ).', 'positive chemoanemotaxy', 'one female', 'ol .)', 'males begin', 'male reactivity', 'male antennae', 'female attractiveness', 'eag ).', 'caryedon serratus', 'attractive females', '7 %.', '48 heures', '48 h']</t>
  </si>
  <si>
    <t>attractivit√© | Bruchidae | Caryedon serratus | col√©opt√®re | EAG | insecte | olfactom√©trie | ph√©romone sexuelle | r√©activit√© | scotophase | variabilit√©</t>
  </si>
  <si>
    <t>Les femelles de Caryedon serratus (Ol.) produisent, pendant la scotophase, une ph√©romone sexuelle volatile qui d√©clenche chez les m√¢les une ch√©moan√©motaxie positive. Les effets de l'√¢ge sur l'attractivit√© des femelles et sur la r√©activit√© des m√¢les ont √©t√© √©tudi√©s. Plus de soixante‚Äêdix pour cent des m√¢les commencent √† r√©agir √† la ph√©romone sexuelle d√®s les premi√®res 24 heures qui suivent leur √©mergence. Une seule femelle sur 31 a √©t√© attractive √† cet √¢ge. A 48 heures, le pourcentage des femelles attractives est de 38,7%. Il existe une variabilit√© inter et intra femelles dans la production de ph√©romone sexuelle (d√©but, r√©gularit√©). L'existence des r√©cepteurs antennaires √† la ph√©romone sexuelle chez le m√¢le est montr√©e par des √©tudes √©lectrophysiologiques (EAG). La variabilit√© de la production de ph√©romone sexuelle est discut√©e. Existence of sex pheromone in Caryedon serratus (OL): female attractiveness and male reactivity The female of Caryedon serratus release, from the beginning of scotophase, a sex pheromone witch triggers a positive chemoanemotaxy in males. The effects of age on female attractiveness and on male reactivity are studied. About 70.37% of males begin to react to the sex pheromone within the first 24 h after emergence. At this age, only one female out of 31 is attractive. At 48 h, the percentage of attractive females is 38.7%. There is inter and intra‚Äêfemale variation in sex pheromone production (beginning, regularity). The existence of receptors on male antennae for this pheromone is shown by electrophysiology (EAG). The variability in sex pheromone production is discussed. 1993 The Netherlands Entomological Society</t>
  </si>
  <si>
    <t>253-262</t>
  </si>
  <si>
    <t>Entomologia Experimentalis et Applicata</t>
  </si>
  <si>
    <t>60032530;60032530;60032530;60032530</t>
  </si>
  <si>
    <t>6506776938;7006123442;6507335310;6603099985</t>
  </si>
  <si>
    <t>Cha√≠bou, M.;Pierre, D.;Bi√©mont, J. C.;Pouzat, J.</t>
  </si>
  <si>
    <t>Tours</t>
  </si>
  <si>
    <t>Universit√© de Tours</t>
  </si>
  <si>
    <t>Cha√≠bou M.</t>
  </si>
  <si>
    <t>Existence d'une ph√©romone sexuelle chez Caryedon serratus: attractivit√© des femelles et r√©activit√© des m√¢les</t>
  </si>
  <si>
    <t>10.1111/j.1570-7458.1993.tb01676.x</t>
  </si>
  <si>
    <t>2-s2.0-84985772872</t>
  </si>
  <si>
    <t>['wiley company', 'solid model', 'radiowave absorbers', 'radiation characteristics', 'paper clarifies', 'model antenna', 'measurements made', 'measured results', 'main reflector', 'inc .,', 'grating lobes', 'good agreement', 'experimental method', 'electrical errors', 'current distribution', 'circular aperture', 'calculated values', 'aperture shape', 'aperture plane']</t>
  </si>
  <si>
    <t>antenna measurements | grating lobes | Large deployable antennas | radiation characteristics | reflector errors</t>
  </si>
  <si>
    <t>This paper clarifies the radiation characteristics of a tension truss‚Äêtype deployable antenna based on measurements made on its solid model and presents its experimental method. The main reflector of the model antenna is constructed by many triangular plates approximating a paraboloid. As the aperture shape of a tension truss‚Äêtype deployable antenna is a hexagon, the difference between the circular aperture of the model antenna and the hexagon is covered with radiowave absorbers. The distribution of mechanical reflector errors which are projected on the aperture plane is formulated and their relations to electrical errors is shown. Data on reduction of gain and grating lobes in the radiation pattern arising from periodic reflector errors are obtained. The measured results are compared with calculated values of radiation characteristics and good agreement is obtained. It is shown that radiation characteristics can be estimated by the aperture integration method by neglecting the disturbance of current distribution at seams of facets. Copyright ¬© 1993 Wiley Periodicals, Inc., A Wiley Company</t>
  </si>
  <si>
    <t>59-69</t>
  </si>
  <si>
    <t>60000809;60000809</t>
  </si>
  <si>
    <t>6602738930;7402167894</t>
  </si>
  <si>
    <t>Hanayama, Eiji;Takano, Tadashi</t>
  </si>
  <si>
    <t>Hanayama E.</t>
  </si>
  <si>
    <t>Investigation of radiation characteristics of large deployable antennas using a model antenna</t>
  </si>
  <si>
    <t>10.1002/ecja.4410760406</t>
  </si>
  <si>
    <t>2-s2.0-84985781758</t>
  </si>
  <si>
    <t>['wiley company', 'used intentionally', 'structure without', 'principal parameter', 'paper proposes', 'mainly used', 'inc .,', 'hollow configuration', 'highly efficient', 'heat resistance', 'grating lobe', 'fabrication cost', 'dielectric material', 'antenna thickness', 'antenna gain', 'antenna efficiency', '61 percent']</t>
  </si>
  <si>
    <t>circular polarization | ntenna | planar antenna | radial line slot antenna | satellite broadcasting</t>
  </si>
  <si>
    <t>The radial line slot antenna is a thin circularly polarized antenna intended for satellite broadcast reception, and is expected to be highly efficient in principle. To improve the efficiency, it is necessary to suppress the grating lobe in the 90‚Äêdeg direction by means of a slow‚Äêwave structure in the antenna. To this end, styrofoam is mainly used. However, it is more appealing to find a structure without any dielectric material from the viewpoint of heat resistance, fluctuation of the permittivity, and fabrication cost. This paper proposes a radial line slot antenna without a slow‚Äêwave structure in which the wavelength reduction phenomena due to slot coupling analyzed quantitatively are used intentionally. From the analysis, the antenna gain is derived as a function of the antenna thickness (waveguide height), which is the principal parameter for the wavelength reduction effect. It is demonstrated that the grating lobe can be suppressed. Also, by means of an experiment, the antenna efficiency of 61 percent is attained in a hollow configuration so that the viability of this approach is proven. Copyright ¬© 1993 Wiley Periodicals, Inc., A Wiley Company</t>
  </si>
  <si>
    <t>81-88</t>
  </si>
  <si>
    <t>60031126;60031126;60031126;60031126</t>
  </si>
  <si>
    <t>57191018655;35481283400;35495699200;7201747933</t>
  </si>
  <si>
    <t>Member, Katsuei Ichikawa;Takada, Jun‚ÄêIchi ‚ÄêI;Ando, Makoto;Goto, Naohisa</t>
  </si>
  <si>
    <t>Tokyo Institute of Technology</t>
  </si>
  <si>
    <t>Member K.</t>
  </si>
  <si>
    <t>A radial line slot antenna without a slow wave structure</t>
  </si>
  <si>
    <t>10.1002/ecja.4410760709</t>
  </si>
  <si>
    <t>2-s2.0-84985784946</t>
  </si>
  <si>
    <t>['trellis codes', 'three methods', 'simulation results', 'prime importance', 'potential benefits', 'new method', 'multipath diversity', 'mfb results', 'mfb based', 'making use', 'lower bound', 'include transmission', 'implicit time', 'illuminating examples', 'ideal conditions', 'gsm rayleigh', 'fading environment', 'eigenvalue approach', 'concluding remarks', 'analysis extended']</t>
  </si>
  <si>
    <t>Transmission of trellis‚Äêcoded digital information over time‚Äêvariant frequency‚Äêselective multipath radio channels leads to receiver design considerations and bit error characteristics fundamentally different from those of links using static channels. Making use of diversity is of prime importance in a fading environment. Explicit antenna diversity, implicit time diversity from interleaved trellis‚Äêcoded modulation, and implicit multipath diversity via energy detection/equalization are three methods of transmission quality enhancement that can be jointly employed without loss of power and bandwidth. The matched filter bound (MFB) is a lower bound on the average bit error rate under ideal conditions, i.e. perfect channel estimation, interleaving, and equalization. In this paper, a new method of evaluating the MFB based on an eigenvalue approach is presented and the analysis extended to include transmission of trellis‚Äêcoded linearly modulated signals over selective diversity channels having arbitrary fading multipath profiles. MFB results are generated for a number of illuminating examples (trellis codes with effective code lengths up to 5, selective two‚Äêray and GSM Rayleigh as well as flat Rician channels) that demonstrate the potential benefits of implicit time and multipath diversity. Some simulation results are presented giving rise to concluding remarks on the tightness of the bound. Copyright ¬© 1993 John Wiley &amp; Sons, Ltd.</t>
  </si>
  <si>
    <t>60016653;60016653</t>
  </si>
  <si>
    <t>6701674362;7007080646</t>
  </si>
  <si>
    <t>Fechtel, Stefan A.;Meyr, Heinrich</t>
  </si>
  <si>
    <t>Aachen</t>
  </si>
  <si>
    <t>Rheinisch-Westf√§lische Technische Hochschule Aachen</t>
  </si>
  <si>
    <t>Fechtel S.</t>
  </si>
  <si>
    <t>Matched Filter Bound for Trellis‚ÄêCoded Transmission over Frequency‚ÄêSelective Fading Channels with Diversity</t>
  </si>
  <si>
    <t>10.1002/ett.4460040314</t>
  </si>
  <si>
    <t>2-s2.0-84985819153</t>
  </si>
  <si>
    <t>['wiley blackwell', 'whilst sandhoppers', 'typical representative', 'talitridae ).', 'simplidactylate landhoppers', 'seven species', 'rights reserved', 'proximal segments', 'polyphyletic grouping', 'one species', 'neorchestia plicibranchiata', 'much reduced', 'hyalid condition', 'gp ivb', 'gp iva', 'gp iii', 'gp ii', 'gland cone', 'gammarus duebeni', 'exit duct', 'collapsible cone', 'aquatic amphipods', 'antennary gland', 'anomalous species', 'amphipod crustaceans', 'already known', '16 species']</t>
  </si>
  <si>
    <t>The form of the proximal segments of antenna two peduncle and of the antennary gland exit duct on peduncle article two has been examined in 16 species of amphipod crustaceans (including 14 species of Talitridae). Gammarus duebeni(Gammaridae), regarded as exemplifying the norm for aquatic amphipods, has a very distinctive fluted exit duct emanating from a pronounced gland cone. The talitroid Hyale nilssoni was regarded as a typical representative of the hyalid‚Äêlike ancestors of the Talitridae. It also has a gland cone, but the exit duct of the antennary gland is a thin‚Äêwalled, collapsible cone. The two proximal articles of antenna two peduncle are much reduced in Talitridae. Only the second may retain a degree of mobility. No gland cone remains. The structure of the urinary exit duct in seven species of simplidactylate landhoppers (Bousfield's Gp IVa) was very similar to the hyalid condition. Beachfleas (Gp II) have strengthened, often sculpted ducts. whilst sandhoppers (Gp III) have no protruding exit duct at all. Only one species of Gp IVb (cuspidactylate) landhopper (Tasmanorchestia sp.) was investigated and it has an exit duct similar in form to that of the beachfleas (Gp II). Neorchestia plicibranchiata (a Gp IVa species), however, already known to be an anomalous species, has unusually elongate urinary ducts (for a Gp IVa species). These observations lend support to the notion that the landhoppers are a polyphyletic grouping and that the sandhoppers are a very isolated ecomorphological grouping within the family. Copyright ¬© 1993, Wiley Blackwell. All rights reserved</t>
  </si>
  <si>
    <t>187-201</t>
  </si>
  <si>
    <t>Journal of Zoology</t>
  </si>
  <si>
    <t>60014176;60014176;60014176</t>
  </si>
  <si>
    <t>55900158000;7003560499;36763574100</t>
  </si>
  <si>
    <t>Moore, P. G.;Morritt, D.;Stevenson, T. D.I.</t>
  </si>
  <si>
    <t>Millport</t>
  </si>
  <si>
    <t>University Marine Biological Station</t>
  </si>
  <si>
    <t>Moore P.</t>
  </si>
  <si>
    <t>Morphology of the antennary gland exit duct in ecological and phylogenetic series of talitroid Amphipoda (Crustacea)</t>
  </si>
  <si>
    <t>10.1111/j.1469-7998.1993.tb01911.x</t>
  </si>
  <si>
    <t>2-s2.0-84986777908</t>
  </si>
  <si>
    <t>['wiley company', 'using multiple', 'technical advances', 'satellite positions', 'satellite orbits', 'satellite launching', 'satellite distribution', 'regular dodecahedron', 'inc .,', 'evaluation method', 'entire globe', 'earth stations', 'earth station', 'discussed comparatively', 'coverage based', 'could service', 'communication networks', 'antenna angles']</t>
  </si>
  <si>
    <t>coverage | Low earth‚Äêorbiting satellite | square of distance | symmetric orbit model</t>
  </si>
  <si>
    <t>Recently, research has been very active in communication networks that could service the entire globe by using multiple, low, earth‚Äêorbiting satellites. This has been spurred on by progress in the field of digital communication technique, technical advances of satellite launching, and a decrease in the costs of small‚Äêsized satellites. In this paper, the construction of low, earth‚Äêorbiting satellite communication networks is discussed from the viewpoint of the design of orbits and satellite positions. First, a symmetric orbit model derived from the idea of regular dodecahedron is proposed. Next, two evaluation methods of satellite distribution are shown. One is the method of summing the squares of distances between satellites and their earth stations. This is a general evaluation method based on the satellite orbits and satellite positions. The other is an evaluation method of the coverage based on the altitude of satellites and the antenna angles of the earth station. This method is applied to the proposed symmetric orbit, and characteristics of different satellite deployments are discussed comparatively. Copyright ¬© 1993 Wiley Periodicals, Inc., A Wiley Company</t>
  </si>
  <si>
    <t>24-34</t>
  </si>
  <si>
    <t>Electronics and Communications in Japan (Part III: Fundamental Electronic Science)</t>
  </si>
  <si>
    <t>60032315;60032315;60032315-60013722;60013722</t>
  </si>
  <si>
    <t>7401756207;7203002040;56264978100;7003594966</t>
  </si>
  <si>
    <t>Usui, Tomonori;Kawabata, Tsutomu;Onozato, Yoshikuni;Oka, Ikuo</t>
  </si>
  <si>
    <t>Chofu;Osaka</t>
  </si>
  <si>
    <t>The University of Electro-Communications;Osaka City University</t>
  </si>
  <si>
    <t>60032315;60013722</t>
  </si>
  <si>
    <t>Usui T.</t>
  </si>
  <si>
    <t>Satellite constellations for a multiple LEO satellite network</t>
  </si>
  <si>
    <t>10.1002/ecjc.4430760404</t>
  </si>
  <si>
    <t>2-s2.0-84989472854</t>
  </si>
  <si>
    <t>['teaching aid', 'main features', 'key feature', 'importance given', 'graphic presentation', 'general overview', 'detailed description', 'certain experiences', 'article describes']</t>
  </si>
  <si>
    <t>This article describes the main features of an educational program developed as a teaching aid for an undergraduate antenna course. The key feature of this software with regard to existing antenna array software (1‚Äì4) is the importance given to graphic presentation of the results. Aside from a detailed description of the program, a general overview of the curriculum and certain experiences with the use of the program are presented. Copyright ¬© 1993 John Wiley &amp; Sons, Inc.</t>
  </si>
  <si>
    <t>409-419</t>
  </si>
  <si>
    <t>Computer Applications in Engineering Education</t>
  </si>
  <si>
    <t>60007592;60007592;60007592</t>
  </si>
  <si>
    <t>56883021900;6701438680;57191387065</t>
  </si>
  <si>
    <t>Romeu, Jordi;Pous, Rafael;Pujol, Ramon</t>
  </si>
  <si>
    <t>Barcelona</t>
  </si>
  <si>
    <t>Universitat Polit√®cnica de Catalunya</t>
  </si>
  <si>
    <t>Romeu J.</t>
  </si>
  <si>
    <t>ARRAY: Educational software for antenna patterns and synthesis</t>
  </si>
  <si>
    <t>10.1002/cae.6180010504</t>
  </si>
  <si>
    <t>2-s2.0-84989491457</t>
  </si>
  <si>
    <t>['teaching students', 'software developed', 'productive developers', 'instructional applications', 'graphics program', 'engineering undergraduates', 'article describes', 'around antennas']</t>
  </si>
  <si>
    <t>Computer graphics programming is an extremely popular elective for engineering undergraduates. This article describes our experience in teaching students the techniques of developing interactive computer graphics applications, and in supervising them as productive developers of instructional applications. The features of EMU, a graphics program for displaying electromagnetic fields in waveguides and around antennas, are described as an example of software developed by students at Cornell. Copyright ¬© 1993 John Wiley &amp; Sons, Inc.</t>
  </si>
  <si>
    <t>Mink, Kate</t>
  </si>
  <si>
    <t>Cornell University College of Engineering</t>
  </si>
  <si>
    <t>Mink K.</t>
  </si>
  <si>
    <t>Using student projects to develop instructional applications and teach computer graphics programming</t>
  </si>
  <si>
    <t>10.1002/cae.6180010209</t>
  </si>
  <si>
    <t>2-s2.0-84989493307</t>
  </si>
  <si>
    <t>['wiley blackwell', 'three diatoms', 'rights reserved', 'possibly functioning', 'polyclonal antibodies', 'pigment ligands', 'photosynthetic membranes', 'ouchterlony assays', 'higher plants', 'gene types', 'functional role', 'euglena gracilis', 'coccolithophora sp', 'chromophyte species', 'chlamydomonas reinhardtii', 'antibody reactivity']</t>
  </si>
  <si>
    <t>Polyclonal antibodies against four different apoproteins of either the chlorophyll (Chl) a/b light‚Äêharvesting antenna of photosystem I or II, or a chlorophyll‚Äêprotein complex homologous to CP26 from Chlamydomonas reinhardtii, crossreact with11‚Äì13 thylakoid proteins of Chlamydomonas, Euglena gracilis and higher plants. The number of antigenically‚Äêrelated proteins correlates with the quantity of light‚Äêharvesting chlorophyll‚Äêprotein complex (LHC) gene types that have been sequenced in higher plants. The antibodies also react specifically with Chi a/c‚Äêbinding proteins of three diatoms and Coccolithophora sp. as determined by immunoblot and Ouchterlony assays. Four to six crossreacting proteins are observed in each chromophyte species and a functional role for some can be deduced by antibody reactivity. It appears that despite major differences in the structures of their pigment ligands, at least some domains of Chl‚Äêbinding LHC apoproteins have been conserved during their evolution, possibly functioning in protein: protein, as opposed to pigment: protein, interactions in photosynthetic membranes. Copyright ¬© 1993, Wiley Blackwell. All rights reserved</t>
  </si>
  <si>
    <t>143-151</t>
  </si>
  <si>
    <t>60011976;60011976;60029747;60029747;60029747</t>
  </si>
  <si>
    <t>6603530923;8857176000;7006311798;16740039200;16182020700</t>
  </si>
  <si>
    <t>Plumley, F. Gerald;Martinson, Tracey A.;Herrin, David L.;Ikeuchi, Masahiko;Schmidt, Gregory W.</t>
  </si>
  <si>
    <t>Athens;Fairbanks</t>
  </si>
  <si>
    <t>University of Georgia;University of Alaska Fairbanks</t>
  </si>
  <si>
    <t>60029747;60011976</t>
  </si>
  <si>
    <t>Plumley F.</t>
  </si>
  <si>
    <t>STRUCTURAL RELATIONSHIPS OF THE PHOTOSYSTEM I AND PHOTOSYSTEM II CHLOROPHYLL a/b AND a/c LIGHT‚ÄêHARVESTING APOPROTEINS OF PLANTS AND ALGAE</t>
  </si>
  <si>
    <t>10.1111/j.1751-1097.1993.tb02270.x</t>
  </si>
  <si>
    <t>2-s2.0-84989672529</t>
  </si>
  <si>
    <t>['wiley blackwell', 'wavelength region', 'transmission decrease', 'shorter wavelengths', 'room temperature', 'rights reserved', 'pump pulses', 'photosystem ii', 'nearest vicinity', 'half maximum', 'full width', 'frequency domain', 'data obtained', '647 nm', '620 nm', '4 ps']</t>
  </si>
  <si>
    <t>Using a pump and test beam technique in the frequency domain with pump pulses in the nanosecond time range, the nonlinear transmission properties were investigated at room temperature in photosystem (PS) II membrane fragments and isolated light‚Äêharvesting chlorophyll a/b‚Äêprotein preparations (LHC II preparations). In LHC II preparations and PS II membrane fragments, respectively, pump pulses of 620 nm and 647 nm cause a transmission decrease limited to a wavelength region in the nearest vicinity of the pump pulse wavelength (full width at half maximum ' 0.24 nm). In contrast, at 670 nm neither a transmission decrease nor a narrow band feature were observed. The data obtained for PS II membrane fragments and LHC II preparations at shorter wavelengths (620 nm, 647 nm) were interpreted in terms of excited state absorption of whole pigment‚Äêprotein clusters within the light‚Äêharvesting antenna of photosystem II. The interpretation of the small transmission changes as homogeneously broadened lines led to a transversal relaxation time for chlorophyll in the clusters of about 4 ps. Copyright ¬© 1993, Wiley Blackwell. All rights reserved</t>
  </si>
  <si>
    <t>158-162</t>
  </si>
  <si>
    <t>60011604;60000762;60011604;60011604</t>
  </si>
  <si>
    <t>6701494454;7202435997;7004095338;56216930900</t>
  </si>
  <si>
    <t>Bittner, T. H.;Voigt, J.;Irrgang, K. ‚ÄêD;Renger, G.</t>
  </si>
  <si>
    <t>Berlin;Berlin</t>
  </si>
  <si>
    <t>Technical University of Berlin;Humboldt-Universit√§t zu Berlin</t>
  </si>
  <si>
    <t>60011604;60000762</t>
  </si>
  <si>
    <t>Bittner T.H.</t>
  </si>
  <si>
    <t>NONLINEAR LASERSPECTROSCOPIC INVESTIGATIONS OF THE PIGMENT‚ÄêPIGMENT INTERACTION WITHIN THE LIGHT‚ÄêHARVESTING COMPLEX OF PHOTOSYSTEM II</t>
  </si>
  <si>
    <t>10.1111/j.1751-1097.1993.tb02272.x</t>
  </si>
  <si>
    <t>2-s2.0-84989685238</t>
  </si>
  <si>
    <t>['wiley blackwell', 'roicies lacking', 'rights reserved', 'rhodobacler sphac', 'results suggest', 'pufx gene', 'puflmx mutant', 'photosynthetic units', 'lower energies', 'grow photosynthetically', 'encoding polypeptides', 'b875 complex', 'b875 antenna', 'aggregation state']</t>
  </si>
  <si>
    <t>Abstract‚Äî Mutants of Rhodobacler sphac, roicies lacking the pufX gene are unable to grow photosynthetically and have been reported to show impaired cyclic electron flow and elevated B875 levels when grown at low oxygen tension. An examination of the low‚Äêtemperature optical properties of chromatophores from a pufx‚Äê strain, obtained by complementation of a pufLMX mutant in trans with pufQBALM, encoding polypeptides of the B875 antenna and reaction center complexes, revealed that the absorption and fluorescence emission maxima and the fluorescence polarization rise over the B875‚ÄêQy band were shifted to lower energies. These results suggest that the pufX gene product may limit the aggregation state of the B875 complex, assuring the proper functional arrangement of antenna and reaction ccntcr components within the cores of the photosynthetic units. Copyright ¬© 1993, Wiley Blackwell. All rights reserved</t>
  </si>
  <si>
    <t>460-463</t>
  </si>
  <si>
    <t>60119141;60010910;60119141</t>
  </si>
  <si>
    <t>6603200778;6602688325;7006668582</t>
  </si>
  <si>
    <t>Westerhuis, Willem H.J.;Farchaus, Joseph W.;Niederman, Robert A.</t>
  </si>
  <si>
    <t>New Brunswick;Wilmington</t>
  </si>
  <si>
    <t>Rutgers University‚ÄìNew Brunswick;DuPont</t>
  </si>
  <si>
    <t>60119141;60010910</t>
  </si>
  <si>
    <t>Westerhuis W.</t>
  </si>
  <si>
    <t>ALTERED SPECTRAL PROPERTIES OF THE B875 LIGHT‚ÄêHARVESTING PIGMENT‚ÄêPROTEIN COMPLEX IN A Rhodobacter sphaeroides MUTANT LACKING pufX</t>
  </si>
  <si>
    <t>10.1111/j.1751-1097.1993.tb09591.x</t>
  </si>
  <si>
    <t>2-s2.0-84989685272</t>
  </si>
  <si>
    <t>['œµàú 50', 'àú840 nm', 'wiley blackwell', 'time course', 'structural requirements', 'sphaeroides like', 'spectral modification', 'spectral effects', 'rights reserved', 'near infrared', 'molecules absorbing', 'exoprotease carboxypeptidase', 'endoprotease elastase', 'different proteases', 'cp b', 'considerable extent', 'circular dichroism', 'bchl molecules', 'antenna apoproteins', 'absorption bands', '950 nm', '900 nm', '800 nm']</t>
  </si>
  <si>
    <t>The spectral effects of a number of endo‚Äê and exoproteases to the detergent‚Äêsolubilized antenna complexes B802‚Äì858(sphaeroides like) of strain Rhodopseudomonas acidophila 10050 and B802‚Äì824of strain 7050 were analyzed. Upon protease digestion the time course of spectral modification between 250 and 900 nm was recorded. In addition, circular dichroism (CD) signals were measured between 450 and 950 nm. The endoprotease elastase as well as the exoprotease carboxypeptidase A (CP A) altered the B802‚Äì858antenna complex, by changing the 858 nm band hypochromically (30‚Äê50%) with an additional small hypsochromic shift (3‚Äì6nm). A combined carboxypeptidase digestion, e.g. CP A and CP B, yielded a further modification to a complex with absorption bands at 800 nm and Àú840 nm (ŒµÀú 50% of the 800 nm band). By exposing the isolated B803‚Äì824antenna complex to the different proteases no significant spectral change was observed. The B802‚Äì858antenna complex, modified by CP A, exhibits a60‚Äì70% decrease of the biphasic CD signal in the near infrared. The limited proteolysis experiments provide conclusive experimental evidence that the C‚Äêterminal domains of the antenna polypeptides Œ± and Œ≤ contribute to the formation of (dimeric) bacteriochlorophyll (BChl) a molecules absorbing at around 850 nm. This agrees with the hypothesis, based on comparative amino acid sequence analysis, that in purple bacterial antenna complexes the structural requirements (specific amino acids in the vicinity of the BChl molecules, e.g. aromatic amino acids) for batho‚Äê and hyperchromicity of BChl molecules apparently reside to a considerable extent in the C‚Äêterminal portions of their antenna apoproteins. Copyright ¬© 1993, Wiley Blackwell. All rights reserved</t>
  </si>
  <si>
    <t>60025858;60025858</t>
  </si>
  <si>
    <t>6603669964;7006345218</t>
  </si>
  <si>
    <t>Brunisholz, Ren√© A.;Zuber, Herbert</t>
  </si>
  <si>
    <t>Zurich ZH,</t>
  </si>
  <si>
    <t>ETH Zurich</t>
  </si>
  <si>
    <t>Brunisholz R.</t>
  </si>
  <si>
    <t>SPECTRAL MODIFICATIONS OF BACTERIAL ANTENNA COMPLEXES BY LIMITED PROTEOLYSIS</t>
  </si>
  <si>
    <t>10.1111/j.1751-1097.1993.tb02246.x</t>
  </si>
  <si>
    <t>2-s2.0-84989685359</t>
  </si>
  <si>
    <t>['wiley blackwell', 'water oxidation', 'side action', 'rights reserved', 'proton uptake', 'proton release', 'proton consumption', 'photosystem ii', 'periodical pattern', 'peas grown', 'intermittent light', 'flashing light', 'covalent modification', 'control thylakoids', 'comparative study', 'acceptor side', '^‚ äêdicyclohexylcarbodiimide']</t>
  </si>
  <si>
    <t>Chlorophyll alb binding proteins serve as light‚Äêharvesting antennae. Additionally they seem to modulate proton pumping by photosystem II, because their covalent modification by N, N‚Äêdicyclohexylcarbodiimide is paralleled by a short‚Äêcircuit of this activity. This side action was further characterized in comparative study with control thylakoids and thylakoids lacking chlorophyll alb binding proteins. The latter were derived from peas grown under intermittent light. They differed from controls in the following: (i) after incubation with A^A^‚Äêdicyclohexylcarbodiimide there was no protonic short circuit, (ii) under flashing light the rate of proton consumption at the acceptor side of photosystem II was accelerated and (iii) the periodical pattern of proton release from water oxidation was flattened out. It was obvious that chlorophyll alb binding proteins modulated the kinetics and the stoichiometry of proton release from water oxidation and proton uptake at the quinone binding pocket. Copyright ¬© 1993, Wiley Blackwell. All rights reserved</t>
  </si>
  <si>
    <t>120-124</t>
  </si>
  <si>
    <t>60009731;60009731</t>
  </si>
  <si>
    <t>6701491634;10241088300</t>
  </si>
  <si>
    <t>Jahns, Peter;Junge, Wolfgang</t>
  </si>
  <si>
    <t>Osnabruck</t>
  </si>
  <si>
    <t>Universit√§t Osnabr√ºck</t>
  </si>
  <si>
    <t>Jahns P.</t>
  </si>
  <si>
    <t>ANOTHER ROLE OF CHLOROPHYLL a/b BINDING PROTEINS OF HIGHER PLANTS: THEY MODULATE PROTOLYTIC REACTIONS ASSOCIATED WITH PHOTOSYSTEM II</t>
  </si>
  <si>
    <t>10.1111/j.1751-1097.1993.tb02266.x</t>
  </si>
  <si>
    <t>2-s2.0-84989694509</t>
  </si>
  <si>
    <t>['wiley blackwell', 'three features', 'rights reserved', 'remarkable similarity', 'reduce ferredoxin', 'redox centres', 'reaction centres', 'protein dimer', 'photosystem 1', 'initial steps', 'heliobacteria show', 'charge separation', 'also binds']</t>
  </si>
  <si>
    <t>Chlorobiaceae | evolution | Heliobacteriaceae | photosystem I | reaction centres | subunits</t>
  </si>
  <si>
    <t>Photosynthetic reaction centres of green sulphur bacteria and of heliobacteria show a remarkable similarity to photosystem 1 of O2‚Äêevolving photosynthesis. Three features are common to this ‚Äòreaction centre 1‚Äêtype‚Äô. (1) A redox potential negative enough to reduce ferredoxin is generated. (2) Iron‚Äêsulphur centres are constituents of the bound electron acceptor complex. (3) A dimer of large, very hydrophobic protein subunits not only binds the redox centres that are involved in the initial steps of charge separation, but also binds the pigments of the inner light antenna. This protein dimer is a heterodimer in photosystem I, but appears to be a homodimer in reaction centres of green sulphur bacteria and of heliobacteria. The dimer‚Äêforming proteins contain a highly conserved dodecapeptide to which one of the iron‚Äêsulphur centres is bound. Copyright ¬© 1993, Wiley Blackwell. All rights reserved</t>
  </si>
  <si>
    <t>372-381</t>
  </si>
  <si>
    <t>Physiologia Plantarum</t>
  </si>
  <si>
    <t>60030807;60025641</t>
  </si>
  <si>
    <t>6701352884;7005804256</t>
  </si>
  <si>
    <t>Lockau, Wolfgang;Nitschke, Wolfgang</t>
  </si>
  <si>
    <t>Regensburg;Freiburg im Breisgau</t>
  </si>
  <si>
    <t>Universit√§t Regensburg;Universit√§t Freiburg im Breisgau</t>
  </si>
  <si>
    <t>Lockau W.</t>
  </si>
  <si>
    <t>Photosystem I and its bacterial counterparts</t>
  </si>
  <si>
    <t>10.1111/j.1399-3054.1993.tb05512.x</t>
  </si>
  <si>
    <t>2-s2.0-84989703227</t>
  </si>
  <si>
    <t>['wiley blackwell', 'statistical interaction', 'specific recognition', 'simple basis', 'rights reserved', 'retention behavior', 'primitive type', 'pigment content', 'molecular weights', 'mantoniella contains', 'major lhc', 'lhc ii', 'isoelectric points', 'ii ),', 'following features', 'fluorescence spectra', 'first report', 'core complex', 'associated lhc']</t>
  </si>
  <si>
    <t>The light‚Äêharvesting complexes (LHC) were isolated from the unicellular alga Mantoniella squamata (Prasinophyceae) by sucrose‚Äêdensity centrifugation. Beside the major LHC (II), a photosystem I complex was obtained that could be dissociated into a photosystem I core complex and an associated LHC I. In contrast to other chlorophyll b‚Äêcontaining antennae, both LHC II as well as LHC I were observed to be identical with respect to the following features: the molecular weights, the isoelectric points and the retention behavior on anion‚Äêexchange chromatography of the apoproteins, the pigment content and the absorption and fluorescence spectra. We conclude from these results that Mantoniella contains only one homogenous population of LHC, which cooperate with both photosystems not on the basis of specific recognition but on the simple basis of statistical interaction. This is the first report of a chlorophyll b‚Äêcontaining light‚Äêharvesting system without any subpopulations: therefore, it is suggested that it arises from a most primitive type of chlorophyll b‚Äêcontaining chloroplast. Copyright ¬© 1993, Wiley Blackwell. All rights reserved</t>
  </si>
  <si>
    <t>132-138</t>
  </si>
  <si>
    <t>60031216;60031216;60031216;60031216;60031216</t>
  </si>
  <si>
    <t>35607193700;57191395725;16173796400;7101798388;7409933123</t>
  </si>
  <si>
    <t>Schmitt, A.;Herold, A.;Welte, C.;Wild, A.;Wilhelm, C.</t>
  </si>
  <si>
    <t>Schmitt A.</t>
  </si>
  <si>
    <t>THE LIGHT‚ÄêHARVESTING SYSTEM OF THE UNICELLULAR ALGA Mantoniella squamata (PRASINOPHYCEAE): EVIDENCE FOR THE LACK OF A PHOTOSYSTEM I‚ÄêSPECIFIC ANTENNA COMPLEX</t>
  </si>
  <si>
    <t>10.1111/j.1751-1097.1993.tb02268.x</t>
  </si>
  <si>
    <t>2-s2.0-84989715125</t>
  </si>
  <si>
    <t>['wiley blackwell', 'title complex', 'rights reserved', 'r ,)', 'minor component', 'exciton scattering', 'energetic inequivalence', 'b850 suffers', '885 nm', '864 nm', '3 ps', '3 cm', '2 ps', '2 k']</t>
  </si>
  <si>
    <t>Detailed burn wavelength‚Äêdependent hole‚Äêburning studies of the title complex have been performed. The zero‚Äêphonon hole (ZPH) widths for B800 at 4.2 K are 6.0 ¬± 0.3 cm and are discussed in terms of B80O‚ÄêB850 and B800‚ÄêB800 energy transfer. The B800* lifetime is 1.8 ¬± 0.2 ps. The site inhomogeneous broadening (r,) of B800 is 240 cm‚àí1. The B850 (located at 864 nm at 4.2 K) hole spectra reveal that B850 suffers from significant homogeneous broadening, which is attributed to unit cell exciton level structure and ultrafast interexciton level relaxation. Novel ZPH action spectra lead to the resolution of a minor component at 885 nm, which is the analogue of B870 of Rhodobacter sphaeroides previously assigned as the lowest exciton level of the B850 exciton band. The B870 ZPH width of 2.0 ¬± 0.2 cm‚àí1for Rhodopseudomonas acidophila leads to a total dephasing time of 5.3 ps, which is attributed to exciton scattering that stems from the energetic inequivalence of neighboring B850 unit cells. Copyright ¬© 1993, Wiley Blackwell. All rights reserved</t>
  </si>
  <si>
    <t>35-39</t>
  </si>
  <si>
    <t>60008023;60001490;60012820;60008023</t>
  </si>
  <si>
    <t>7202174629;7006465617;7404454741;7202142626</t>
  </si>
  <si>
    <t>Reddy, N. R.S.;Cogdell, R. J.;Zhao, L.;Small, G. J.</t>
  </si>
  <si>
    <t>China;United States;United Kingdom</t>
  </si>
  <si>
    <t>Beijing;Ames;Glasgow</t>
  </si>
  <si>
    <t>Institute of Physics Chinese Academy of Sciences;Ames Laboratory;University of Glasgow</t>
  </si>
  <si>
    <t>60012820;60008023;60001490</t>
  </si>
  <si>
    <t>Reddy N.</t>
  </si>
  <si>
    <t>NONPHOTOCHEMICAL HOLE BURNING OF THE B800‚ÄêB850 ANTENNA COMPLEX OF Rhodopseudomonas acidophila</t>
  </si>
  <si>
    <t>10.1111/j.1751-1097.1993.tb02251.x</t>
  </si>
  <si>
    <t>2-s2.0-84989719167</t>
  </si>
  <si>
    <t>['wiley blackwell', 'topological array', 'strong dependence', 'rights reserved', 'linear chain', 'hexagonal array', 'calculated within', 'antenna pigments']</t>
  </si>
  <si>
    <t>Fluorescence decay curves are calculated within the framework of the Liouville von Neumann equation for simple model systems of a photosynthetic unit consisting of a reaction center coupled to either a linear chain or a hexagonal array of identical antenna pigments. A comparison of the results with those obtained by solving the Pauli Master equations reveals that in the case of coherent excitation energy transfer the fluorescence decay kinetics exhibit a strong dependence on the topological array of the antenna pigments. For systems with a different pigment array, markedly different kinetics can be expected upon decreasing the pure dephasing time. Copyright ¬© 1993, Wiley Blackwell. All rights reserved</t>
  </si>
  <si>
    <t>60011604;60011604</t>
  </si>
  <si>
    <t>7003737164;7005900319</t>
  </si>
  <si>
    <t>Klevanik, Alexander;Renger, Gernot</t>
  </si>
  <si>
    <t>Technical University of Berlin</t>
  </si>
  <si>
    <t>Klevanik A.</t>
  </si>
  <si>
    <t>COHERENT MOTION AND TRANSFER OF EXCITATION ENERGY IN THE PRIMARY PROCESSES OF PHOTOSYNTHESIS</t>
  </si>
  <si>
    <t>10.1111/j.1751-1097.1993.tb02250.x</t>
  </si>
  <si>
    <t>2-s2.0-84989719196</t>
  </si>
  <si>
    <t>['wiley blackwell', 'rights reserved', 'isolated photosystem', 'excitation source', 'dyes cryptocyanine', 'described previously', 'decay kinetics', 'conventional sources', '99 %)', '83 ps', '55 ps', '400 ps', '35 ps', '26 ps', '1991 ).', '160 ps', '13 ps']</t>
  </si>
  <si>
    <t>Abstract‚Äî The use of an inexpensive pulsed laser diode (Hamamatsu picosecond light pulser PLP‚Äê01) as the excitation source for a single photon timing spectrolluorimeter with microchannel plate photomultiplier detection was dem‚Äêonstrated. The performance of the instrument was tested with two very short‚Äêlived fluorescent dyes and two pho‚Äêtosynthetic systems with wcll‚Äêdefined decay characteristics. Individual fluorescence decays were analyzed by modeling with a convolution of the instrument response function to a sum of exponential decay components. Accurate fluorcscence lifetimcs of the dyes cryptocyanine (55 ps in acetone and 83 ps in ethanol) and 1,1‚Äò‚Äêdiethyl‚Äê2,2‚Ä≤‚Äêdicarbocyanine iodide (13 ps in acetone and 26 ps in ethanol) were obtained by analysis of the decay kinetics with a single exponential component. Fits to the fluorescence decay kinetics of isolated photosystem I particles and intact cyanobacterial cells required three and four decay components. respectively. The decay kinetics of the isolated photosystem I preparation were dominated (99%) by a very fast 9 ps lifetime, reflecting the preparation's small antenna size of approximately 30 chlorophyll a. The cyanobackria showed decay components of 35 ps, 160 ps, 400 ps and 1.95 ns similar to those described previously by Mullincaux and Holzwarth (Rinchim. Biophys. Acfa1098, 68‚Äì78, 1991). The performance of the pulsed laser diode as an excitation source for single photon timing is discussed in comparison with conventional sources of picosecond light pulses. Copyright ¬© 1993, Wiley Blackwell. All rights reserved</t>
  </si>
  <si>
    <t>464-468</t>
  </si>
  <si>
    <t>60001343;60001343</t>
  </si>
  <si>
    <t>57191395100;57191396311</t>
  </si>
  <si>
    <t>Bruice, Doljg;Miners, Jennifer</t>
  </si>
  <si>
    <t>St. Catharines</t>
  </si>
  <si>
    <t>Brock University</t>
  </si>
  <si>
    <t>Bruice D.</t>
  </si>
  <si>
    <t>USE OF A PULSED LASER DIODE TO MEASURE PICOSECOND FLUORESCENCE LIFETIMES</t>
  </si>
  <si>
    <t>10.1111/j.1751-1097.1993.tb09592.x</t>
  </si>
  <si>
    <t>2-s2.0-84989725888</t>
  </si>
  <si>
    <t>['wiley blackwell', 'sucrose gradients', 'subunit iii', 'subcomplexes shows', 'rights reserved', 'oligomeric structure', 'lhc ic', 'lhc ia', 'iv polypeptides', 'ib components', 'higher plants', 'fractions obtained', 'entity exists', 'core complex', 'contains chlorophyll', 'barley lhc', '24 kda']</t>
  </si>
  <si>
    <t>A photosystem I (PS I) holocomplex was obtained from barley by ultracentrifugation of PS I‚Äêenriched stroma lamellae on sucrose gradients. Further solubilization with glycosidic surfactants followed by Deriphat‚Äêpoly‚Äêacrylamide gel electrophoresis (PAGE) fractionated the holocomplex into its core complex (CC I) and individual light‚Äêharvesting I (LHC I) pigment‚Äêprotein subcomplexes. The LHC I contains chlorophyll a, all of the chlorophyll A of PS I and xanthophylls but no carotenes. Sodium dodecylsulfate PAGE analysis of the subcomplexes shows that barley LHC I is composed of at least five apoproteins having sizes between 11 and 24 kDa. Isolation of a 17 kDa LHC Ic component by Deriphat‚ÄêPAGE shows it to be a photosynthetic pigment‚Äêprotein. Room‚Äêtemperature absorption spectra indicate that LHC Ic is enriched in chlorophyll a in comparison to the LHC Ia and Ib components. The LHC Ic apoprotein is shown to be distinct from the subunit III and IV polypeptides of CC I. Analysis of PS I fractions obtained from sucrose gradients as well as from Deriphat‚ÄêPAGE indicates that in higher plants an oligomeric structure of the PS I entity exists in vitro. Copyright ¬© 1993, Wiley Blackwell. All rights reserved</t>
  </si>
  <si>
    <t>152-157</t>
  </si>
  <si>
    <t>36879858800;7103226377;7004483748;7004524029</t>
  </si>
  <si>
    <t>Preiss, Susanne;Peter, Gary F.;Anandan, Shivanthi;Thornber, J. Philip</t>
  </si>
  <si>
    <t>Preiss S.</t>
  </si>
  <si>
    <t>THE MULTIPLE PIGMENT‚ÄêPROTEINS OF THE PHOTOSYSTEM I ANTENNA</t>
  </si>
  <si>
    <t>10.1111/j.1751-1097.1993.tb02271.x</t>
  </si>
  <si>
    <t>2-s2.0-84989729957</t>
  </si>
  <si>
    <t>['wiley blackwell', 'wavelength range', 'synechococcus sp', 'rights reserved', 'reaction center', 'particles isolated', 'higher temperatures', 'global analysis', 'fit parameters', 'energy transfer', 'component t3', 'charge separation', 'attribute t1', 'also applied', '736 nm', '680 nm', '65 ps', '35 ps', '12 ps']</t>
  </si>
  <si>
    <t>Picosecond time‚Äêresolved fluorescence of photosystem I particles isolated from Synechococcus sp. was recorded in the wavelength range from 680 nm to 736 nm for temperatures of 6¬∞C to 42¬∞C and ‚Äê 100¬∞C using the single‚Äêphoton‚Äêtiming technique. By global analysis of the data we found four contributing lifetime components at the higher temperatures (T1 ' 12 ps, T1= 35 ps, T3 ' 65 ps, T4 ' 1000 ps). We attribute T1 to an energy transfer between two pigment pools, T2 to the charge separation process in the reaction center, component T3 is assigned to aggregate and T4 to uncoupled chlorophyll emission. The corresponding decay‚Äêassociated spectra are presented. We also applied a target analysis procedure to fit parameters of a kinetic model directly to the data. The resulting rate constants and species‚Äêassociated spectra are discussed. The data indicate substantial spectral heterogeneity in the antenna with at least three substantially different chlorophyll pools. The overall exciton decay kinetics (by charge separation) is trap‚Äêlimited. Copyright ¬© 1993, Wiley Blackwell. All rights reserved</t>
  </si>
  <si>
    <t>113-119</t>
  </si>
  <si>
    <t>117291707;117291707;117291707</t>
  </si>
  <si>
    <t>6602266509;7005182244;35501122300</t>
  </si>
  <si>
    <t>Turconi, Sandra;Schweitzer, Gerd;Holzwarth, Alfred R.</t>
  </si>
  <si>
    <t>Mulheim</t>
  </si>
  <si>
    <t>Max-Planck-Institu√≠ fur Strahlenchemie</t>
  </si>
  <si>
    <t>Turconi S.</t>
  </si>
  <si>
    <t>TEMPERATURE DEPENDENCE OF PICOSECOND FLUORESCENCE KINETICS OF A CYANOBACTERIAL PHOTOSYSTEM I PARTICLE</t>
  </si>
  <si>
    <t>10.1111/j.1751-1097.1993.tb02265.x</t>
  </si>
  <si>
    <t>2-s2.0-84989749035</t>
  </si>
  <si>
    <t>['zn mbpd', 'wiley blackwell', 'similar bacteriochlorophyll', 'rights reserved', 'quantitative propcrtics', 'oligomer formation', 'oligomcric forms', 'nonpolar solvents', 'natural pigment', 'monomeric zn', 'model compounds', 'mg mbpd', 'good models', 'form oligomers', 'exhibit q', 'building blocks', 'bacteriochlorophylls c', 'absorption maxima', '9 ps', '731 nm', '730 nm', '728 nm', '657 nm', '650 nm', '6 ns', '4 ns', '3l position', '19 ps', '14 ps', '1 ns']</t>
  </si>
  <si>
    <t>Abstract‚Äî Light‚Äêharvesting bacteriochlorophylls are believed to he aggregated in oligomcric forms in chlorosomes of green photosynthetic bacteria. Zn and Mg methyl bacteriopheophorhides d (MBPd) were synthesized from chlorophyll a and studied as model compounds for bacteriochlorophyll d. Monomeric Zn and Mg MBPd in methanol have Qy absorption maxima at 650 nm and 657 nm and fluorescence decay lifetimes of 5.1 ns and 5.4 ns, respectively, comparcd to 5.6 ns for bactcriochlorophyll d. Zn and Mg MBPd both form oligomers in nonpolar solvents and exhibit Q, absorption maxima at 728 nm and 731 nm and fluorescence decay lifetimes of 14 ps and 19 ps, respectively, compared to 730 nm and 9 ps for similar bacteriochlorophyll d aggregates. One of the diastereomers at the 3l position, R‚ÄêMg MBPd, forms intermediate‚Äêsized aggregated species that are equivalent to the dimer and a highly fluorescent species formed by bacteriochlorophylls c and d. The similarities of quantitative propcrtics between the model compounds, and the antenna pigments bacteriochlorophyll c and d indicate that Mg and Zn MBPd are good models for studying pigment interactions in chlorosomes and that the long hydrocarbon tail in the natural pigment is not required for oligomer formation. The dimer and the highly fluorescent species do not appear to be the building blocks of the oligomcr. Copyright ¬© 1993, Wiley Blackwell. All rights reserved</t>
  </si>
  <si>
    <t>290-295</t>
  </si>
  <si>
    <t>60003892;60003892;60003892;60003892</t>
  </si>
  <si>
    <t>7401617934;56530415100;57191397776;57203046340</t>
  </si>
  <si>
    <t>Cheng, Peiling;Liddell, Paul A.;Ma, Sharon X.C.;Blankenship, Robert E.</t>
  </si>
  <si>
    <t>Cheng P.</t>
  </si>
  <si>
    <t>PROPERTIES OF ZINC AND MAGNESIUM METHYL BACTERIOPHEOPHORBIDE d AND THEIR AGGREGATES</t>
  </si>
  <si>
    <t>10.1111/j.1751-1097.1993.tb09564.x</t>
  </si>
  <si>
    <t>2-s2.0-84989757522</t>
  </si>
  <si>
    <t>['wiley blackwell', 'spectral components', 'spectral changes', 'rights reserved', 'rest appeared', 'psii began', 'prolonged time', 'photosystem 11', 'photochemical systems', 'photochemical activities', 'peak positions', 'mature leaves', 'half widths', 'found earlier', 'early phase', 'chl u', 'barley leaves', 'also appeared', 'already found', 'absorption spectrum', '5 h', '4 h', '30 min', '2 h']</t>
  </si>
  <si>
    <t>Abstract‚Äî In order to study the formation of photochemical systems in the early phase of greening of barley leaves, we examined the changes in chlorophyll (Chl) spectral components of the absorption spectrum of greening tissues using a curvc analysis method. Peak positions of the fourth‚Äêderivative spectrum were changing during the first 30 min of illumination hut became stable thereafter. Results of curve analysis showed that about half of the spectral components of mature leaves were already found at 30 min after onset of illumination, and the rest appeared by 4 h. After 30 min the half widths of some spectral componcnts changed slightly. The 683 nm form of Chl a of the photosystem 11 (PSII) core was present after 30 min of illumination and increased up to 2 h, followed by a decrease. The 641 nm form of Chl u of photosystem I (PSI) appeared at 30 min and increased until 2.5 h. The 699 nm form of Chl a also appeared at 1.5 h. The 640 nm form of Chl b appeared at 2 h, while the 649 nm Chl b form was found earlier (1.5 h). Both components were increasing with prolonged time of illumination. Finally, the 704 nm form of Chl a characteristic of the PSI peripheral antenna appeared at 4 h of greening. Ruorescence of PSI and PSII began to appear at 1 and 2 h, respectively. These spectral changes were discussed in relation to the formation of chlorophyll‚Äêprotein complexes and the development of photochemical activities. Copyright ¬© 1993, Wiley Blackwell. All rights reserved</t>
  </si>
  <si>
    <t>432-437</t>
  </si>
  <si>
    <t>57191396968;7404667898;57191394476</t>
  </si>
  <si>
    <t>Shlbasaka, Mineo;Tanaka, Ayumi;Tsiji, Hideo</t>
  </si>
  <si>
    <t>Shlbasaka M.</t>
  </si>
  <si>
    <t>CHANGES IN SPECTRAL PROPERTIES OF CHLOROPHYLL DURING GREENING OF BARLEY LEAVES</t>
  </si>
  <si>
    <t>10.1111/j.1751-1097.1993.tb09586.x</t>
  </si>
  <si>
    <t>2-s2.0-84989758242</t>
  </si>
  <si>
    <t>['‚ äês', 'wiley blackwell', 'thus indicative', 'spectral properties', 'rights reserved', 'rather small', 'low temperatures', 'fluorescence quenching', 'fluorescence measurements', 'extreme cases', 'data cannot', '77 k']</t>
  </si>
  <si>
    <t>‚ÄìTriplet‚Äêminus‚Äêsinglet (T‚ÄêS) spectra and singlet‚Äêtriplet annihilation was measured on Rhodospirillum rub‚Äêrum chromatophores at low temperatures (4‚Äì77K). The T‚ÄêS spectrum of the LH‚Äê1 antenna was dependent on the wavelength of excitation and thus indicative of site‚Äêinhomogeneous broadening. The data cannot be understood adequately using the two pigment pool model (B880 + B896) but, in contrast, support a model for LH‚Äê1, in which the spectral properties are determined by site‚Äêinhomogeneous broadening. Consequently, the 4 K antenna domain for singlet‚Äêtriplet annihilation in LH‚Äê1 is rather small. If the temperature is raised to 77 K the annihilation domain increases, and a fit of the fluorescence quenching and triplet yield data suggests that at 77 K the connectivity is between the extreme cases of the ‚Äúlake‚Äù and the isolated ‚Äúpuddles‚Äù models. The implications of the observed antenna inhomogeneity on low temperature annihilation and fluorescence measurements are discussed. Copyright ¬© 1993, Wiley Blackwell. All rights reserved</t>
  </si>
  <si>
    <t>19-23</t>
  </si>
  <si>
    <t>60008734;60031040;60008734;60008734</t>
  </si>
  <si>
    <t>36134783900;7004704010;57197534640;56784259800</t>
  </si>
  <si>
    <t>Mourik, Frank van;Visscher, Kees J.;Mulder, Jan M.;Grondelle, Rienk van</t>
  </si>
  <si>
    <t>Sweden;Netherlands</t>
  </si>
  <si>
    <t>Umea;Amsterdam</t>
  </si>
  <si>
    <t>Ume√• Universitet;Vrije Universiteit Amsterdam</t>
  </si>
  <si>
    <t>60031040;60008734</t>
  </si>
  <si>
    <t>Mourik F.v.</t>
  </si>
  <si>
    <t>SPECTRAL INHOMOGENEITY OF THE LIGHT‚ÄêHARVESTING ANTENNA OF Rhodospirillum rubrum PROBED BY TRIPLET‚ÄêMINUS‚ÄêSINGLET SPECTROSCOPY AND SINGLET‚ÄêTRIPLET ANNIHILATION AT LOW TEMPERATURES</t>
  </si>
  <si>
    <t>10.1111/j.1751-1097.1993.tb02248.x</t>
  </si>
  <si>
    <t>2-s2.0-84989758342</t>
  </si>
  <si>
    <t>['variable numbers', 'two measures', 'tibial combs', 'randomly combined', 'premature behavior', 'oncopeltus fasciatus', 'milkweed bugs', 'mature ones', 'individual strokes', 'grooming bout', 'genetic underdetermination', 'first instar', 'excessive randomness', 'distal segment', 'developmental stages', 'angular movements', 'angular amplitude', 'analysis fits']</t>
  </si>
  <si>
    <t>Milkweed bugs (Oncopeltus fasciatus, Lygaeidae) groom the distal segment of each antenna between the tibial combs of both forelegs. Variable numbers of grooming strokes compose a grooming bout. A total of 112 spontaneous grooming bouts, comprising all developmental stages, were videotaped, the angular movements of the forelegs were digitized, and the outcomes computer‚Äêanalyzed. Individual strokes of forelegs were measured by their angular amplitude and mean angular elevation. These two measures are randomly combined in the first instar and then differentiate during ontogeny into two distinct types: small amplitude strokes of high average elevation and large amplitude strokes of lower average elevation. The sequencing of small and large strokes within bouts is largely (97%) random in all developmental stages. The outcome of the analysis fits the general empirical rule that premature action patterns are more random than mature ones. Some traits do not follow this rule and are persistently highly random. It is suggested that excessive randomness in premature behavior is due to genetic underdetermination, and that incorporation of non‚Äêgenetic information helps to specify the less random mature behavior. Developmentally persistent behavioral randomness is explained by the behavioral‚Äêentropy principle: traits in behavior vary randomly unless randomness is selected against. 1993 Blackwell Verlag GmbH</t>
  </si>
  <si>
    <t>89-108</t>
  </si>
  <si>
    <t>Ethology</t>
  </si>
  <si>
    <t>January‚ÄêDecember 1993</t>
  </si>
  <si>
    <t>60024977-60015457;60024977-60015457</t>
  </si>
  <si>
    <t>7801661709;6603704320</t>
  </si>
  <si>
    <t>Jander, Ursula;Jander, Rudolf</t>
  </si>
  <si>
    <t>Topeka;Lawrence</t>
  </si>
  <si>
    <t>Washburn University;University of Kansas</t>
  </si>
  <si>
    <t>60024977;60015457</t>
  </si>
  <si>
    <t>Jander U.</t>
  </si>
  <si>
    <t>Randomness in Ontogeny. On Antennal Grooming in the Milkweed Bug Oncopeltus fasciatus</t>
  </si>
  <si>
    <t>10.1111/j.1439-0310.1993.tb00550.x</t>
  </si>
  <si>
    <t>2-s2.0-84990750385</t>
  </si>
  <si>
    <t>Journal of Child and Adolescent Psychiatric Nursing</t>
  </si>
  <si>
    <t>Christenson, Peter</t>
  </si>
  <si>
    <t>STAT Response: What are Those Antennae, Anyway?</t>
  </si>
  <si>
    <t>10.1111/j.1744-6171.1993.tb00150.x</t>
  </si>
  <si>
    <t>2-s2.0-84991138615</t>
  </si>
  <si>
    <t>['¬© 1993', 'unwanted torque', 'time relationship', 'satellite antennas', 'rights reserved', 'prediction methods', 'normal distribution', 'mechanical engineers', 'measured angle', 'japan society', 'hinge axis', 'ground testing', 'deployment reliability', 'deployment performance', 'deployment motion', 'deployment mechanisms', 'deployable antennas', 'curve fitting', 'constituent parts', 'angular velocity']</t>
  </si>
  <si>
    <t>Communication Equipment | Deployable Antenna | Deployment Reliability | Ground Deployment Test | Reliability Engineering | Satellite Antenna | Space Engineering</t>
  </si>
  <si>
    <t>A method to predict the deployment performance and reliability of satellite antennas is proposed. The gravity cancellation method is selected to minimize gravitational effect on deployment performance. Unwanted torque about the hinge axis is calculated using measured misalignment data in ground deployment testing. Parameters of the equation of deployment motion are identified by curve fitting of measured angle-time or angular velocity-time relationship. The comparison between calculated unwanted torque and the identified one shows good agreement. Therefore, in-orbit deployment performance can be predicted by deleting effects unique to ground testing. The deployment reliability prediction method is based on driving and resistive torque generated by constituent parts of deployment mechanisms. Torque measurements show that each part torque distribution can be fitted to the normal distribution. Deployment reliability can be calculated as a probability that driving torque distribution is greater than resistive torque distribution. Prediction methods are applied to the deployable antennas for Engineering Test SatelliteVI (ETS-VI), scheduled for launch in 1994. ¬© 1993, The Japan Society of Mechanical Engineers. All rights reserved.</t>
  </si>
  <si>
    <t>2070-2077</t>
  </si>
  <si>
    <t>55835393000;7003764625</t>
  </si>
  <si>
    <t>Misawa, Masayoshi;Meguro, Akira</t>
  </si>
  <si>
    <t>Misawa M.</t>
  </si>
  <si>
    <t>Deployment Performance and Reliability Prediction of Large Deployable Antenna for Satellite Use</t>
  </si>
  <si>
    <t>10.1299/kikaic.59.2070</t>
  </si>
  <si>
    <t>2-s2.0-84998355891</t>
  </si>
  <si>
    <t>['¬© 1993', 'tetradecenyl acetate', 'tetradecadienyl acetate', 'specific trichodea', 'significantly different', 'rights reserved', 'receptor cells', 'male moths', 'japanese society', 'japanese population', 'gram analysis', 'four compounds', 'b cells', 'applied entomology', 'ac ),', '1 trichodea']</t>
  </si>
  <si>
    <t>beet armyworm | sex pheromone | single sensillum recording | Spodoptera exigua</t>
  </si>
  <si>
    <t>Four compounds, (Z)-9-tetradecenyl acetate (Z9-14: Ac), (Z,E)-9,12-tetradecadienyl acetate (Z9,E12-14: Ac), (Z)-9-tetradecen-1-o1 (Z9-14: OH) and (Z,E)-9,12-tetradecadien-1-o1 (Z9,E12-14: OH) were found in sex pheromone extracts of female Spodoptera exigua from Japan. The ratio of these compounds was 60: 98: 100: 83, respectively. Electroantenno-gram analysis of male moths to these four compounds suggests that receptor cells for these compounds are present in their antenna. Single sensillum recordings from male-specific trichodea (type-1 trichodea) showed that the sensitivity of type-B cells (Z9-14: OH receptor cells) to Z9,E12-14: OH was not significantly different from the sensitivity to Z9-14:OH, whereas the threshold of type-A cells (Z9,E12-14: Ac receptor cells) to Z9-14: Ac was 1,000 times higher than the sensitivity to Z9,El2-14: Ac. Z9,El2-14: OH was suggested to have some activity as a sex pheromone component in the Japanese population of S. exigua. ¬© 1993, JAPANESE SOCIETY OF APPLIED ENTOMOLOGY AND ZOOLOGY. All rights reserved.</t>
  </si>
  <si>
    <t>489-496</t>
  </si>
  <si>
    <t>1347605X</t>
  </si>
  <si>
    <t>Applied Entomology and Zoology</t>
  </si>
  <si>
    <t>60010674;60103403;60014256;60010674</t>
  </si>
  <si>
    <t>55910459200;57192344498;7201367564;7006768749</t>
  </si>
  <si>
    <t>Wakamura, Sadao;Ihara, Toshiaki;Shibuya, Tatsuaki;Mochizuki, Fumiaki</t>
  </si>
  <si>
    <t>Tokyo;Tsukuba;Tsukuba</t>
  </si>
  <si>
    <t>Shin-Etsu Chemical Co., Ltd.;University of Tsukuba;National Institute Sericultural Entomological Sciences Tsukuba</t>
  </si>
  <si>
    <t>60103403;60014256;60010674</t>
  </si>
  <si>
    <t>Wakamura S.</t>
  </si>
  <si>
    <t>Electrophysiological Responses of the Male Antenna to Compounds Found in the Female Sex Pheromone Gland of Spodoptera exigua, (H√ºbner) (Lepidoptera: Noctuidae)</t>
  </si>
  <si>
    <t>10.1303/aez.28.489</t>
  </si>
  <si>
    <t>2-s2.0-85004690549</t>
  </si>
  <si>
    <t>['typically close', 'pwe ).', 'problems encountered', 'one motivation', 'local electrons', 'geomagnetic equator', 'emission wavelength', 'ech wavelengths', 'diffuse aurora', 'copyright 1993', 'antenna length', 'also discuss']</t>
  </si>
  <si>
    <t>In this report we will discuss recent determinations of wavelength and convection of Electron Cyclotron Harmonic (ECH) emissions as observed by the CRRES Plasma Wave Experiment (PWE). One motivation for this study is that these emissions may power the keV electron precipitation generating the diffuse aurora and so it is important to establish typical wave intensities. Problems encountered in doing this include wave attenuation because ECH wavelengths are typically close to the antenna length and the fact that it is difficult to study the effect of these waves on local electrons because of wave convection near the geomagnetic equator. We will also discuss a technique for approximating the emission wavelength with only one two‚Äêelement electric dipole antenna. Copyright 1993 by the American Geophysical Union.</t>
  </si>
  <si>
    <t>1779-1782</t>
  </si>
  <si>
    <t>Paranicas, Christopher</t>
  </si>
  <si>
    <t>Boston University</t>
  </si>
  <si>
    <t>Paranicas C.</t>
  </si>
  <si>
    <t>Observations of wavelength and convection of electron cyclotron harmonics</t>
  </si>
  <si>
    <t>10.1029/93GL00482</t>
  </si>
  <si>
    <t>2-s2.0-85005622377</t>
  </si>
  <si>
    <t>['¬© 1993', 'vertical wavelength', 'vertical structure', 'short period', 'scott base', 'satellite observations', 'rotation pole', 'planetary waves', 'observed modes', 'neutral atmosphere', 'modes associated', 'fps shows', 'azimuth scanning', 'antarctic mesosphere', '78 ¬∞', '100 km']</t>
  </si>
  <si>
    <t>The structure of short period (2‚Äì4 days) planetary waves in the Antarctic mesosphere has been determined from ground based wind measurements. At the South Pole observations are made with a Fabry‚ÄêPerot spectrometer (FPS) to determine the meridional wind component of OH tracer molecules. Azimuth scanning of the FPS shows that the observed modes are of zonal wavenumber one, as expected at the rotation pole in the neutral atmosphere. At Scott Base (78¬∞S) observations are made with an MF spaced‚Äêantenna mode mesospheric wind‚Äêprofiler radar. The vertical structure of the waves at altitudes of 80‚Äì100 km shows a phase variation corresponding to a vertical wavelength of more than 100 km. The observed periods support previous interpretations, based on satellite observations and barotropic instability models, of modes associated with the ‚Äò4‚Äêday‚Äô wave. ¬© 1993 by the Chinese Geophysical Society</t>
  </si>
  <si>
    <t>1547-1550</t>
  </si>
  <si>
    <t>60020585;60015481;108068919</t>
  </si>
  <si>
    <t>56220247900;7102573113;57197525960</t>
  </si>
  <si>
    <t>Fraser, G. J.;Hernandez, G.;Smith, R. W.</t>
  </si>
  <si>
    <t>New Zealand;United States;United States</t>
  </si>
  <si>
    <t>Christchurch;Seattle;</t>
  </si>
  <si>
    <t>University of Canterbury;University of Washington;Geophysical Institute</t>
  </si>
  <si>
    <t>Fraser G.J.</t>
  </si>
  <si>
    <t>Eastward‚Äêmoving 2‚Äì4 day waves in the winter Antarctic mesosphere</t>
  </si>
  <si>
    <t>10.1029/93GL01707</t>
  </si>
  <si>
    <t>2-s2.0-85005693435</t>
  </si>
  <si>
    <t>['‚ äêestimation', 'two radars', 'two methods', 'turbulence strengths', 'three years', 'spatial variability', 'obtained enabling', 'middle atmosphere', 'measurements using', 'large values', 'large degree', 'important comparisons', 'doppler radar', 'difficult process', 'determine winds', 'copyright 1993', 'considerable scatter', 'broad beams', 'although extraction', 'also used']</t>
  </si>
  <si>
    <t>There has been concern in the past that spaced antenna radar measurements of energy dissipation rates in the Mesosphere using broad beam arrays may be contaminated by the effects of atmospheric gravity waves. To investigate this possibility, a 1.98 MHz Doppler radar operated by the University of Adelaide was used in two separate configurations; a narrow vertical beam (4.5¬∞ half power half width) and 3 smaller spaced antenna systems with broad beams (20¬∞ half power half width) were used to simultaneously measure energy dissipation rates in the height region 80 to 100km. The 3 broad beams were also used to determine winds by the spaced antenna method. Although extraction of the energy dissipation rate parameter is a difficult process, temporally and spatially coincident data were obtained enabling some important comparisons to be made. Three years of such data were analysed and the following results noted: (1) the mean energy dissipation rates as measured by the two radars are comparable, (2) the variance of the data as measured by the Doppler radar is larger than that measured by the spaced antenna radar, (3) The spaced antenna radar does not generally over‚Äêestimate energy dissipation rates at moderate and large values, but when turbulence is very weak, it may do so. The degree of over‚Äêestimation is not as serious as has been inferred in the past. However, there is considerable scatter in the short term ratio of measurements using the two methods, which emphasizes the large degree of spatial variability of turbulence strengths in the middle atmosphere. Copyright 1993 by the American Geophysical Union.</t>
  </si>
  <si>
    <t>17-20</t>
  </si>
  <si>
    <t>60009512;60009512</t>
  </si>
  <si>
    <t>6507036784;23166780300</t>
  </si>
  <si>
    <t>Vandepeer, B. G.W.;Hocking, W. K.</t>
  </si>
  <si>
    <t>Vandepeer B.</t>
  </si>
  <si>
    <t>A comparison of Doppler and spaced antenna radar techniques for the measurement of turbulent energy dissipation rates</t>
  </si>
  <si>
    <t>10.1029/92GL01116</t>
  </si>
  <si>
    <t>2-s2.0-85005731469</t>
  </si>
  <si>
    <t>['wiley blackwell', 'subclass 4', 'subclass 1', 'strongly inhibited', 'strongly activated', 'similar degree', 'rights reserved', 'results suggest', 'recorded using', 'olfactory cells', 'moderate doses', 'four subclasses', 'chemicals tested', 'certain blends', 'cattle urine', 'blends composed', 'action potentials']</t>
  </si>
  <si>
    <t>antenna | Glossina morsitans morsitans | host odour | olfaction | phenols | single cell | Tsetse</t>
  </si>
  <si>
    <t>Abstract. Action potentials from olfactory cells in antennae (funiculi) of living tsetse flies, Glossina morsitans morsitans Westwood, were recorded using a surface‚Äêcontact technique. Stimuli were the vapours of the seven alkylphenols identified in cattle urine: phenol, 3‚Äêmethyl‚Äê, 3‚Äêethyl‚Äê, 3‚Äên‚Äêpropyl‚Äê, 4‚Äêmethyl‚Äê, 4‚Äêethyl‚Äê, and 4‚Äên‚Äêpropylphenol. In addition, responses to the vapours of 1‚Äêocten‚Äê3‚Äêol, acetone and dichloromethane were recorded. The phenol‚Äêsensitive cells could be grouped into four subclasses. Subclass, 1, 2 and 3 cells responded to the phenols only, cells of subclass 1 and 2 being activated by these substances, those of subclass 3 inhibited. Cells of subclass 4 were activated to a similar degree by all phenols and by one or more of the other chemicals tested. Subclass 1 cells were strongly activated by the 3‚Äêalkylphenols, whereas subclass 2 cells were most sensitive to 4‚Äêmethylphenol. Subclass 3 cells were most strongly inhibited by phenol, and 3‚Äê and 4‚Äêmethylphenol. The results suggest that though individual phenols may be attractive to G. m. morsitans, preference for certain blends of phenols may exist; for example, blends composed of moderate doses of 4‚Äêmethylphenol and 3‚Äêmethyl‚Äê, 3‚Äêethyl‚Äê or 3‚Äên‚Äêpropylphenol. Copyright ¬© 1993, Wiley Blackwell. All rights reserved</t>
  </si>
  <si>
    <t>43-49</t>
  </si>
  <si>
    <t>60010023;60010023</t>
  </si>
  <si>
    <t>57195020410;8983649300</t>
  </si>
  <si>
    <t>OTTER, C. J.DEN;NATERS, W. M.VAN DER GOES VAN</t>
  </si>
  <si>
    <t>Groningen</t>
  </si>
  <si>
    <t>University of Groningen</t>
  </si>
  <si>
    <t>OTTER C.</t>
  </si>
  <si>
    <t>Responses of individual antennal olfactory cells of tsetse flies (Glossina m. morsitans) to phenols from cattle urine</t>
  </si>
  <si>
    <t>10.1111/j.1365-3032.1993.tb00447.x</t>
  </si>
  <si>
    <t>2-s2.0-85015488137</t>
  </si>
  <si>
    <t>952-953</t>
  </si>
  <si>
    <t>IEEJ Transactions on Industry Applications</t>
  </si>
  <si>
    <t>7006534690;7005560212</t>
  </si>
  <si>
    <t>Michikami, Osamu;Ishii, Osamu</t>
  </si>
  <si>
    <t>Michikami O.</t>
  </si>
  <si>
    <t>Superconducting small Antennas</t>
  </si>
  <si>
    <t>10.1541/ieejias.113.952</t>
  </si>
  <si>
    <t>2-s2.0-85024454771</t>
  </si>
  <si>
    <t>['¬© 1993', 'waveguide would', 'systematically eliminated', 'successful demonstration', 'steps toward', 'several years', 'remote transmitters', 'recently achieved', 'overmoded waveguide', 'overmoded technology', 'new theoretical', 'naval engineers', 'microwave components', 'first application', 'fabrication techniques', 'array antennas', 'american society']</t>
  </si>
  <si>
    <t>Several future Navy combat systems under development require efficient delivery of high power microwave energy from remote transmitters to array antennas. To achieve this requirement, a family of microwave components has been developed and tested. Progress is described in the design and testing of an overmoded circular TE01 mode waveguide applicable to special shipboard needs. Because such a waveguide had originally been developed for low power millimeter band trunkline communications between cities, new theoretical, design, and fabrication techniques had to be developed to meet our specific performance requirements. Moreover, in order to fulfill the combat system requirements, the waveguide would have to withstand harsh military requirements. Over several years the obstacles to the application of overmoded technology to Navy combat systems have been systematically eliminated. The effort has resulted in the invention of several new components, the development and validation of a new computer aided design package, and the implementation of new microwave measurement techniques. The first application of an overmoded waveguide to a combat system element was recently achieved in the successful demonstration of the prototype Cooperative Engagement Capability, and steps toward a production military version of the waveguide have been initiated. ¬© 1993 by the American Society of Naval Engineers</t>
  </si>
  <si>
    <t>39-52</t>
  </si>
  <si>
    <t>Naval Engineers Journal</t>
  </si>
  <si>
    <t>6506853056;7402212682;57195051525;6603798442</t>
  </si>
  <si>
    <t>HUTING, WILLIAM A.;WARREN, JEFFERY W.;GARNER, PAUL N.;KRILL, JERRY A.</t>
  </si>
  <si>
    <t>HUTING W.</t>
  </si>
  <si>
    <t>Circular Overmoded Waveguide for Shipboard Use</t>
  </si>
  <si>
    <t>10.1111/j.1559-3584.1993.tb02260.x</t>
  </si>
  <si>
    <t>2-s2.0-85025055238</t>
  </si>
  <si>
    <t>['wt contained', 'wild type', 'total pool', 'scenedesmus obliquus', 'results demonstrate', 'reaction centers', 'rapidly converted', 'photosystems ii', 'photosynthetic apparatus', 'peripheral antenna', 'neoxanthin occurs', 'major part', 'loroxanthin seems', 'life cycle', 'initially synthesized', 'immediately oxidized', 'greater extent', 'cultures contained', 'close connection', 'carotenoid pattern', 'carotenoid distribution', 'antennae systems']</t>
  </si>
  <si>
    <t>carotenoid pattern | life cycle | mutant WT‚ÄêLHC 1 | photosynthetic apparatus | Scenedesmus obliquus</t>
  </si>
  <si>
    <t>The wild type (WT) of Scenedesmus obliquus and a mutant lacking chlorophyll b and the light‚Äêharvesting complexes (WT‚ÄêLHC1) were synchronized by a light‚Äêdark regime. Both cultures contained the same type of carotenoids. However, concentrations and patterns of carotenoids were different during their synchronous life cycles. The concentration of total carotenoids followed more or less that of chlorophyll. The WT contained more carotenoids per cell mass, but slightly less per chlorophyll. It is discussed that part of the carotenoids of the mutant, lacking the peripheral antenna of PSII, might be located in the chlorophyll b‚Äêless apoprotein or in an enlarged core antenna of PSII. During the life cycle of Scenedesmus the carotenes are initially synthesized and most of the Œ±‚Äêcarotene is immediately oxidized to lutein which is inserted in the antennae systems of PSII and PSI. The further oxidation of lutein to loroxanthin seems to depend on both the change from dark to light, and on stages of the life cycle itself. Although the major part of Œ≤‚Äêcarotene appears to be inserted in the reaction centers, a fraction of the total pool is rapidly converted to violaxanthin, following the onset of illumination. The conversion may serve to protect against photooxidation. Further conversion of violaxanthin to neoxanthin occurs to a greater extent in the mutant, WT‚ÄêLHC1. The results demonstrate (1) the close connection between the carotenoid pattern and the modulation of the photosynthetic apparatus during the life cycle of Scenedesmus and (2) the flexibility of the organism in compensating for the absence of the light‚Äêharvesting complexes of photosystems II by adjusting the carotenoid distribution. 1993 Deutsche Botanische Gesellschaft/German Botanical Society</t>
  </si>
  <si>
    <t>72-77</t>
  </si>
  <si>
    <t>Botanica Acta</t>
  </si>
  <si>
    <t>60012556;60012556;60013402</t>
  </si>
  <si>
    <t>7005126308;16469645200;25941843200</t>
  </si>
  <si>
    <t>Senger, H.;Schrader, Elisabeth;Bishop, N. I.</t>
  </si>
  <si>
    <t>Changes in the Carotenoid Pattern During the Synchronous Life Cycle of Scenedesmus</t>
  </si>
  <si>
    <t>10.1111/j.1438-8677.1993.tb00340.x</t>
  </si>
  <si>
    <t>2-s2.0-85032068721</t>
  </si>
  <si>
    <t>['¬© 1993', 'voegelei pintureau', 'studies confirmed', 'rights reserved', 'pretiosum groups', 'perkinsi groups', 'one hand', 'morphometrically analysed', 'interspecific divergences', 'evanescens group', 'entomological society', 'distantly related', 'discriminant characters', 'dendrolimi group', 'brassicae bezdenko']</t>
  </si>
  <si>
    <t>The Canadian Entomologist 125: 367‚Äì378 (1993) Ten European species of Trichogramma were morphometrically analysed by means of 19 male characters. Multivariate analyses permitted the estimation of interspecific divergences. These studies confirmed that the most discriminant characters are borne by antennae and genitalia; they distinguished all the analysed species except T. brassicae Bezdenko and T. voegelei Pintureau. The minutum and pretiosum groups on one hand, and the pintoi and perkinsi groups on the other, are morphologically very close. The dendrolimi group is more distantly related to the minutum and pretiosum groups than to the evanescens group. ¬© 1993, Entomological Society of Canada. All rights reserved.</t>
  </si>
  <si>
    <t>367-378</t>
  </si>
  <si>
    <t>Pintureau, Bernard</t>
  </si>
  <si>
    <t>Villeurbanne</t>
  </si>
  <si>
    <t>Institut National des Sciences Appliqu√©es de Lyon</t>
  </si>
  <si>
    <t>Pintureau B.</t>
  </si>
  <si>
    <t>Morphometric analysis of the genus trichogramma westwood (hymenoptera: Trichogrammatidae) in europe</t>
  </si>
  <si>
    <t>10.4039/Ent125367-2</t>
  </si>
  <si>
    <t>2-s2.0-85032068995</t>
  </si>
  <si>
    <t>Science</t>
  </si>
  <si>
    <t>Hammering fails to unstick Galileo's antenna</t>
  </si>
  <si>
    <t>10.1126/science.259.5096.759-a</t>
  </si>
  <si>
    <t>2-s2.0-85046520746</t>
  </si>
  <si>
    <t>['widespread growth', 'satellite communications', 'pacific region', 'national pride', 'detrimental influence']</t>
  </si>
  <si>
    <t>The last ten years have seen the widespread growth and influence of satellite communications in the Asia-Pacific region. Technological developments like ultra-high frequency antennae and satellite dishes capable of receiving international broadcasts have enabled alien cultural mores and values to ‚Äòinvade‚Äô the airwaves and flout censorship codes putting many countries in a dilemma in their effort to cope with what they consider to be a detrimental influence on their national pride and conduct.</t>
  </si>
  <si>
    <t>183-186</t>
  </si>
  <si>
    <t>Media Asia</t>
  </si>
  <si>
    <t>Bhatia, Brajesh</t>
  </si>
  <si>
    <t>Bhatia B.</t>
  </si>
  <si>
    <t>Legal and Regulatory Aspects of Transnational Satellite Broadcasting</t>
  </si>
  <si>
    <t>10.1080/01296612.1993.11726420</t>
  </si>
  <si>
    <t>2-s2.0-85111635439</t>
  </si>
  <si>
    <t>['planar aggregates', 'fractal aggregates', 'electromagnetic properties', 'differential equation', 'dielectric matrix', 'aggregate made', '3d ones', '3d grains']</t>
  </si>
  <si>
    <t>We present a theory of the electromagnetic properties of fractal aggregates. We consider the case of an aggregate made of conducting grains placed in a dielectric matrix. We write and solve a differential equation for the current on the aggregate which generalizes antennas equations. We exhibit in particular the dependence of the polarisation of the aggregate with respect to the frequency and to the size of the aggregate. Our theory is valid for planar aggregates (2D with 3D grains) and for 3D ones. ¬© 1993 IOP Publishing Ltd.</t>
  </si>
  <si>
    <t>273-278</t>
  </si>
  <si>
    <t>EPL</t>
  </si>
  <si>
    <t>105346084-60005768;105346084-60005768</t>
  </si>
  <si>
    <t>57197177568;57083183400</t>
  </si>
  <si>
    <t>Robin, T.;Souillar, B.</t>
  </si>
  <si>
    <t>Palaiseau;Orsay</t>
  </si>
  <si>
    <t>Centre de Physique Theorique de l' Ecole Polytechnique;X-RS</t>
  </si>
  <si>
    <t>60005768;105346084</t>
  </si>
  <si>
    <t>Robin T.</t>
  </si>
  <si>
    <t>Electromagnetic properties of fractal aggregates</t>
  </si>
  <si>
    <t>10.1209/0295-5075/21/3/004</t>
  </si>
  <si>
    <t>2-s2.0-84956077857</t>
  </si>
  <si>
    <t>['vector eigenfunctions', 'provides wide', 'optimized construction', 'model considered', 'angle matching']</t>
  </si>
  <si>
    <t>The characteristics of phased antenna arrays obtained using the model considered and using the model with a basis of vector eigenfunctions of the aperture are compared. The characteristics of the optimized construction of a phased antenna array which provides wide-angle matching are given.</t>
  </si>
  <si>
    <t>96-100</t>
  </si>
  <si>
    <t>Lavretskiy, E. I.</t>
  </si>
  <si>
    <t>Lavretskiy E.</t>
  </si>
  <si>
    <t>Analysis of a phased antenna array based on circular waveguides using Galerkin's method</t>
  </si>
  <si>
    <t>2-s2.0-0027539023</t>
  </si>
  <si>
    <t>['continuous signals', 'antenna array']</t>
  </si>
  <si>
    <t>The detection of continuous and quasi-continuous signals when high-power passive interference from targets situated close to the radar is superimposed on them in time is considered. The results of an optimization of the parameters of the antenna array when it is radiating are given.</t>
  </si>
  <si>
    <t>72-75</t>
  </si>
  <si>
    <t>Pluzhnikov, A. D.</t>
  </si>
  <si>
    <t>Pluzhnikov A.</t>
  </si>
  <si>
    <t>Shaping of the radiation pattern of a radiating antenna when processing radar signals on a background of passive interference</t>
  </si>
  <si>
    <t>2-s2.0-0027539043</t>
  </si>
  <si>
    <t>['optimum distribution', 'dynamic programming']</t>
  </si>
  <si>
    <t>A solution of the problem of the optimum distribution of adaptive antenna array resources for collective use based on the method of dynamic programming is presented.</t>
  </si>
  <si>
    <t>104-107</t>
  </si>
  <si>
    <t>6603383802;7006695574;7003747127</t>
  </si>
  <si>
    <t>Postyushkov, V. P.;Oleinik, V. F.;Tret'yakov, S. M.</t>
  </si>
  <si>
    <t>Postyushkov V.</t>
  </si>
  <si>
    <t>Distribution of adaptive antenna array resources for collective use</t>
  </si>
  <si>
    <t>2-s2.0-0027539047</t>
  </si>
  <si>
    <t>['time processing', 'spatially localized', 'optimum space', 'linear displacements']</t>
  </si>
  <si>
    <t>Algorithms for the optimum space-time processing of signals on a background of spatially localized (local) interference are synthesized for mobile antennas undergoing angular and linear displacements in space.</t>
  </si>
  <si>
    <t>64-67</t>
  </si>
  <si>
    <t>Gorban, I. I.</t>
  </si>
  <si>
    <t>Gorban I.</t>
  </si>
  <si>
    <t>Optimum space-time signal processing for mobile antennas when there is local interference</t>
  </si>
  <si>
    <t>2-s2.0-0027539048</t>
  </si>
  <si>
    <t>['strong winds', 'icy conditions', 'helical antenna']</t>
  </si>
  <si>
    <t>A helical antenna with normal radiation placed inside a radio-transparent tube made of plexiglass which enables the antenna to operate in strong winds and in icy conditions is considered.</t>
  </si>
  <si>
    <t>134-136</t>
  </si>
  <si>
    <t>6506048008;7801389606</t>
  </si>
  <si>
    <t>Boshnakov, V. S.;Tochev, D. A.</t>
  </si>
  <si>
    <t>Boshnakov V.</t>
  </si>
  <si>
    <t>Helical antenna with normal radiation</t>
  </si>
  <si>
    <t>2-s2.0-0027539147</t>
  </si>
  <si>
    <t>['numerical modeling', 'mathematical model']</t>
  </si>
  <si>
    <t>A mathematical model for calculating the parameters of the optimal excitation zones of the surface of a multibeam mirror antenna is proposed. The results of numerical modeling are given.</t>
  </si>
  <si>
    <t>86-91</t>
  </si>
  <si>
    <t>6603244472;6603359475</t>
  </si>
  <si>
    <t>Kremenetskiy, S. D.;Tumanskaya, A. E.</t>
  </si>
  <si>
    <t>Kremenetskiy S.</t>
  </si>
  <si>
    <t>Minimization of the phase-errors of the excitation field of the partial zones of the surface of a multibeam mirror antenna</t>
  </si>
  <si>
    <t>2-s2.0-0027539191</t>
  </si>
  <si>
    <t>['radiation patterns', 'normal law', 'integral electromagnetic', 'higher harmonics', 'generalized quasi', 'distribution density', 'compatibility parameters', 'antennas excited']</t>
  </si>
  <si>
    <t>A method of calculating the radiation patterns and integral electromagnetic-compatibility parameters of antennas excited by a spectra of higher harmonics with deterministic and random complex excitation amplitudes, the distribution density of which is described by a generalized quasi-normal law, is proposed.</t>
  </si>
  <si>
    <t>112-118</t>
  </si>
  <si>
    <t>Kremenetskiy, S. D.</t>
  </si>
  <si>
    <t>Integral electromagnetic compatibility parameters of antennas at harmonics of the fundamental frequency</t>
  </si>
  <si>
    <t>2-s2.0-0027539214</t>
  </si>
  <si>
    <t>['terrestrial radiators', 'artificial satellites', 'account focusing']</t>
  </si>
  <si>
    <t>The results of the reception of signals from artificial satellites and terrestrial radiators are considered, taking into account focusing in ionospheric radio waveguides.</t>
  </si>
  <si>
    <t>92-95</t>
  </si>
  <si>
    <t>6505884840;7006370242;6505769519;7801335216;7801582419</t>
  </si>
  <si>
    <t>Alebastrov, V. A.;Mal'tsev, A. T.;Oros, V. M.;Shlionskiy, A. G.;Yarko, O. I.</t>
  </si>
  <si>
    <t>Alebastrov V.A.</t>
  </si>
  <si>
    <t>Some characteristics of echo signals</t>
  </si>
  <si>
    <t>2-s2.0-0027539266</t>
  </si>
  <si>
    <t>99-2221-E-008-039</t>
  </si>
  <si>
    <t>['surrounding buildings', 'street level', 'sources near', 'rooftops gives', 'results apply', 'range index', 'range dependence', 'proposed systems', 'pcs ),', 'lamp posts', 'equal heights', 'diffraction problem', 'commercial sections', 'cmr ).', 'average signal', 'antenna height']</t>
  </si>
  <si>
    <t>This paper presents theoretical results for the dependence on base station antenna height of the average received signal for mobiles at street level. The results apply to residential and commercial sections of cities and to all ranges of antenna height from well above to below that of the surrounding buildings. Assuming all buildings to be of equal heights, the range dependence of the average signal is found by evaluating multiple forward diffraction past rows of buildings. The solution for this diffraction problem for sources near to or below the rooftops gives the dependence of the range index on antenna height and base station height gain, which are in agreement with measurements. These results will be of importance for proposed systems for personal communication services (PCS), which envision the use of base station antennas at the height of lamp posts, as well as cellular mobile radio (CMR).</t>
  </si>
  <si>
    <t>41-45</t>
  </si>
  <si>
    <t>60108318;60108318;60108318</t>
  </si>
  <si>
    <t>35618290100;7005129354;56979443600</t>
  </si>
  <si>
    <t>Maciel, Leandro Rocha;Bertoni, Henry L.;Xia, Howard H.</t>
  </si>
  <si>
    <t>Maciel L.</t>
  </si>
  <si>
    <t>Unified approach to prediction of propagation over buildings for all ranges of base station antenna height</t>
  </si>
  <si>
    <t>10.1109/25.192385</t>
  </si>
  <si>
    <t>2-s2.0-0027542082</t>
  </si>
  <si>
    <t>['two space', 'two antennas', 'spaced decision', 'sice ).', 'receiver structure', 'received signals', 'proposed sice', 'paper proposes', 'experimentally confirmed', 'diversity antennas', 'dfe ).', 'computer simulation', 'around 1', 'alternatively switched', 'adaptive equalizer', '160 hz']</t>
  </si>
  <si>
    <t>This paper proposes and investigates an adaptive equalizer with diversity-combining over a multipath fading channel. It consists of two space-diversity antennas and a Ts/2-spaced decision-feedback-equalizer (DFE). Received signals from the two antennas are alternatively switched and fed into the feedforward-filter of DFE. We call this structure a Switched Input Combining Equalizer with diversity-combining (SICE). By using an SICE, the receiver structure for combining diversity equalization can be simplified, because it needs only two receiver sections up to IF BPF. The bit error rate (BER) performance of SICE was evaluated by both computer simulation and experiment over a multipath fading channel. We experimentally confirmed the excellent BER performance, around 1% of BER over a multipath fading channel at 160 Hz of maximum Doppler fading frequency. Therefore, the proposed SICE is applicable to highly reliable transmission in the 1.5-GHz-band mobile radio.</t>
  </si>
  <si>
    <t>131-138</t>
  </si>
  <si>
    <t>60107350;60107350;60107350;60107350;60107350</t>
  </si>
  <si>
    <t>6506016830;35412373000;7201758222;7102287283;57220908065</t>
  </si>
  <si>
    <t>Misaizu, Kouei;Matsuoka, Takashi;Ohnishi, Hiroshi;Kohno, Ryuji;Imai, Hideki</t>
  </si>
  <si>
    <t>Misaizu K.</t>
  </si>
  <si>
    <t>Adaptive equalization with dual diversity-combining</t>
  </si>
  <si>
    <t>2-s2.0-0027545526</t>
  </si>
  <si>
    <t>['transmission loss', 'theoretically predictable', 'promising performance', 'paper addresses', 'much deteriorated', 'modulating waves', 'larger spacing', 'isl based', 'ground plane', 'good agreement', 'following respects', 'field profile', 'field intensity', 'excellent performance', 'cut substrate', 'characteristic impedance', 'also estimated', 'actual isl', '50 ghz', '100 ghz', '10 ghz']</t>
  </si>
  <si>
    <t>The inverted slot line (ISL) has been proposed for millimeter-wave LiNbO3 optical modulator. It is simple in structure, and capable of achieving the perfect velocity matching between carrier and modulating waves. The excellent performance of the ISL optical modulator has been demonstrated at 100 GHz, and the extension into the 50 GHz range is being expected. This paper addresses the analysis of the ISL based on the spectral domain approach. The major results obtained here are the demonstration of the perfect velocity matching not only at 10 GHz but also at 50 GHz, and the characterization of the ISL in terms of effective refractive index, characteristic impedance, overlap integral factor and transmission loss. The depth of optical phase modulation is also estimated at 50 GHz to show a promising performance in the millimeter-wave frequency range. The effective refractive index and the characteristic impedance are found to be theoretically predictable, but the field profile, the overlap integral factor and the transmission loss are not necessarily in good agreement with measurements. As a result of analysis, it can be concluded that the Y-cut substrate is superior to the Z-cut substrate in the following respects: 1. Coupling with the surface wave mode hardly occurs near the operating frequency range. 2. The perfect velocity matching can be attained with a larger spacing between the electrode and the ground plane. 3. The transmission loss is smaller. 4. The field intensity and the overlap integral factor do not seem to be much deteriorated in the actual ISL.</t>
  </si>
  <si>
    <t>E76-C</t>
  </si>
  <si>
    <t>IEICE Transactions on Electronics</t>
  </si>
  <si>
    <t>60008435;60008435</t>
  </si>
  <si>
    <t>7202091831;55426570900</t>
  </si>
  <si>
    <t>Yoneyama, Tsukasa;Iwasaki, Tohru</t>
  </si>
  <si>
    <t>Yoneyama T.</t>
  </si>
  <si>
    <t>Characterization of inverted slot line for travelling wave optical modulator</t>
  </si>
  <si>
    <t>2-s2.0-0027545591</t>
  </si>
  <si>
    <t>['theoretical analysis', 'paper reports', 'noise caused', 'distortion must', 'connector spacing', 'connector reflections', 'basic characteristics', '7 meters']</t>
  </si>
  <si>
    <t>This paper reports the influence of optical reflection induced noise and distortion for optical fiber feeder systems for microcellular mobile communication systems. Since the optical feeder requires very wide dynamic range, noise and distortion must be suppressed to an extremely low level. From optical transmission experiments and theoretical analysis, the basic characteristics of the reflection induced noise and distortion were investigated. By using these results, it was estimated that, for currently used analog mobile telephone systems, the number of connectors with -35 dB reflectance must be limited to less than 17, in order to suppress the noise caused by the connector reflections. Moreover, it was confirmed that the reflection induced distortion drastically decreases according to the increase of the length between reflectors. Therefore, the distortion can be suppressed by expanding the connector spacing to more than 7 meters.</t>
  </si>
  <si>
    <t>60031293;60031293;60031293</t>
  </si>
  <si>
    <t>35869004100;57224264409;7007085216</t>
  </si>
  <si>
    <t>Shibutani, Makoto;Domon, Wataru;Emura, Katsumi</t>
  </si>
  <si>
    <t>Reflection induced degradations in optical fiber feeder for microcellular mobile radio systems</t>
  </si>
  <si>
    <t>2-s2.0-0027545593</t>
  </si>
  <si>
    <t>['v compounds', 'second half', 'r modules', 'provide distribution', 'presented demonstrating', 'optically fed', 'optical components', 'first part', 'electronic components', 'earlier stages', 'better interfaces']</t>
  </si>
  <si>
    <t>Research in optical microwave interaction, at its earlier stages, was spurred by the desire to make an optically fed and controlled phased array antenna with monolithic microwave integrated circuit (MMIC) transmit/receive (T/R) modules. In the first part of this paper experimental results are presented demonstrating an optically fed phased array antenna operating at C-band in the 5.5 to 5.8 GHz frequency range. The present system consists of two optically fed 1√ó4 subarrays with MMIC based active T/R modules. Custom designed fiber optic links have been employed to provide distribution of data and frequency reference signals to phased array antenna. One of the challenges of the future is the development of better interfaces between electronic (microwave) and optical components, including the chip level merging of photonic and electronic components on III-V compounds. This aspect of the research is covered in the second half of the paper.</t>
  </si>
  <si>
    <t>191-197</t>
  </si>
  <si>
    <t>Herczfeld, Peter R.</t>
  </si>
  <si>
    <t>Herczfeld P.</t>
  </si>
  <si>
    <t>Hybrid photonic-microwave systems and devices</t>
  </si>
  <si>
    <t>2-s2.0-0027545718</t>
  </si>
  <si>
    <t>['separately pick', 'reflection consists', 'reflecting plane', 'reflected signal', 'mountain surface', 'fundamental equation', 'antenna beams', 'absorption loss']</t>
  </si>
  <si>
    <t>In order to evaluate multipath signal strengths reflected by mountain, a fundamental equation is derived for both cases where antenna beams are larger and smaller than a reflecting plane, assuming that reflection consists of absorption and scattering at the mountain surface. Absorption loss at a mountain surface was measured on a model propagation path by using sharp beam antennas to separately pick up the mountain-reflected signal.</t>
  </si>
  <si>
    <t>98-102</t>
  </si>
  <si>
    <t>60003336;60003336;60003336</t>
  </si>
  <si>
    <t>7006700109;7005235088;36757248200</t>
  </si>
  <si>
    <t>Maeyama, Toshiyuki;Ikegami, Fumio;Kitano, Yasushi</t>
  </si>
  <si>
    <t>Takushoku University</t>
  </si>
  <si>
    <t>Maeyama T.</t>
  </si>
  <si>
    <t>Analysis of mountain-reflected signal strength in digital mobile radio communications</t>
  </si>
  <si>
    <t>2-s2.0-0027545720</t>
  </si>
  <si>
    <t>['successful performance', 'phase shifted', 'paper presents', 'linbo3 substrate', 'heterodyne photodetection', 'also confirmed', '585 mhz', '300 mhz', '3 ghz', '1800 degrees']</t>
  </si>
  <si>
    <t>This paper presents the successful performance of an optical waveguide phase controller for microwave signals generated by heterodyne photodetection. A 2√ó2 optical waveguide structure with four optical phase shifters was fabricated on a LiNbO3 substrate. As a result of heterodyne photodetection of two optical signals from wavelength-tunable laser diodes, two microwave signals at 585 MHz were generated and phase shifted in the manner of electro-optical phase retardation. The monolithic waveguide structure allowed linear phase shifting more than 1800 degrees. Similar phase shifting performances were also confirmed over a wide microwave frequency range from 300 MHz to 1.3 GHz. The optical waveguide structure demonstrated here will be applicable to fiber-optic fed microwave systems such as a phased array antenna.</t>
  </si>
  <si>
    <t>305-307</t>
  </si>
  <si>
    <t>60021208;60021208;60021208</t>
  </si>
  <si>
    <t>7202745293;7006680804;35595788800</t>
  </si>
  <si>
    <t>Kamiya, Yoshiaki;Chujo, Wataru;Fujise, Masayuki</t>
  </si>
  <si>
    <t>Kamiya Y.</t>
  </si>
  <si>
    <t>Optical waveguide phase controller for microwave signals generated by heterodyne photodetection</t>
  </si>
  <si>
    <t>2-s2.0-0027547670</t>
  </si>
  <si>
    <t>['widely accepted', 'system factors', 'system design', 'show examples', 'rate performance', 'propagation engineers', 'propagation conditions', 'pay attention', 'multipath propagation', 'multipath modulation', 'good measure', 'facts believed', 'e .,', 'desirable phenomenon', 'decision receiver', 'conventional sample', 'communication system', 'close relationship', 'believed facts', 'always true', 'account simultaneously']</t>
  </si>
  <si>
    <t>In this paper, some misconceptions about `multipath propagation' are discussed for those propagation engineers, who are not familiar with the close relationship between multipath propagation and a communication system in a mobile/portable radio communication environment. It is shown that believed facts about multipath propagation are not always true. Namely, it is well-known that multipath propagation is undesirable if a conventional sample-and-decision receiver is assumed. It is not well-recognized that it can be a desirable phenomenon if a sophisticated communication system uses adaptive equalization, anti-multipath modulation, or spread spectrum communication, for example. On the other hand, it is widely accepted that root mean square (rms) multipath delay spread is a good measure of bit-error-rate performance, i.e., as rms delay spread gets larger, bit-error-rate generally gets worse. However, it is pointed out that this is not always true, especially in propagation conditions with very long-delayed multipath signals. In short, it is the purpose of this paper to show examples that the facts believed to be true sometimes turn out to be false, unless we pay attention to both aspects of propagation and system design in the field of mobile/portable radio communications. In fact, for highly efficient communication systems design, propagation, antenna and system factors should be taken into account simultaneously.</t>
  </si>
  <si>
    <t>90-97</t>
  </si>
  <si>
    <t>60011001;60011001</t>
  </si>
  <si>
    <t>7406244729;7402731629</t>
  </si>
  <si>
    <t>Yoshida, Susumu;Mizuno, Mitsuhiko</t>
  </si>
  <si>
    <t>Yoshida S.</t>
  </si>
  <si>
    <t>Realities and myths of multipath propagation</t>
  </si>
  <si>
    <t>2-s2.0-0027547671</t>
  </si>
  <si>
    <t>['thin films', 'corner reflector']</t>
  </si>
  <si>
    <t>High Tc superconducting (SC) active antennas made from thin films were produced by the magnetron sputtering method. The SC active antennas are found to be good for detecting 50 GHz electromagnetic waves. Furthermore, the improvement of the sensitivity of the SC active antennas is demonstrated with the use of a corner reflector.</t>
  </si>
  <si>
    <t>196-198</t>
  </si>
  <si>
    <t>22976359800;6507910866</t>
  </si>
  <si>
    <t>Ohnuma, Toshiro;Kuroko, Takashi</t>
  </si>
  <si>
    <t>Ohnuma T.</t>
  </si>
  <si>
    <t>High T&lt;inf&gt;c&lt;/inf&gt; superconducting active antennas for 50 GHz</t>
  </si>
  <si>
    <t>2-s2.0-0027547852</t>
  </si>
  <si>
    <t>['transmission loss', 'simple expressions', 'paper reviews', 'optical technologies', 'optical amplifiers', 'noise performance', 'future trends']</t>
  </si>
  <si>
    <t>This paper reviews the application of optical technologies to phased array antennas. The performance of the fibre transmission medium and of sources and detectors is reviewed, leading to simple expressions for transmission loss and noise performance. Both coherent and non-coherent beam forming techniques are considered. Future trends, including the use of optical amplifiers and coherent signal generation, will also be discussed.</t>
  </si>
  <si>
    <t>198-206</t>
  </si>
  <si>
    <t>Seeds, Alwyn</t>
  </si>
  <si>
    <t>University College London</t>
  </si>
  <si>
    <t>Seeds A.</t>
  </si>
  <si>
    <t>Optical technologies for phased array antennas</t>
  </si>
  <si>
    <t>2-s2.0-0027549419</t>
  </si>
  <si>
    <t>['widely introduced', 'urban areas', 'time resolution', 'station antennas', 'recent studies', 'profiles becomes', 'present days', 'mobile propagation', 'microcellular propagation', 'loss prediction', 'loss characteristics', 'indoor propagation', 'ehf bands', 'directional base']</t>
  </si>
  <si>
    <t>This paper mainly concentrates on recent studies on land mobile propagation, considering new trends of the progress of digital and personal land mobile communications. High speed digital transmission for millimeter-wave indoor communication is of another current interest. Microcellular propagation in urban areas and indoor propagation are major research targets at present days. Multipath propagation characteristics such as delay-profiles becomes more and more important measuring items, and some signal processing methods like MUSIC method have been widely introduced to improve the time resolution against the limit of available radio bandwidth. Path-loss characteristics in mobile propagation are extended to the path-loss prediction and are going to be applied to cellular system design in connection with the design of directional base-station antennas. Another recent topic is an extension of target frequency bands for mobile propagation studies, which are spreading from VHF, UHF and SHF to EHF bands.</t>
  </si>
  <si>
    <t>58-64</t>
  </si>
  <si>
    <t>60092258;60092258;60092258</t>
  </si>
  <si>
    <t>7402731629;35497719700;35500411600</t>
  </si>
  <si>
    <t>Mizuno, Mitsuhiko;Moriyama, Eimatsu;Manabe, Takeshi</t>
  </si>
  <si>
    <t>Mizuno M.</t>
  </si>
  <si>
    <t>Overview of recent propagation studies for land mobile communications</t>
  </si>
  <si>
    <t>2-s2.0-0027549930</t>
  </si>
  <si>
    <t>['measured values', 'horizontal rotating', 'experimental evaluations']</t>
  </si>
  <si>
    <t>Theoretical and experimental evaluations of the horizontal rotating and tilting of the base station antenna beam show that these techniques are effective in reducing delay spread. Result show good agreement between predicted and measured values.</t>
  </si>
  <si>
    <t>159-162</t>
  </si>
  <si>
    <t>60025555;60025555;60025555</t>
  </si>
  <si>
    <t>57218981509;7102730225;56771829000</t>
  </si>
  <si>
    <t>Tanaka, Tetsu;Aoyama, Shigeru;Kozono, Shigeru</t>
  </si>
  <si>
    <t>Tanaka T.</t>
  </si>
  <si>
    <t>Effects of antenna beam horizontal rotating and beam tilting on delay spread reduction in mobile radio</t>
  </si>
  <si>
    <t>2-s2.0-0027549932</t>
  </si>
  <si>
    <t>212-215</t>
  </si>
  <si>
    <t>16405686800;6507381275;6603573438</t>
  </si>
  <si>
    <t>Gladyshev, A. K.;Ivankin, E. F.;Panychev, S. N.</t>
  </si>
  <si>
    <t>Gladyshev A.</t>
  </si>
  <si>
    <t>Using instrumental antennas as working measures of an effective scattering surface</t>
  </si>
  <si>
    <t>10.1007/BF00977861</t>
  </si>
  <si>
    <t>2-s2.0-34250081061</t>
  </si>
  <si>
    <t>['¬© 1993', 'variable fluorescence', 'transient adjustments', 'term changes', 'state transitions', 'state 1', 'regulated reaction', 'ps ii', 'polypeptide may', 'photosystem ii', 'phosphorylated constitutively', 'may represent', 'low irradiance', 'light 1', 'inner antenna', 'individual lhc', 'incremental assembly', 'important conclusion', 'ii polypeptides', 'ii ).', 'high irradiance', 'harvesting complex', 'dunaliella salina', 'dependent phosphorylation', 'controlled phosphorylation', 'binding light', 'also observed', 'also able', 'adapted cells', 'absorption cross', '26 kda']</t>
  </si>
  <si>
    <t>Adaptation mechanism | Chlororespiration | Light-harvesting protein | Photosynthesis | Protein phosphorylation | State transition</t>
  </si>
  <si>
    <t>The green alga Dunaliella salina is able to adapt to long-term changes in irradiance by adjusting the complement of auxiliary antenna complexes associated with each photosystem. This organism is also able to respond to short-term changes in incident light regime by transient adjustments in the absorption cross-section of Photosystem II by the process of state 1-state 2 transitions, which are mediated via redox-dependent phosphorylation of polypeptides of the chlorophyll a b-binding light-harvesting complex of PS II (LHC-II). We have observed protein phosphorylation-dependent state transitions in Dunaliella salina and demonstrate that redox-controlled phosphorylation of LHC-II polypeptides of molecular mass 27, 26 and 25 kDa occurs in vivo during such adaptations. Redox-controlled phosphorylation of the 25 kDa polypeptide also occurred in high irradiance-adapted cells which have a depleted Photosystem II antenna and which are incapable of state transitions. We conclude that this polypeptide may be phosphorylated constitutively and may represent a component of the non-mobile, inner antenna of Photosystem II. State transitions were also observed in high irradiance-grown cells reacclimating to low irradiance, and conclude that the absorption cross-section of only PS IIŒ± centres changes as a result of phosphorylation of LHC-II polypeptides. PS IIŒ≤ has an unchanged absorption cross-section. An important conclusion is reached that during incremental assembly the PS II antenna on recovery from high light conditions, phosphorylation of individual LHC-II polypeptides is accompanied by an increase in the effect of Light 1 on variable fluorescence. This suggests that the 26 kDa and 25 kDa LHC-II polypeptides are phosphorylated in a redox-regulated reaction, with a 27 kDa polypeptide becoming phosphorylated finally to decouple a proportion of the antenna of PS IIŒ±. ¬© 1993.</t>
  </si>
  <si>
    <t>37-44</t>
  </si>
  <si>
    <t>BBA - Bioenergetics</t>
  </si>
  <si>
    <t>60012070-60029170;60012070-60029170</t>
  </si>
  <si>
    <t>7401595128;7406421287</t>
  </si>
  <si>
    <t>Harrison, Michael A.;Allen, John F.</t>
  </si>
  <si>
    <t>Lund;Leeds</t>
  </si>
  <si>
    <t>Lunds Universitet;University of Leeds</t>
  </si>
  <si>
    <t>60029170;60012070</t>
  </si>
  <si>
    <t>Harrison M.</t>
  </si>
  <si>
    <t>Differential phosphorylation of individual LHC-II polypeptides during short-term and long-term acclimation to light regime in the green alga Dunaliella salina</t>
  </si>
  <si>
    <t>0005-2728(93)90186-J</t>
  </si>
  <si>
    <t>10.1016/0005-2728(93)90186-J</t>
  </si>
  <si>
    <t>2-s2.0-0027416754</t>
  </si>
  <si>
    <t>['¬© 1993', 'optical elements', 'electronic noise', '100 hz']</t>
  </si>
  <si>
    <t>A high senstivity interferometer has been built to test the suspension of the optical elements for the Virgo gravitational antenna. The interferometer is controlled by means of an internal alignment system, without any actuator directly connected to ground. The spectral noise achieved in the interferometer is of the order of 10-13m/‚àöHz between 20 and 100 Hz, limited by the electronic noise. ¬© 1993.</t>
  </si>
  <si>
    <t>252-256</t>
  </si>
  <si>
    <t>Physics Letters A</t>
  </si>
  <si>
    <t>60028868;60028868;60028868;60028868;60028868;60028868;60028868;60028868;60028868;60028868;60028868;60028868;60000745</t>
  </si>
  <si>
    <t>35225713700;35227009000;6603424528;7004046447;56212286300;56448239800;22943966700;23015157600;57189876378;35272707300;7003569996;35315212300;35225772100</t>
  </si>
  <si>
    <t>Braccini, S.;Bradaschia, C.;del Fabbro, R.;di Virgilio, A.;Flaminio, R.;Giassi, A.;Giazotto, A.;Kautzky, H.;Montelatici, V.;Morganti, M.;Passuello, D.;Zhang, Z.;Holloway, L. E.</t>
  </si>
  <si>
    <t>Italy;United States</t>
  </si>
  <si>
    <t>Pisa;Urbana</t>
  </si>
  <si>
    <t>Universit√† di Pisa;University of Illinois Urbana-Champaign</t>
  </si>
  <si>
    <t>60028868;60000745</t>
  </si>
  <si>
    <t>Braccini S.</t>
  </si>
  <si>
    <t>Design and operation of an interferometer developed to test the suspensions of the Virgo gravitational wave antenna</t>
  </si>
  <si>
    <t>0375-9601(93)90273-3</t>
  </si>
  <si>
    <t>10.1016/0375-9601(93)90273-3</t>
  </si>
  <si>
    <t>2-s2.0-43949176422</t>
  </si>
  <si>
    <t>['¬© 1993', 'violent threats', 'urban violence', 'urban students', 'urban colleges', 'urban campus', 'urban areas', 'unusually violent', 'universities may', 'two groups', 'suburban schools', 'subtle effects', 'rights reserved', 'makes sense', 'haworth press', 'deserved reputation', 'city phobics']</t>
  </si>
  <si>
    <t>Because urban areas have a deserved reputation for violence, it makes sense to consider the impact of violence on the urban campus. Suprisingly, urban colleges and universities may no be unusually violent, for a combination or reasons. Urban students do risk more types of violent threats, however, than their peers at rural and suburban schools. Two groups of students-victims of violence and city phobics-have strong negative reactions to the city and urban violence. For most students, though, urban violence has more subtle effects. While students lead relatively normal college existnences, they do learn to be on their guard. ¬© 1993 by The Haworth Press, Inc. All rights reserved.</t>
  </si>
  <si>
    <t>139-150</t>
  </si>
  <si>
    <t>Journal of College Student Psychotherapy</t>
  </si>
  <si>
    <t>Grayson, Paul</t>
  </si>
  <si>
    <t>New York University</t>
  </si>
  <si>
    <t>Grayson P.</t>
  </si>
  <si>
    <t>Keeping their antennas up: Violence and the urban college student</t>
  </si>
  <si>
    <t>10.1300/J035v08n01_06</t>
  </si>
  <si>
    <t>2-s2.0-84953070441</t>
  </si>
  <si>
    <t>['spherical form', 'seems probable', 'second fraction', 'results suggest', 'probably micelles', 'overall shape', 'linking reagents', 'lds ),', 'isolated chlorosomes', 'intact chlorosomes', 'induced changes', 'gives rise', 'full complement', 'excluding spheres', 'electron micrographs', 'detergent treatment', 'control chlorosomes', 'completely devoid', 'chlorosome proteins', 'chlorosome morphology', 'aggregate absorbing', '742 nm', '740 nm']</t>
  </si>
  <si>
    <t>BChl c aggregates | cross-linking | green bacteria | light-harvesting antenna | pigment organization | ultrastructure</t>
  </si>
  <si>
    <t>Isolated chlorosomes, treated with the detergent lithium dodecyl sulfate (LDS), can be separated into two green fractions by agarose gel electrophoresis. One fraction contains chlorosomes with a full complement of proteins and antenna BChl c absorbing at 740 nm, but with a more spherical form than the normal ellipsoid shape observed in control chlorosomes. The second fraction was completely devoid of proteins but had a similar absorption spectrum. Electron micrographs of the protein-free fraction indicated the presence of stain-excluding spheres with overall dimensions resembling those of intact chlorosomes (40-100 nm). These spheres are probably micelles of BChl c liberated from the chlorosomes during the detergent treatment, since similar structures could be produced when purified BChl c, dissolved in 1-hexanol, was dispersed in buffer, producing an aggregate absorbing at 742 nm. These results suggest that the chlorosome proteins are not required to produce an arrangement of BChl c chromophores which gives rise to a 740 nm absorption peak resembling that of intact chlorosomes. It seems probable, however, that proteins have a role in determining the overall shape of the chlorosome. Treatment with cross-linking reagents did not prevent the detergent-induced changes in chlorosome morphology. ¬© 1993 Kluwer Academic Publishers.</t>
  </si>
  <si>
    <t>275-283</t>
  </si>
  <si>
    <t>60019160;60019782;60019160</t>
  </si>
  <si>
    <t>7406531143;7402414929;6701548068</t>
  </si>
  <si>
    <t>Miller, Mette;Simpson, David;Redlinger, Thomas E.</t>
  </si>
  <si>
    <t>Denmark;Denmark</t>
  </si>
  <si>
    <t>Copenhagen;Odense</t>
  </si>
  <si>
    <t>Carlsberg Research Center;Syddansk Universitet</t>
  </si>
  <si>
    <t>60019782;60019160</t>
  </si>
  <si>
    <t>Miller M.</t>
  </si>
  <si>
    <t>The effect of detergent on the structure and composition of chlorosomes isolated from Chloroflexus aurantiacus</t>
  </si>
  <si>
    <t>10.1007/BF00016558</t>
  </si>
  <si>
    <t>2-s2.0-0000085907</t>
  </si>
  <si>
    <t>['using sds', 'trimeric form', 'terminal sequencing', 'several detergents', 'preliminary characterization', 'molecular weight', 'mild procedure', 'less mutant', 'full set', 'epr spectroscopy', 'electron microscopy', 'detergent exchange', 'crystals obtained', 'antenna size', 'active photosystem', 'achieved using', '760 kda', '690 kda']</t>
  </si>
  <si>
    <t>crystals of Photosystem I | electron microscopy | EPR | gel filtration HPLC | Photosystem I</t>
  </si>
  <si>
    <t>An active photosystem (PSI) complex was isolated from a phycobilisome-less mutant of the mesophilic cyanobacterium Synechococcus PCC 7002 by a mild procedure. Purification of PS I was achieved using a sucrose density gradient and an isoelectric focussing subsequent to the extraction of PSI from thylakoids with dodecyl-Œ≤-maltoside. Electron microscopy and gel filtration HPLC suggested that the isolated complex represents a trimeric form of PSI. The trimeric form was resistant to pH or detergent exchange. A 'molecular weight' of 690 kDa to 760 kDa has been determined for the complex by gel filtration HPLC in several detergents or mixtures of detergents. The PSI complex contains the polypeptides of the psaA, psaB, psaC, psaD, psaE, psaL gene products and two small polypeptides as determined by SDS-PAGE and N-terminal sequencing; its antenna size is 77¬±2 Chl a/P700. The full set of Fe-S clusters (FA, FB and FX) was observed by EPR-spectroscopy. A preliminary characterization of crystals obtained from this preparation was carried out using SDS-PAGE, optical and EPR spectroscopy. ¬© 1993 Kluwer Academic Publishers.</t>
  </si>
  <si>
    <t>285-297</t>
  </si>
  <si>
    <t>60020952;60014849;60020952;60020952</t>
  </si>
  <si>
    <t>6701605671;7005804256;7202631409;35467243800</t>
  </si>
  <si>
    <t>Tsiotis, G.;Nitschke, W.;Haase, W.;Michel, H.</t>
  </si>
  <si>
    <t>Frankfurt am Main;Paris</t>
  </si>
  <si>
    <t>Max Planck Institute of Biophysics;Institut de Biologie Physico-Chimique</t>
  </si>
  <si>
    <t>60020952;60014849</t>
  </si>
  <si>
    <t>Tsiotis G.</t>
  </si>
  <si>
    <t>Purification and crystallization of Photosystem I complex from a phycobilisome-less mutant of the cyanobacterium Synechococcus PCC 7002</t>
  </si>
  <si>
    <t>10.1007/BF00016559</t>
  </si>
  <si>
    <t>2-s2.0-0000339670</t>
  </si>
  <si>
    <t>['¬© 1993', 'side path', 'rise time', 'reaction center', 'rc ),', 'ps ii', 'plant physiologists', 'jspp ).', 'japanese society', 'hereafter referred', 'green plants', 'fluorescence components', 'energy pool', 'energy levels', 'energetic properties', 'direct donors', 'antenna components', '707 nm', '685 nm']</t>
  </si>
  <si>
    <t>Antenna pigment | Fluorescence | Photosynthesis | Picosecond spectroscopy | Reaction center</t>
  </si>
  <si>
    <t>A specific antenna component in the photosynthetic pigment system, the direct energy donor to the reaction center (RC), was identified in PS I and II in green plants by time-resolved fluorescence spectroscopy at - 196¬∞C. The fluorescence components were detected at 707 nm and 685 nm for PS I and II, respectively, and these antennae are hereafter referred to as the terminal energy donors. In PS II, component that fluoresces at 695 nm also functions as an energy pool; its rise time is slow (50 ps), suggesting that it represents a side path in the flow of energy. The energy levels of these direct donors were lower than, or almost the same as that of the primary electron donors in RC I (P700) and II (P680), respectively. The similarities and differences between these donors are discussed in relation to the structural and energetic properties of the antenna components in PS I and II core complexes. ¬© 1993. The Japanese Society of Plant Physiologists (JSPP).</t>
  </si>
  <si>
    <t>321-327</t>
  </si>
  <si>
    <t>Plant and Cell Physiology</t>
  </si>
  <si>
    <t>Mimuro, Mamoru</t>
  </si>
  <si>
    <t>Okazaki</t>
  </si>
  <si>
    <t>National Institutes of Natural Sciences - National Institute for Basic Biology</t>
  </si>
  <si>
    <t>Mimuro M.</t>
  </si>
  <si>
    <t>Identification of the terminal energy donor to the reaction center in the pigment system of green plants by time-resolved fluorescence spectroscopy at - 196¬∞C</t>
  </si>
  <si>
    <t>2-s2.0-0000785629</t>
  </si>
  <si>
    <t>['wavelength antenna', 'thermal equilibration', 'spectral heterogeneity', 'several organisms', 'primary photochemistry', 'primary donor', 'possible reasons', 'photosynthetic organisms', 'photosynthetic organelles', 'many cases', 'highly optimized', 'harvesting apparatus', 'generally found', 'experimental data', 'excitation energy', 'energy transfer', 'energetic trap', 'efficient collection', 'different wavelengths', 'chromatic adaptation', 'calculations show', 'antenna systems']</t>
  </si>
  <si>
    <t>chromatic adaptation | photosynthesis | thermal equilibration | trapping</t>
  </si>
  <si>
    <t>The light-harvesting apparatus of photosynthetic organisms is highly optimized with respect to efficient collection of excitation energy from photons of different wavelengths and with respect to a high quantum yield of the primary photochemistry. In many cases the primary donor is not an energetic trap as it absorbs hypsochromically compared to the most red-shifted antenna pigment present (long-wavelength antenna). The possible reasons for this as well as for the spectral heterogeneity which is generally found in antenna systems is examined on a theoretical basis using the approach of thermal equilibration of the excitation energy. The calculations show that long-wavelength antenna pigments and heterogeneous absorption bands lead to a concentration of excitons and an increased effective absorption cross section. The theoretically predicted trapping times agree remarkably well with experimental data from several organisms. It is shown that the kinetics of the energy transfer from a long-wavelength antenna pigment to a hypsochromically absorbing primary donor does not represent a major kinetic limitation. The development of long-wavelength antenna and spectrally heterogeneous absorption bands means an evolutionary advantage based on the chromatic adaptation of photosynthetic organelles to spectrally filtered light caused by self-absorption. ¬© 1993 Kluwer Academic Publishers.</t>
  </si>
  <si>
    <t>247-263</t>
  </si>
  <si>
    <t>Trissl, H. W.</t>
  </si>
  <si>
    <t>Long-wavelength absorbing antenna pigments and heterogeneous absorption bands concentrate excitons and increase absorption cross section</t>
  </si>
  <si>
    <t>10.1007/BF00016556</t>
  </si>
  <si>
    <t>2-s2.0-0000904285</t>
  </si>
  <si>
    <t>['¬© 1993', 'rights reserved', 'remote activation', 'reaction products', 'one case', 'findings reveal', 'distance interaction', 'distance electron', 'aryl amine', '2 generates']</t>
  </si>
  <si>
    <t>Bichromophoric compounds cis- and trans-3Œæ-(N-(p-methoxyphenyl)-N-methylamino)-5Œ±-androstan-17Œ≤-yl 4-(azidocarbonyl)benzoate (1 and 2, respectively) were synthesized and studied. Steady-state photophysical measurements indicate that the singlet excited state of the aryl amine (donor) is quenched by the remote aroyl azide (acceptor) group. These findings reveal that it is possible to activate this functional group separated in space from an absorbing ‚Äúantenna‚Äù group. The mechanism of this long-distance interaction is shown by time-resolved spectroscopic measurements and by analysis of the reaction products to be through-bond and, perhaps in one case, through-space electron transfer. The triplet excited state of the donor chromophore also plays a role in the remote activation. It may participate either by long-distance electron or long-distance energy transfer. Intramolecular electron transfer in 1 or 2 generates an aryl amine radical cation and the azide radical anion. The azide radical anion exhibits unique chemical reactions dominated by protonation or by loss of nitrogen to form the nitrene radical anion. ¬© 1993, American Chemical Society. All rights reserved.</t>
  </si>
  <si>
    <t>2190-2199</t>
  </si>
  <si>
    <t>Journal of the American Chemical Society</t>
  </si>
  <si>
    <t>55723854100;7201953475</t>
  </si>
  <si>
    <t>Zhu, Yong;Schuster, Gary B.</t>
  </si>
  <si>
    <t>Zhu Y.</t>
  </si>
  <si>
    <t>Remote Activation of an Aroyl Azide by Long-Distance Intramolecular Electron Transfer: Irradiation of an Amine-Steroid-Azide System</t>
  </si>
  <si>
    <t>10.1021/ja00059a013</t>
  </si>
  <si>
    <t>2-s2.0-0000960613</t>
  </si>
  <si>
    <t>['reflection coefficient', 'microstrip structure', 'hopf technique', 'explicit expressions', 'anisotropy ratio']</t>
  </si>
  <si>
    <t>The edge admittance model of a microstrip structure is applied for a semi infinite conductor over a grounded uniaxial substrate using the Wiener-Hopf technique. Explicit expressions for all the scattered field components, as well as for the surface wave modes characteristic equations, are given. The TEM wave reflection coefficient in a simple closed form expression is developed, utilizing a thin substrate approximation. The effects of the anisotropy ratio on this reflection coefficient and on the characteristics of a rectangular microstrip antenna are examined. ¬© 1993 Springer-Verlag.</t>
  </si>
  <si>
    <t>169-179</t>
  </si>
  <si>
    <t>Archiv f√ºr Elektrotechnik</t>
  </si>
  <si>
    <t>7003999101;7005683394</t>
  </si>
  <si>
    <t>Kyriacou, George A.;Sahalos, John N.</t>
  </si>
  <si>
    <t>Kyriacou G.A.</t>
  </si>
  <si>
    <t>The edge admittance model for the study of microstrips on uniaxial substrate</t>
  </si>
  <si>
    <t>10.1007/BF01597596</t>
  </si>
  <si>
    <t>2-s2.0-0027277575</t>
  </si>
  <si>
    <t>Emory Eye Center</t>
  </si>
  <si>
    <t>SC1 0004-C</t>
  </si>
  <si>
    <t>EEC</t>
  </si>
  <si>
    <t>['¬© 1993', 'temperature dependence', 'subunit consists', 'spectral inhomogeneity', 'protein forms', 'observed across', 'linear correlation', 'large number', 'inhomogeneously broadened', 'higher temperatures', 'excitation wavelength', 'emission wavelength', 'bacteriochlorophyll pigments', 'b820 subunits', 'b820 subunit', '2 k', '160 k']</t>
  </si>
  <si>
    <t>(Rs. rubrum) | Antenna complex | Energy transfer | Fluorescence spectroscopy | LH1 | Light-harvesting | Photosynthesis</t>
  </si>
  <si>
    <t>Site-selected fluorescence spectra of the B820 subunit of LH1 from Rhodospirillum rubrum G9 were measured at temperatures between 160 K and 4.2 K. A linear correlation between excitation wavelength and maximal emission wavelength was observed across the whole Qy absorption band of the B820 subunits, which persists at higher temperatures. This demonstrates that (a) the Qy absorbance band of the B820 subunit is inhomogeneously broadened; (b) the subunit consists of a strongly interacting dimer of BChl a; (c) no energy transfer occurs among these dimers. The temperature dependence of the shape of the emission spectrum confirms that the protein forms a 'glass-like' environment for the bacteriochlorophyll pigments. After reassociating the octyl-glucoside-solubilized B820 subunits into the reassociated B873 form, the emission wavelength is independent of the wavelength of excitation at 4.2 K. This implies that the reassociated B873 form consists of a large number of interacting pigment molecules. The nature and origin of the spectral inhomogeneity in the B820 subunits is discussed. ¬© 1993.</t>
  </si>
  <si>
    <t>238-244</t>
  </si>
  <si>
    <t>60008734;60008734;60008734;60008734</t>
  </si>
  <si>
    <t>7004878962;7003691142;6602135863;35599806700</t>
  </si>
  <si>
    <t>Visschers, Ronald W.;van Mourik, Frank;Monshouwer, Ren√©;van Grondelle, Rienk</t>
  </si>
  <si>
    <t>Amsterdam</t>
  </si>
  <si>
    <t>Vrije Universiteit Amsterdam</t>
  </si>
  <si>
    <t>Visschers R.</t>
  </si>
  <si>
    <t>Inhomogeneous spectral broadening of the B820 subunit form of LH1</t>
  </si>
  <si>
    <t>0005-2728(93)90048-K</t>
  </si>
  <si>
    <t>10.1016/0005-2728(93)90048-K</t>
  </si>
  <si>
    <t>2-s2.0-0027409802</t>
  </si>
  <si>
    <t>Vetenskapsr√•det</t>
  </si>
  <si>
    <t>VR</t>
  </si>
  <si>
    <t>['¬© 1993', 'vesicles enriched', 'stroma membranes', 'phase partitioning', 'octyl glucoside', 'lhcii pattern', 'lhcii compared', 'lhcii associated', 'grana membranes', 'functionally connected', 'end membranes', 'different pool', 'central core', 'aqueous two', 'almost identical', 'acta 936', '350 ).']</t>
  </si>
  <si>
    <t>(Spinach chloroplasts) | Antenna size | Aqueous two-phase partitioning | Light-harvesting complex II | Photosystem I heterogeneity | Thylakoid membrane</t>
  </si>
  <si>
    <t>Thylakoids from spinach were fragmented by sonication and separated by aqueous two-phase partitioning into grana originating vesicles (Œ± vesicles) and stroma membrane originating vesicles (Œ≤ vesicles) (Andreasson et al. (1988) Biochim. Biophys. Acta 936, 339-350). PS IŒ± and PS IŒ≤ were isolated from these two vesicle populations respectively, and their properties were compared. PS IŒ± contains more of light harvesting complex II (LHCII) than PS IŒ≤. The LHCII is functionally connected to PS I, a connection which is abolished by addition of octyl glucoside. The grana-derived Œ± vesicles were further fragmented by sonication and separated by aqueous two-phase partitioning into vesicles enriched in margins and vesicles enriched in PS IIŒ± from the center of the grana. By non-denaturating isoelectric focusing it was found that the LHCII pattern of PS IŒ± was almost identical to that of LHCII of the margin enriched vesicles but very different from that of LHCII associated with PS IIŒ±. It is concluded that: (1) PS IŒ± (originating from grana membranes) has a larger functional antenna size than PS IŒ≤ (originating from stroma membranes) because of association with LHCII; (2) PS IŒ± is located in the periphery of the grana (margins and end membranes) and associated with a different pool of LHCII compared to that associated with PS IIŒ± of the more central core of the grana. ¬© 1993.</t>
  </si>
  <si>
    <t>175-182</t>
  </si>
  <si>
    <t>60029170;60029170</t>
  </si>
  <si>
    <t>6603595300;7005280402</t>
  </si>
  <si>
    <t>Andreasson, Eva;Albertsson, Per √Öke</t>
  </si>
  <si>
    <t>Andreasson E.</t>
  </si>
  <si>
    <t>Heterogeneity in photosystem I - the larger antenna of photosystem IŒ± is due to functional connection to a special pool of LHCII</t>
  </si>
  <si>
    <t>000527289390040M</t>
  </si>
  <si>
    <t>10.1016/0005-2728(93)90040-M</t>
  </si>
  <si>
    <t>2-s2.0-0027450844</t>
  </si>
  <si>
    <t>['width ratio', 'tokyo bay', 'poecilostomatoid copepod', 'new species', 'hemicyclops japonicus', 'genital segment', 'first antenna', 'dredged area', 'caudal ramus']</t>
  </si>
  <si>
    <t>Copepoda | dredged area | Hemicyclops | Japan | Saphirella</t>
  </si>
  <si>
    <t>A new species of poecilostomatoid copepod, Hemicyclops japonicus, is described from a dredged area in Tokyo Bay. The new species can be distinguished from its congeners by a combination of the setation of the first antenna, the segmentation of the antenna and the urosome, the length to width ratio of the caudal ramus and the shape of the genital segment and the labrum. ¬© 1993 Kluwer Academic Publishers.</t>
  </si>
  <si>
    <t>149-157</t>
  </si>
  <si>
    <t>Hydrobiologia</t>
  </si>
  <si>
    <t>100505834;60025272</t>
  </si>
  <si>
    <t>36990664000;7402252598</t>
  </si>
  <si>
    <t>Itoh, Hiroshi;Nishida, Shuhei</t>
  </si>
  <si>
    <t>Tokyo;Kawaguchi</t>
  </si>
  <si>
    <t>The University of Tokyo;Tokyo Kyuei Co., Ltd. Technical Center</t>
  </si>
  <si>
    <t>60025272;100505834</t>
  </si>
  <si>
    <t>Itoh H.</t>
  </si>
  <si>
    <t>A new species of Hemicyclops (Copepoda, Poecilostomatoida) from a dredged area in Tokyo Bay, Japan</t>
  </si>
  <si>
    <t>10.1007/BF00014109</t>
  </si>
  <si>
    <t>2-s2.0-0027498545</t>
  </si>
  <si>
    <t>['various types', 'main advantages', 'gaussian noise', 'examined together', 'detecting signals', 'basic relations', 'also considered']</t>
  </si>
  <si>
    <t>A classification of multiposition radar systems (MRS) and the main advantages and 'price' of such systems are examined together with basic relations in problems of detecting signals of various types on a background of Gaussian noise. Optimal and suboptimal signal detectors operating in the absence of spatial (interposition) correlation of interference are also considered.</t>
  </si>
  <si>
    <t>16-30</t>
  </si>
  <si>
    <t>Chernyak, V. S.</t>
  </si>
  <si>
    <t>Chernyak V.</t>
  </si>
  <si>
    <t>Signal detection in multiposition radar systems</t>
  </si>
  <si>
    <t>2-s2.0-0027552223</t>
  </si>
  <si>
    <t>['radiation characteristics', 'isolated divider', 'geometrical parameters', 'experimental matching', 'band radiators']</t>
  </si>
  <si>
    <t>An elliptically-polarized turnstile radiator with a miniature stripline feeder fabricated as an isolated divider and an arc phasing line is examined. The geometrical parameters and experimental matching and radiation characteristics of decimeter-band radiators are determined.</t>
  </si>
  <si>
    <t>105-107</t>
  </si>
  <si>
    <t>7003589741;6504430695;6701371017</t>
  </si>
  <si>
    <t>Kislyakov, A. E.;Kryzhanovskiy, I. B.;Polukhin, G. A.</t>
  </si>
  <si>
    <t>Kislyakov A.</t>
  </si>
  <si>
    <t>Stripline turnstile radiator</t>
  </si>
  <si>
    <t>2-s2.0-0027552311</t>
  </si>
  <si>
    <t>['radiation source', 'phase method', 'noise protection', 'angular coordinates']</t>
  </si>
  <si>
    <t>The possibilities of the phase method for increasing the noise protection of multichannel antenna devices used to measure the angular coordinates of a radiation source in the presence of interference are examined.</t>
  </si>
  <si>
    <t>99-104</t>
  </si>
  <si>
    <t>6506027866;7003764513;6506385379</t>
  </si>
  <si>
    <t>Balagurovskiy, V. A.;Kondrat'yev, A. S.;Mosalov, V. N.</t>
  </si>
  <si>
    <t>Balagurovskiy V.</t>
  </si>
  <si>
    <t>Multichannel antenna devices with improved noise protection</t>
  </si>
  <si>
    <t>2-s2.0-0027552366</t>
  </si>
  <si>
    <t>['practical implementation', 'paper presents', 'large number']</t>
  </si>
  <si>
    <t>The paper presents the development of a method of phasing a multielement antenna system combining a large number of individual aperture antennas. A control signal transmitted by the satellite that combines multiple harmonic signals is used for phasing. The use of different phasing systems designs are described for the development of long range space communication and the practical implementation of large scale multielement microwave antenna systems utilizing control signal phasing of antennas.</t>
  </si>
  <si>
    <t>Khevrolin, A. V.</t>
  </si>
  <si>
    <t>Khevrolin A.</t>
  </si>
  <si>
    <t>Experience in designing a multielement antenna system phased by means of a control signal</t>
  </si>
  <si>
    <t>2-s2.0-0027552474</t>
  </si>
  <si>
    <t>['temporarily mounted', 'radio telescope', 'paper describes', 'located behind', 'frequency band', 'feed system', 'classical cassegrainian', 'central part', 'baseline interferometry', 'band reflector']</t>
  </si>
  <si>
    <t>The paper describes a dual-band feed system, operating at S- and X-band, that can be temporarily mounted and used in a classical Cassegrainian-type radio telescope without removing the existing feed systems. The novel feed system, designed to give us high efficiency as possible in both bands, consists of two offset primary-fed parabolic reflectors, one for each frequency band. The X-band reflector, located behind the S-band reflector, radiates through a plane dichroic surface that replaces the central part of the S-band reflector. The feed system is to be used for space geodesy utilizing the very-long-baseline interferometry (VLBI) technique and has been tested and used at a radio telescope in Chile. The paper contains results of both a theoretical design study and measurements.</t>
  </si>
  <si>
    <t>325-332</t>
  </si>
  <si>
    <t>60000990;60000990;60000990</t>
  </si>
  <si>
    <t>6507075216;7101988263;6505583488</t>
  </si>
  <si>
    <t>Kenneth Jaldehag, R. T.;Kildal, Per Simon;Roennaeng, Bernt O.</t>
  </si>
  <si>
    <t>Kenneth Jaldehag R.</t>
  </si>
  <si>
    <t>Dual-band reflector feed system for classical Cassegrain radio telescopes</t>
  </si>
  <si>
    <t>10.1109/8.233131</t>
  </si>
  <si>
    <t>2-s2.0-0027554024</t>
  </si>
  <si>
    <t>NSC 79-0404-EOO2-25</t>
  </si>
  <si>
    <t>['suitably defined', 'range alignment', 'randomly spaced', 'proposed algorithm', 'phase compensation', 'occupy almost', 'numerical results', 'measured signals', 'array elements', 'angular coverage']</t>
  </si>
  <si>
    <t>In this paper an image reconstruction algorithm for a randomly spaced array imaging is developed. Based on the fact that the sampled bistatic Fourier space data can occupy almost the same region as that of a rotating object imaging if the angular coverage is suitably defined, the range-Doppler reconstruction method developed in the rotating object imaging can be applied to the uniformly spaced circular array imaging case. When the array elements are randomly spaced, three more steps, a range alignment, a phase compensation, and an interpolation, are required to preprocess the measured signals. Experimental and numerical results have shown the effectiveness of the proposed algorithm.</t>
  </si>
  <si>
    <t>278-286</t>
  </si>
  <si>
    <t>35722152600;7403424850;7402686596</t>
  </si>
  <si>
    <t>Li, Hsueh Jyh;Huang, Gen Tay;Yen, Shih Liang</t>
  </si>
  <si>
    <t>Nonuniformly spaced array imaging</t>
  </si>
  <si>
    <t>10.1109/8.233136</t>
  </si>
  <si>
    <t>2-s2.0-0027554140</t>
  </si>
  <si>
    <t>['trilayered media', 'scattered field', 'receiving properties', 'power received', 'observed behavior', 'monopole antenna', 'lossy sheet', 'imaged monopole', 'greatly reduced', 'dielectric substrate', 'analytical treatment']</t>
  </si>
  <si>
    <t>An analytical treatment of the radiation, scattering, and receiving properties of an imaged monopole in trilayered media with a perfectly conducting ground plane, a dielectric substrate, an electrically or magnetically lossy sheet as superstrate, and a homogeneous cover region is carried out. It is shown that while the power received by the monopole antenna is reduced by the presence of the lossy sheet, the scattered field is more greatly reduced, in agreement with observed behavior. Comparison with experimental and previously published numerical results validates the analysis.</t>
  </si>
  <si>
    <t>287-294</t>
  </si>
  <si>
    <t>60031707;60031707;60031707;60031707;60031707;60031707</t>
  </si>
  <si>
    <t>6506780756;7006894465;7410241808;6505815141;7202556479;7501722313</t>
  </si>
  <si>
    <t>Gesang, W.;Rothwell, E.;Chen, K. M.;Burket, K.;Hansen, W. P.;Lin, J. L.</t>
  </si>
  <si>
    <t>Gesang W.</t>
  </si>
  <si>
    <t>Receiving and scattering characteristics of an imaged monopole beneath a lossy sheet</t>
  </si>
  <si>
    <t>10.1109/8.233135</t>
  </si>
  <si>
    <t>2-s2.0-0027554518</t>
  </si>
  <si>
    <t>['reflector antenna', 'radio astronomy', 'plane illumination', 'horn aperture', 'frequency range', 'electrical properties', 'conical horn', 'antenna makes', '18 ghz', '15 db']</t>
  </si>
  <si>
    <t>The electrical properties of a conical horn-reflector antenna of 2¬∞-3¬∞ beam width have been investigated over the frequency range of 12-18 GHz. We show that the employment of a corrugated horn reduces the characteristic spillover side lobe of the conical horn-reflector antenna by 15 dB and yields excellent main beam circularity over the full Ku band. This results from the taper of the field amplitude toward the edges of the horn aperture in both the E-plane and the H-plane illumination. The performance of the antenna makes it suitable for use in closely packed interferometers for radio astronomy.</t>
  </si>
  <si>
    <t>357-361</t>
  </si>
  <si>
    <t>60031101;60031101;60031101</t>
  </si>
  <si>
    <t>6603800286;36641443500;9241765400</t>
  </si>
  <si>
    <t>Yassin, Ghassan;Robson, Martin;Duffett-Smith, Peter J.</t>
  </si>
  <si>
    <t>Yassin G.</t>
  </si>
  <si>
    <t>Electrical characteristics of a conical horn-reflector antenna employing a corrugated horn</t>
  </si>
  <si>
    <t>10.1109/8.233124</t>
  </si>
  <si>
    <t>2-s2.0-0027554570</t>
  </si>
  <si>
    <t>['œº tensors', 'working frequency', 'transverse magnetic', 'transform applied', 'source position', 'radiated pattern', 'planar structure', 'numerical examples', 'noteworthy information', 'magnetic field', 'line representation', 'horizon plane', 'electromagnetic parameters', 'electromagnetic field', 'diagonal form', 'constitutive œµ', 'always possible']</t>
  </si>
  <si>
    <t>In this paper a formulation for the solution of the electro-magnetic field in vertically stratified structures with a general anisotropic grounded slab under planar electric excitation conditions is presented. The development of the solution is obtained by using the two-dimensional (Fourier) transform applied to the partial differential equations describing the electromagnetic field, which can be expressed in terms of dyadic electric Green functions. Moreover, a spectral equivalent circuit representation of the solution, separated into its spectral transverse electric (TE) and transverse magnetic (TM) components (with respect to the vertical direction), is given. It is demonstrated that such a spectral circuit representation is always possible when the constitutive Œµ and Œº tensors are reduced to their diagonal form. Finally, we present the transmission-line representation for an unbounded gyrotropic medium with vertical preferred axis, and we then apply this theory to a planar structure with an anisotropic biaxial grounded slab and an electric horizontal point source embedded in it. Numerical examples of evaluation of the radiated pattern and noteworthy information about the radiation on the horizon plane are given with constraints on the electromagnetic parameters, thickness of the slab, working frequency, and source position.</t>
  </si>
  <si>
    <t>60032350;60032350</t>
  </si>
  <si>
    <t>7005054440;7006242275</t>
  </si>
  <si>
    <t>Toscano, A.;Vegni, L.</t>
  </si>
  <si>
    <t>Toscano A.</t>
  </si>
  <si>
    <t>Spectral electromagnetic modeling of a planar integrated structure with a general grounded anisotropic slab</t>
  </si>
  <si>
    <t>10.1109/8.233123</t>
  </si>
  <si>
    <t>2-s2.0-0027554603</t>
  </si>
  <si>
    <t>['theoretical results', 'probe designed', 'maximum output', 'major considerations', 'large bandwidth', 'experimental measurements', 'circuit model', '1000 mhz', '10 ghz']</t>
  </si>
  <si>
    <t>A circuit model for a diode-loaded dipole electric field measurement probe is presented which is valid for frequencies below 10 GHz. Assumptions are made to allow linear analysis based on the Laplace transform method. Optimized design criteria for the probe are then developed, with the major considerations being large bandwidth, independence of temperature, and maximum output. Experimental measurements on a probe designed for operation between 1 and 1000 MHz and comparison with the theoretical results are presented.</t>
  </si>
  <si>
    <t>333-337</t>
  </si>
  <si>
    <t>112786049;112786049</t>
  </si>
  <si>
    <t>U.S. Army Strategic Defense Command</t>
  </si>
  <si>
    <t>Diode-loaded dipole antenna modeling and design</t>
  </si>
  <si>
    <t>10.1109/8.233130</t>
  </si>
  <si>
    <t>2-s2.0-0027555610</t>
  </si>
  <si>
    <t>['transmitted pulse', 'sectional dimensions', 'scattering centres', 'scattered wavefronts', 'propagation filters', 'plane containing', 'paper describes', 'metallic wedge', 'medium whilst', 'limited range', 'lateral resolution', 'incidence angles', 'impulse radar', 'dielectric half', 'dielectric cylinder', 'depth resolution', 'contour plot', 'buried object']</t>
  </si>
  <si>
    <t>Impulse radar is a time domain technique used to locate buried objects. This paper describes a two-dimensional subsurface radar model incorporating a transmitting line source and receiver above a lossy, dispersive, dielectric half-plane containing a buried object. The model includes two-dimensional plane wave scattering from a metallic or dielectric cylinder or a metallic wedge. Although the radiated pulse length is short the radar has a depth resolution that is limited by dispersion and attenuation in the medium whilst the lateral resolution is determined by the beamwidth of the antennas. Simulated data demonstrates that resolution can be improved by measuring the scattered wavefronts and using Fourier back-propagation filters to recreate the scattering centres. A grey tone image or contour plot with properties that are related to the location and cross-sectional dimensions of the scatterer can be obtained by combining very broad frequency measurements and wavefronts from a limited range of incidence angles of the transmitted pulse.</t>
  </si>
  <si>
    <t>32-40</t>
  </si>
  <si>
    <t>Journal of Electrical and Electronics Engineering, Australia</t>
  </si>
  <si>
    <t>Paoloni, F. J.</t>
  </si>
  <si>
    <t>Wollongong</t>
  </si>
  <si>
    <t>University of Wollongong</t>
  </si>
  <si>
    <t>Paoloni F.</t>
  </si>
  <si>
    <t>Imaging of buried objects using an impulse radar model</t>
  </si>
  <si>
    <t>2-s2.0-0027555646</t>
  </si>
  <si>
    <t>['transcendental equations', 'resistive sheet', 'representative geometry', 'phase velocity']</t>
  </si>
  <si>
    <t>This paper examines surface wave propagation in a grounded dielectric slab covered with a resistive sheet. Transcendental equations are derived for each polarization and are solved using iterative techniques. Attenuation and phase velocity are shown for a representative geometry. The results are applicable to both a grounded slab covered with a resistive sheet and an ungrounded slab covered on each side with a resistive sheet.</t>
  </si>
  <si>
    <t>348-350</t>
  </si>
  <si>
    <t>Shively, David</t>
  </si>
  <si>
    <t>Shively D.</t>
  </si>
  <si>
    <t>Surface waves on a grounded dielectric slab covered by a resistive sheet</t>
  </si>
  <si>
    <t>10.1109/8.233127</t>
  </si>
  <si>
    <t>2-s2.0-0027556571</t>
  </si>
  <si>
    <t>['window smoothing', 'wave arrival', 'rao bound', 'method combines', 'finding two', 'crossed dipoles', 'computational advantages']</t>
  </si>
  <si>
    <t>We study the problem of finding two-dimensional (2-D) angles of wave arrival and wave polarizations using a uniform rectangular array of crossed dipoles. The method we present in this paper effectively exploits the redundancy in this array via 2-D moving-window smoothing to handle coherent sources and to achieve optimum noise sensitivity. The method combines the computational advantages of the MUSIC and matrix pencil approaches. The method is shown in simulation to be nearly optimum compared with the Cramer-Rao bound.</t>
  </si>
  <si>
    <t>370-376</t>
  </si>
  <si>
    <t>Hua, Yingbo</t>
  </si>
  <si>
    <t>Parkville</t>
  </si>
  <si>
    <t>University of Melbourne</t>
  </si>
  <si>
    <t>Hua Y.</t>
  </si>
  <si>
    <t>Pencil-MUSIC algorithm for finding two-dimensional angles and polarizations using crossed dipoles</t>
  </si>
  <si>
    <t>10.1109/8.233122</t>
  </si>
  <si>
    <t>2-s2.0-0027557261</t>
  </si>
  <si>
    <t>['weight vector', 'synthesis techniques', 'superdirectivity ratio', 'paper presents', 'numerical results', 'chebyshev methods', 'approach taken', '2 ].']</t>
  </si>
  <si>
    <t>This paper presents a class of linear antenna array which yields a minimum average integrated power response over the field of view [-œÄ/2, œÄ/2]. The approach taken is to find a weight vector which minimises the average integrated power responses of the array over the spatial region [-œÄ/2, œÄ/2] subject to a unity length constraint. It is shown that the resulting weight vector also minimises the mean output power of the array system due to cylindrically isotropic noise and maximises the superdirectivity ratio. Numerical results are presented and compared with other synthesis techniques such as the delay-and-sum and the Chebyshev methods.</t>
  </si>
  <si>
    <t>Class of linear antenna array for interference rejection</t>
  </si>
  <si>
    <t>2-s2.0-0027557373</t>
  </si>
  <si>
    <t>ECS-8906807</t>
  </si>
  <si>
    <t>['wide band', 'tm12 mode', 'radiation patterns', 'radiating modes', 'nonradiating modes', 'input impedance', 'different parameters', 'computed using', 'coaxial line']</t>
  </si>
  <si>
    <t>The analysis of the spherical annular microstrip antenna is presented. The antenna is excited by a coaxial line. The general transmission line model (GTLM) is used to compute the input impedance. The radiating TM12 mode is considered because of its wide band. The effect of the other radiating modes and the nonradiating modes on the TM12 mode is investigated. The effect of different parameters on the input impedance is considered. The radiation patterns are computed using the method of moments.</t>
  </si>
  <si>
    <t>338-343</t>
  </si>
  <si>
    <t>Kishk, Ahmed A.</t>
  </si>
  <si>
    <t>Analysis of spherical annular microstrip antennas</t>
  </si>
  <si>
    <t>10.1109/8.233129</t>
  </si>
  <si>
    <t>2-s2.0-0027557715</t>
  </si>
  <si>
    <t>['target occurs', 'systems meeting', 'systems consist', 'studied including', 'recognising targets', 'receive mode', 'range obtained', 'one transmitter', 'many antennas', 'least double', 'high resolution', 'conventional realisations', 'antenna combination']</t>
  </si>
  <si>
    <t>The requirements for high resolution, long range ISAR imaging systems capable of recognising targets have been outlined. Systems meeting these requirements and operating at mm-wavelengths have been proposed. The systems consist of N phased locked transmitters feeding as many antennas in phase. Quasi-optical power addition at the target occurs. In the receive mode all antennas are connected in phase. These systems can at least double the range obtained by utilising a system having one transmitter/antenna combination. Several realisation options have been studied including the annular synthesis antenna systems which offer some advantages over more conventional realisations. ¬© 1993 Plenum Publishing Corporation.</t>
  </si>
  <si>
    <t>405-413</t>
  </si>
  <si>
    <t>60003480;102041805</t>
  </si>
  <si>
    <t>6603911266;6602277022</t>
  </si>
  <si>
    <t>Fourikis, N.;Wehner, D. R.</t>
  </si>
  <si>
    <t>Australia;United States</t>
  </si>
  <si>
    <t>Edinburgh;San Diego</t>
  </si>
  <si>
    <t>Defence Science and Technology Group;Radar and Electromagnetic Systems</t>
  </si>
  <si>
    <t>High resolution long range ISAR imaging systems</t>
  </si>
  <si>
    <t>10.1007/BF02209262</t>
  </si>
  <si>
    <t>2-s2.0-0027558443</t>
  </si>
  <si>
    <t>['œ ≤.', 'œ ≤', 'reduce correctly', 'propagation constants', 'propagation characteristics', 'potentially significant', 'pole locations', 'planar geometry', 'obtained numerically', 'observer distance', 'modal dispersion', 'layer thickness', 'layer radius', 'layer geometry', 'inner layer', 'infinite number', 'green function', 'elements deposited', 'electrical parameters', 'dispersion relation', 'dielectric constant', 'corresponding results', 'axial direction', 'analysis depends']</t>
  </si>
  <si>
    <t>Thin dielectric layers deposited as superstates on a perfectly conducting circular cylinder are of interest in applications involving conformal antenna arrays. In this paper, we examine the effects of curvature and of the electrical parameters of the layers on the modal dispersion of waves guided tangentially along the outer (superstrate) layer of a two-layer geometry, the inner layer being referred to as the substrate. To chart the propagation characteristics of the layer-guided modes relevant to the three-dimensional (dipole-excited) Green function for this geometry, it is necessary to solve the radial eigenvalue problem for the complex azimuthal propagation constants ŒΩp(Œ≤), p = 1, 2, ..., which also identify poles of the ŒΩ-dependent spectral integrand of the Green function. Here, Œ≤ is the spectral variable along the axial direction, with the Green function synthesized as a double spectral integral over ŒΩ and Œ≤. The pole locations are obtained numerically by solving the dispersion equation using Davidenko's method, and are parameterized in terms of layer radius, dielectric constant, and thickness. They are classified as leaky, creeping, or trapped, depending on the magnitude of the ratio of azimuthal to radial wave numbers relative to unity. Although an infinite number of modes are supported by the substrate-superstrate cylindrical geometry, only a few low-attenuation modes occur, which are potentially significant in the analysis of radiation by elements deposited on the layers. The number of such modes to be retained in the analysis depends on layer thickness, frequency, axial wave number, and source-observer distance on the surface. The dispersion relation, and hence the propagation constants, are shown to reduce correctly to the corresponding results for the planar geometry in the limit where the superstrate outer radius approaches infinity.</t>
  </si>
  <si>
    <t>304-313</t>
  </si>
  <si>
    <t>35576639300;56883021600</t>
  </si>
  <si>
    <t>Naishadham, Krishna;Felsen, Leopold B.</t>
  </si>
  <si>
    <t>Dispersion of waves guided along a cylindrical substrate-superstrate layered medium</t>
  </si>
  <si>
    <t>10.1109/8.233133</t>
  </si>
  <si>
    <t>2-s2.0-0027558701</t>
  </si>
  <si>
    <t>['symmetric way', 'surface currents', 'successfully tested', 'scale model', 'quasioptical mixers', 'predictable impedances', 'octave bandwidth', 'mixer block', 'matching circuit', 'main difference', 'everyone recognizes', 'cryogenic temperatures', 'broad bandwidth', 'balancing currents', 'associated resonances', 'also found']</t>
  </si>
  <si>
    <t>Quasioptical mixers | radio astronomy | submillimeter radiometers</t>
  </si>
  <si>
    <t>Everyone recognizes the need to drive symmetric quasioptical antennas in a symmetric way to maintain clean antenna patterns; in this note we report on the advantages of bringing out the IF in a symmetric (balanced) way as well. The main difference in IF circuits between waveguide and open structure mixers is that the quasioptical mixers are usually also open at IF wavelengths, so IF currents can flow on the outside of the mixer mounting structures. We measured these surface currents and their associated resonances on a scale model of our mixer block for a 690 GHz SIS mixer. Bringing the IF off the mixer with a balanced circuit solves the surface current problems, yielding a broad bandwidth with predictable impedances. We successfully tested an octave bandwidth IF matching circuit for open structure mixers that incorporates a commercial 180¬∞ hybrid at cryogenic temperatures. We also found that surface currents are not significant for corner cube mixers because they generate their own balancing currents. ¬© 1993 Plenum Publishing Corporation.</t>
  </si>
  <si>
    <t>715-728</t>
  </si>
  <si>
    <t>60021561;60021561;60021561</t>
  </si>
  <si>
    <t>7404039701;55952822800;7005805876</t>
  </si>
  <si>
    <t>Harris, A. I.;Schuster, K. F.;Tacconi, L. J.</t>
  </si>
  <si>
    <t>Garching bei Munchen</t>
  </si>
  <si>
    <t>Max Planck Institute for Extraterrestrial Physics</t>
  </si>
  <si>
    <t>Harris A.</t>
  </si>
  <si>
    <t>Broadband IF matching for quasioptical mixers</t>
  </si>
  <si>
    <t>10.1007/BF02209277</t>
  </si>
  <si>
    <t>2-s2.0-0027558817</t>
  </si>
  <si>
    <t>PUC-TELEBRAS 293/88-JDPqD</t>
  </si>
  <si>
    <t>['system shows', 'reflector antennas', 'lower side', 'low cross', 'lobe levels', 'enhance efficiency']</t>
  </si>
  <si>
    <t>The design of dual-reflector antennas with a spherical main reflector for small earth stations is considered. An analysis of the field polarization throughout the system shows that it is possible to adjust the reflectors to obtain very low cross-polarization. The use of an elliptical main reflectors to obtain very low cross-polarization. The use of an elliptical main reflector projection is explored in order to enhance efficiency and lower side-lobe levels.</t>
  </si>
  <si>
    <t>355-356</t>
  </si>
  <si>
    <t>60032361;60032361</t>
  </si>
  <si>
    <t>7203025842;7102809541</t>
  </si>
  <si>
    <t>Bergmann, J. R.;da Costa, J. C.A.W.</t>
  </si>
  <si>
    <t>Pontif√≠cia Universidade Cat√≥lica do Rio de Janeiro</t>
  </si>
  <si>
    <t>Bergmann J.</t>
  </si>
  <si>
    <t>Dual-offset antennas with a spherical main reflector for small earth stations</t>
  </si>
  <si>
    <t>10.1109/8.233125</t>
  </si>
  <si>
    <t>2-s2.0-0027559298</t>
  </si>
  <si>
    <t>['wave method', 'state analysis', 'sem applied', 'sem analysis', 'scattering behavior', 'results obtained', 'pole singularities', 'natural modes', 'microstrip dipoles', 'formulation results', 'efficient calculation', 'current induced', 'antenna current']</t>
  </si>
  <si>
    <t>The singularity expansion method (SEM) is applied to the steady-state analysis of plane wave scattering from microstrip dipoles. The current induced on the antenna is expanded in a series of natural modes, where the amplitude of each term in the expansion is expressed as a coupling coefficient weighted by a simple frequency pole. Natural modes occur at pole singularities of the antenna current in the complex frequency plane, and are found by a numerical root search of a homogeneous matrix equation. This formulation results in an accurate and efficient calculation of the radar cross section (RCS) of microstrip dipoles which exhibit some appreciable resonant characteristics, where it is found that the current resonance dominates the response of the antenna. The SEM applied here yields good physical insight into the scattering behavior of such antennas. Results obtained with the SEM analysis are compared with a full-wave method of moments (MoM) solution.</t>
  </si>
  <si>
    <t>376-379</t>
  </si>
  <si>
    <t>60019909;60019909</t>
  </si>
  <si>
    <t>57203229560;7005245058</t>
  </si>
  <si>
    <t>Hanson, George W.;Nyquist, Dennis P.</t>
  </si>
  <si>
    <t>RCS of a microstrip dipole deduced from an expansion of pole singularities</t>
  </si>
  <si>
    <t>10.1109/8.233121</t>
  </si>
  <si>
    <t>2-s2.0-0027559715</t>
  </si>
  <si>
    <t>['vertical arrays', 'short dipoles', 'paper shows', 'orthogonal loops', 'orthogonal dipoles', 'matched pairs', 'low angles', 'loop outputs', 'incoming narrow', 'incident waves', 'esprit algorithm', 'band signals', 'arbitrary array', 'also show']</t>
  </si>
  <si>
    <t>This paper shows that when polarization-sensitive arrays consisting of crossed small loops and short dipoles are used, one can eliminate the requirement in the ESPRIT algorithm that sensors must occur in matched pairs. The dipoles and loops are sensitive to the polarizations of incident electromagnetic plane waves. The dipoles are sensitive to the incident electric field components and the loops to magnetic field components of the incident waves. We exploit the invariance properties among the dipole and loop outputs of an arbitrary array of orthogonal loops and orthogonal dipoles to compute both the two-dimensional arrival angles and polarizations of incoming narrow-band signals. We also show that with dipoles and loops, vertical arrays are not necessary to obtain good direction estimates for signals from low angles.</t>
  </si>
  <si>
    <t>379-386</t>
  </si>
  <si>
    <t>Li, Jian</t>
  </si>
  <si>
    <t>Lexington</t>
  </si>
  <si>
    <t>University of Kentucky</t>
  </si>
  <si>
    <t>Li J.</t>
  </si>
  <si>
    <t>Direction and polarization estimation using arrays with small loops and short dipoles</t>
  </si>
  <si>
    <t>10.1109/8.233120</t>
  </si>
  <si>
    <t>2-s2.0-0027559756</t>
  </si>
  <si>
    <t>['œµ2 stacked', 'wave pattern', 'total pattern', 'specific case', 'previous work', 'permittivities œµ1', 'new approach', 'material constants', 'leaky waves', 'ground plane', 'dielectric layers', 'configuration consists', 'beamwidth varies', 'beam effect', 'appropriate thicknesses', 'alternating arrangement']</t>
  </si>
  <si>
    <t>Previous work has demonstrated that very narrow beam radiation patterns can be obtained from a simple source embedded within multiple dielectric layers of appropriate thicknesses above a ground plane. The configuration consists of dielectric layers having permittivities Œµ1 and Œµ2 stacked in an alternating arrangement, with Œµ2 &gt; c1. This narrow-beam effect is attributed to weakly attenuated leaky waves that exist on the structure. Employing a new approach, simple asymptotic formulas for the propagation and attenuation (leakage) constants are derived which show how the beamwidth varies with the number of layers and the material constants. The exact radiation pattern is compared with the leaky-wave pattern for a specific case to demonstrate the role of the leaky waves in determining the total pattern.</t>
  </si>
  <si>
    <t>344-348</t>
  </si>
  <si>
    <t>60005837;60005837</t>
  </si>
  <si>
    <t>7404289310;7005564352</t>
  </si>
  <si>
    <t>Jackson, D. R.;Oliner, A. A.</t>
  </si>
  <si>
    <t>Jackson D.</t>
  </si>
  <si>
    <t>Leaky-wave propagation and radiation for a narrow-beam multiple-layer dielectric structure</t>
  </si>
  <si>
    <t>10.1109/8.233128</t>
  </si>
  <si>
    <t>2-s2.0-0027560832</t>
  </si>
  <si>
    <t>['spt processor', 'spt processing', 'spt ),', 'specified direction', 'signal coming', 'sensor location', 'sensor array', 'polarity transformation', 'phase errors', 'numerical results', 'novel concept', 'lcmv beam', 'forming scheme', 'direction uncertainty', 'desired signal', 'called split', 'beam formers', 'arbitrary geometry', 'almost eliminated']</t>
  </si>
  <si>
    <t>This paper is concerned with adaptive beam forming in a coherent interference environment using a sensor array of arbitrary geometry, and introduces a novel concept, called split-polarity transformation (SPT), which is incorporated into conventional linearly constrained minimum variance (LCMV) beam formers to decorrelate desired signal from interference. The SPT processor does not distort the direction vectors associated with wave fronts impinging on the array, but it does reverse the phase of the signal coming from a specified direction. With the aid of SPT processing, the signal cancellation due to correlation between desired signal and interference is almost eliminated. The design of a robust SPT processor is discussed for combating the effects of mismatch between idealized array model and actual scenario arising from causes such as sensor location, amplitude, and phase errors. A detailed performance study of the SPT-LCMV beam former is presented in this paper. The SPT-LCMV beam former is shown to be robust against direction uncertainty in the assumed look direction. Numerical results are presented to demonstrate the effectiveness of the SPT-LCMV beam-forming scheme in a coherent interference environment.</t>
  </si>
  <si>
    <t>314-324</t>
  </si>
  <si>
    <t>55460830100;7403885527</t>
  </si>
  <si>
    <t>Lu, Ming;He, Zhenya</t>
  </si>
  <si>
    <t>Lu M.</t>
  </si>
  <si>
    <t>Adaptive beam forming using split-polarity transformation for coherent signal and interference</t>
  </si>
  <si>
    <t>10.1109/8.233132</t>
  </si>
  <si>
    <t>2-s2.0-0027560833</t>
  </si>
  <si>
    <t>['within 4', 'vertical velocities', 'true value', 'transducer output', 'transducer mountings', 'transducer chassis', 'test variables', 'significantly affected', 'radar output', 'pitch angle', 'height transducer', 'height signals', 'ground speed', 'ground cover', 'generated noise', 'flying height', 'errors varied', 'error tended', 'concrete runway', 'board monitoring', 'airflow around', 'aircraft speed', 'agricultural aircraft', '3 %.']</t>
  </si>
  <si>
    <t>A commercially-available traffic radar and an ultrasonic distance sensor were evaluated for on-board monitoring of ground speed and flying height of agricultural aircraft. The radar output was corrected for pitch angle of the radar antenna based on the output of an antenna-mounted tilt sensor. The effects of ground cover, aircraft speed and height, and transducer mountings on error in the speed and height signals were investigated. The error in the pitch-corrected radar output was not significantly affected by any of the test variables. Error tended to increase with pitch angle and speed. Ground speed error was within 4.7% of the true value. The pitch-corrected radar output is valid only for changes in aircraft pitch unaccompanied by vertical velocities. The performance of the ultrasonic height transducer was most affected by ground cover. Height errors increased from 6.5% to 21.0% over a concrete runway as ground speed and flying height increased. Transducer output over grass was inconsistent and errors varied from 8.1% to 58.3%. Operation of the height transducer was affected by airflow around the transducer chassis and aircraft-generated noise.</t>
  </si>
  <si>
    <t>309-316</t>
  </si>
  <si>
    <t>Transactions of the American Society of Agricultural Engineers</t>
  </si>
  <si>
    <t>Franz, F.</t>
  </si>
  <si>
    <t>Franz F.</t>
  </si>
  <si>
    <t>On-board monitoring of ground speed and height-of-flight of agricultural aircraft</t>
  </si>
  <si>
    <t>2-s2.0-0027561084</t>
  </si>
  <si>
    <t>['wire contributes', 'targets without', 'sharp peak', 'scatterer length', 'quite different', 'plane wave', 'paper investigates', 'like targets', 'hf frequencies', 'hf communication', 'frequencies making', 'broadside incidence', 'attached wire', 'aircraft size', '8 wavelengths']</t>
  </si>
  <si>
    <t>Some aircraft carry wire antennas for HF communication. This paper investigates the effect of such wires on the radar cross section (RCS) at HF frequencies by comparing the RCS of a strip, a cylinder, and a rod with and without an attached wire. The RCS is found for broadside incidence and for end-on incidence of the plane wave for scatterer length from 0.4 to 3.8 wavelengths, typical of aircraft size at HF frequencies. It is shown that the RCS of such fuselage-like targets with a wire 'antenna' is quite different from that of the targets without the wire. For broadside incidence, the wire contributes a sharp peak-and-trough to the RCS at the wire's fundamental resonant frequency. For end-on incidence the wire considerably enhances the RCS of frequencies making its length odd multiples of the quarter-wave.</t>
  </si>
  <si>
    <t>351-354</t>
  </si>
  <si>
    <t>60009507;60009507;60009507;60009507</t>
  </si>
  <si>
    <t>7006097946;55463287400;6701413096;57027694000</t>
  </si>
  <si>
    <t>Trueman, C. W.;Mishra, S. R.;Kubina, S. J.;Larose, C. L.</t>
  </si>
  <si>
    <t>Trueman C.</t>
  </si>
  <si>
    <t>RCS of resonant scatters with attached wires</t>
  </si>
  <si>
    <t>10.1109/8.233126</t>
  </si>
  <si>
    <t>2-s2.0-0027561380</t>
  </si>
  <si>
    <t>['spacecraft channel', 'quickly measuring', 'pm conversion', 'orbit test', 'networked environment', 'multitasking operation', 'mouse device', 'measurement software', 'integrated suite', 'input via', 'frequency response', 'enables eutelsat', 'computer hardware', 'communications satellites', 'based multiuser']</t>
  </si>
  <si>
    <t>An integrated suite of microwave measurement equipment, computer hardware, and measurement software was designed, fabricated, and installed into a unified test facility for measuring the communications subsystem performance of European Telecommunications Satellite Organization (EUTELSAT) communications satellites. The EUTELSAT in-orbit test (IOT) system software supports UNIX-based multiuser, multitasking operation in a networked environment that permits remote access and control of the IOT measurement hardware and includes a scheduler that permits unattended stability measurements. The system's human-machine interface offers point-and-click menu selection and input via a mouse device. The EUTTELSAT IOT facility incorporates a dedicated earth station command and control system computer for earth station status checking and configuration, automatic satellite saturation control hardware, and a radiometer for reading atmospheric attenuation. New tests include a method for quickly measuring the frequency response of a spacecraft channel, as well as procedures for measuring AM-to-PM conversion and AM-to-PM transfer coefficient. In addition, the satellite is used as far-field calibrated signal source for earth station verification and assistance, which enables EUTELSAT to independently test new or existing earth stations for EIRP, gain-to-noise temperature ratio, transmit polarization isolation, and transmit antenna pattern.</t>
  </si>
  <si>
    <t>61-99</t>
  </si>
  <si>
    <t>COMSAT Technical Review</t>
  </si>
  <si>
    <t>60007742;60007742;60007742;60007742;60007742;60007742;60007742</t>
  </si>
  <si>
    <t>6602557665;6508374957;7103387920;6603433087;7201767704;7003429715;6505795765</t>
  </si>
  <si>
    <t>Fullett, K. D.;Kasstan, B. J.;Kelley, W. D.;Riginos, V. E.;Shen, P. H.;Teller, S. L.;Tharaud, Y.</t>
  </si>
  <si>
    <t>Fullett K.</t>
  </si>
  <si>
    <t>EUTELSAT in-orbit test system</t>
  </si>
  <si>
    <t>2-s2.0-0027568766</t>
  </si>
  <si>
    <t>['statistical characteristics', 'random receiving', 'likelihood estimation']</t>
  </si>
  <si>
    <t>Results are presented for investigations of the statistical characteristics of maximum-likelihood estimation of target angle coordinate in the presence of random receiving-channel phase errors of an adaptive antenna array. ¬© 1994 Plenum Publishing Corporation.</t>
  </si>
  <si>
    <t>198-205</t>
  </si>
  <si>
    <t>57205033402;6505705830</t>
  </si>
  <si>
    <t>Khachaturov, V. R.;Bulekbaev, D. A.</t>
  </si>
  <si>
    <t>Khachaturov V.</t>
  </si>
  <si>
    <t>Analysis of effect of receiving-channel phase instabilities on estimation accuracy of target angle coordinates in adaptive antenna array</t>
  </si>
  <si>
    <t>10.1007/BF01037208</t>
  </si>
  <si>
    <t>2-s2.0-34249763320</t>
  </si>
  <si>
    <t>['transfer electrons', 'state conditions', 'slower phases', 'significantly shorter', 'several properties', 'secondary acceptors', 'rise time', 'previous suggestions', 'present results', 'plastoquinone pool', 'normal centers', 'involved ).', 'indicate absence', 'inactive centers', 'harvesting antenna', 'fpl phase', 'fpl amplitude', 'fluorescence yield', 'fluorescence induction', 'exponential kinetics', 'evolving system', 'deficient reoxidation', 'closed active', 'become blocked', 'back reaction', 'also supported', 'active centers', 'acceptor dichlorobenzoquinone', 'absorption changes', '25 %)']</t>
  </si>
  <si>
    <t>DCBQ | Fluorescence induction | inactive centers | Key words | light-harvesting antenna | oxygen evolving system | Photosystem II centers</t>
  </si>
  <si>
    <t>A fraction (usually in the range of 10-25%) of PS II centers is unable to transfer electrons from the primary quinone acceptor QA to the secondary acceptor QB. These centers are inactive with respect to O2 evolution since their reopening after photochemical charge separation to the S2OA- state involves predominantly a back reaction to S1QA in the few seconds time range (slower phases are also occurring). Several properties of these centers are analyzed by fluorescence and absorption change experiments. The initial rise phase Fo-Fpl of fluorescence induction under weak illumination reflects both the closure of inactive centers and the modulation of the fluorescence yield by the S-states of the oxygen-evolving system: We estimate typical relative amplitudes of these contributions as, respectively, 65 and 35% of the Fo-Fpl amplitude. The half-rise time of this phase is significantly shorter than for the fluorescence induction in the presence of DCMU (in which all centers are involved). This finding is shown to be consistent with inactive centers sharing the same light-harvesting antenna as normal centers, a view which is also supported by comparing the dependence of the fluorescence yield on the amount of closed active or inactive centers estimated through absorption changes. It is argued that the exponential kinetics of the Fo-Fpl phase does not indicate absence of excitation energy transfer between the antennas of inactive and active centers. We show that the acceptor dichlorobenzoquinone does not restore electron transfer in inactive centers, in disagreement with previous suggestions. We confirm, however, the enhancement of steady-state electron flow caused by this quinone and suggest that it acts by relieving a blocking step involved in the reoxidation of a fraction of the plastoquinone pool. Part of the discrepancies between the present results and those from previous literature may arise from the confusion of inactive centers characterized on a single turnover basis and PS II centers that become blocked under steady-state conditions because of deficient reoxidation of their secondary acceptors. ¬© 1993 Kluwer Academic Publishers.</t>
  </si>
  <si>
    <t>323-343</t>
  </si>
  <si>
    <t>60014849;60072128</t>
  </si>
  <si>
    <t>7102470438;6507982157</t>
  </si>
  <si>
    <t>Lavergne, J√©r√¥me;Leci, Edlira</t>
  </si>
  <si>
    <t>Albania;France</t>
  </si>
  <si>
    <t>Tirana;Paris</t>
  </si>
  <si>
    <t>University of Tirana;Institut de Biologie Physico-Chimique</t>
  </si>
  <si>
    <t>60072128;60014849</t>
  </si>
  <si>
    <t>Lavergne J.</t>
  </si>
  <si>
    <t>Properties of inactive Photosystem II centers</t>
  </si>
  <si>
    <t>10.1007/BF00016563</t>
  </si>
  <si>
    <t>2-s2.0-34250080900</t>
  </si>
  <si>
    <t>['upon long', 'term exposure', 'spirulina platensis', 'specifically bleaching', 'significant compared', 'pc ),', 'oxford ltd', 'low concentrations', 'gradual degradation', 'chromo protein', '5 œºm', '22 kda', '12 h']</t>
  </si>
  <si>
    <t>energy transfer | fluorescence | mercury | phycobilisome | phycocyanin | Spirulina platensis</t>
  </si>
  <si>
    <t>We have shown that mercury affects energy transfer in Spirulina platensis. It inhibits energy transfer from phycocyanin to chlorophyll a by specifically bleaching the Œ≤-84 chromophore of the chromo protein, phycocyanin (PC), in the cyanobacterium. This effect is observed during short-term exposure of cells to Hg2+ ions. Upon long-term (12 h) exposure, mercury at low concentrations (1-2.5 Œºm) causes the gradual degradation of the Œ≤ polypeptide (22 kDa) of the PC of phycobilisomes in this cyanobacterium. The effect of mercury on this polypeptide is significant compared with the other phycobiliproteins. ¬© 1993 Rapid Communications of Oxford Ltd.</t>
  </si>
  <si>
    <t>45-48</t>
  </si>
  <si>
    <t>Biometals</t>
  </si>
  <si>
    <t>7202013276;7101652469</t>
  </si>
  <si>
    <t>Murthy, S. D.S.;Mohanty, Prasanna</t>
  </si>
  <si>
    <t>Murthy S.</t>
  </si>
  <si>
    <t>Time-dependent alterations in the antenna pigment-protein complex by mercury ions in the cyanobacterium Spirulina platensis</t>
  </si>
  <si>
    <t>10.1007/BF00154231</t>
  </si>
  <si>
    <t>2-s2.0-34250084360</t>
  </si>
  <si>
    <t>['spinach leaves', 'significantly affect', 'shift indicated', 'redox state', 'redox balance', 'qp decreasing', 'qp decreased', 'qi ).', 'primarily depend', 'photosystem ii', 'photon density', 'photoinhibitory quenching', 'photoinhibition depends', 'photoinhibition became', 'photochemical quenching', 'nadph led', 'metabolic demand', 'low temperature', 'less susceptible', 'leaf material', 'induced acidification', 'high levels', 'given qp', 'energy state', 'donor side', 'different temperatures', 'different pfds', 'detached leaves', 'dependent quenching', 'curvilinear relationship', 'chlorophyll fluorescence', '100 min']</t>
  </si>
  <si>
    <t>Chlorophyll fluorescence | Down-regulation | Energy-dependent quenching | Photoinhibition | Photosystem II | Spinacia | Vigna</t>
  </si>
  <si>
    <t>The mechanism of photoinhibition of photosystem II (PSII) was studied in intact leaf discs of Spinacia oleracea L. and detached leaves of Vigna unguiculata L. The leaf material was exposed to different photon flux densities (PFDs) for 100 min, while non-photochemical (qN) and photochemical quenching (qp) of chlorophyll fluorescence were monitored. The 'energy' and redox state of PSII were manipulated quite independently of the PFD by application of different temperatures (5-20¬∞ C), [CO2] and [O2] at different PFDs. A linear or curvilinear relationship between qp and photoinhibition of PSII was observed. When [CO2] and [O2] were both low (30 Œºl ¬∑ l-1 and 2%, respectively), PSII was less susceptible at a given qp than at ambient or higher [CO2] and photoinhibition became only substantial when qp decreased below 0.3. When high levels of energy-dependent quenching (qE) (between 0.6 and 0.8) were reached, a further increase of the PFD or a further decrease of the metabolic demand for ATP and NADPH led to a shift from qE to photoinhibitory quenching (qI). This shift indicated that photoinhibition was preceded by down-regulation through light-induced acidification of the lumen. We propose that photoinhibition took place in the centers down-regulated by qE. The shift from qE to qI occurred concomitant with qP decreasing to zero. The results clearly show that photoinhibition does not primarily depend on the photon density in the antenna, but that photoinhibition depends on the energy state of the membrane in combination with the redox balance of PSII. The results are discussed with regard to the mechanism of photoinhibition of PSII, considering, in particular, effects of light-induced acidification on the donor side of PSII. Interestingly, cold-acclimation of spinach leaves did not significantly affect the relationship between qP, qE and photoinhibition of PSII at low temperature. ¬© 1993 Springer-Verlag.</t>
  </si>
  <si>
    <t>359-368</t>
  </si>
  <si>
    <t>Planta</t>
  </si>
  <si>
    <t>7004001351;7003849196</t>
  </si>
  <si>
    <t>van Wijk, Klaas J.;van Hasselt, Philip R.</t>
  </si>
  <si>
    <t>van Wijk K.</t>
  </si>
  <si>
    <t>Photoinhibition of photosystem II in vivo is preceded by down-regulation through light-induced acidification of the lumen: Consequences for the mechanism of photoinhibition in vivo</t>
  </si>
  <si>
    <t>10.1007/BF00194432</t>
  </si>
  <si>
    <t>2-s2.0-51249170375</t>
  </si>
  <si>
    <t>['two non', 'simultaneous acquisition', 'proton imaging', 'interacting antennae']</t>
  </si>
  <si>
    <t>array coils | design of MR spectrometer | MR spectrometer | MRI | multiplexer | radiofrequency coil (RF coil) | receiver coil</t>
  </si>
  <si>
    <t>A simple multiplexing technique, implemented on a conventional NMR spectrometer is described. It shows that simultaneous acquisition of independent NMR signals with a unique detection chain is possible. Application is performed to proton imaging of objects in two non-interacting antennae. ¬© 1993 Chapman &amp; Hall.</t>
  </si>
  <si>
    <t>35-38</t>
  </si>
  <si>
    <t>Magma: Magnetic Resonance Materials in Physics, Biology, and Medicine</t>
  </si>
  <si>
    <t>60023578;60023578;60023578;60023578</t>
  </si>
  <si>
    <t>24783729600;7004097280;7003630670;6508131216</t>
  </si>
  <si>
    <t>Ntoutoume, Thadd√©e;Briguet, Andr√©;Deguin, Andr√©;Lapray, Christian</t>
  </si>
  <si>
    <t>Universit√© Claude Bernard Lyon 1</t>
  </si>
  <si>
    <t>Ntoutoume T.</t>
  </si>
  <si>
    <t>Simultaneous image acquisition in magnetic resonance imaging</t>
  </si>
  <si>
    <t>10.1007/BF02660371</t>
  </si>
  <si>
    <t>2-s2.0-51649140074</t>
  </si>
  <si>
    <t>SFB 329</t>
  </si>
  <si>
    <t>['¬© 1993', 'vibron interaction', 'substituted polyenes', 'optical excitation', 'localized donor', 'fundamental aspects', 'crucial role', 'charge transfer', 'antenna states', 'addressed selectively']</t>
  </si>
  <si>
    <t>Fundamental aspects for the construction of future molecular electronic devices are discussed. It is shown that for addressing molecular structures localized electronic states play a crucial role. We report on localized donor-states (antenna states) in donor-acceptor-substituted polyenes which can be addressed selectively by optical excitation. Among various possible relaxation paths, these local excitations may give rise to fast energy transfer or charge transfer, depending on the nature of the acceptor. The excitonic energy transfer in the supermolecules can be explained by quantum mechanical electron-vibron interaction. ¬© 1993.</t>
  </si>
  <si>
    <t>342-348</t>
  </si>
  <si>
    <t>65-66</t>
  </si>
  <si>
    <t>Applied Surface Science</t>
  </si>
  <si>
    <t>60015815;60015815;60015815</t>
  </si>
  <si>
    <t>57080977500;22967033500;23015183800</t>
  </si>
  <si>
    <t>Sigmund, E.;Gribi, P.;Isenmann, G.</t>
  </si>
  <si>
    <t>Sigmund E.</t>
  </si>
  <si>
    <t>Concepts in molecular electronics</t>
  </si>
  <si>
    <t>10.1016/0169-4332(93)90683-3</t>
  </si>
  <si>
    <t>2-s2.0-0027247134</t>
  </si>
  <si>
    <t>['unusual feature', 'unique mastax', 'two species', 'strictly bisexual', 'share features', 'serial sections', 'seisonidea may', 'seisonid characters', 'resistant stages', 'previously asserted', 'paired gonads', 'optical microscopy', 'obligatory amphimixis', 'nervous system', 'living animals', 'life style', 'lateral antennae', 'intracytoplasmic lamina', 'endolecythal eggs', 'encysted spermatozoa', 'developed males', 'crustacean nebalia', 'copulatory organ', 'closer relationship', 'also possess']</t>
  </si>
  <si>
    <t>Biology | geographical distribution | morphology | phylogeny | Rotifera | Seison | Seisonidea</t>
  </si>
  <si>
    <t>Class Seisonidea consists of one marine genus, Seison, with two species (S. nebaliae and S. annulatus) which are epizoic on the crustacean Nebalia. Seisonidea are the only rotifers whose reproduction is strictly bisexual. They also possess the unusual feature of having well-developed males. In this paper we review the literature concerning biogeographical distribution, relationships with their host, and morphology, and present new information obtained with SEM and optical microscopy of both living animals and serial sections. Some seisonid characters, such as the paired retrocerebral organ, nervous system, and trophi, suggest that they hold a primitive position within phylum Rotifera. However, they do share features with other rotifers: paired gonads and an unusual locomotory behavior with Bdelloidea; lateral antennae, cellular stomach wall, arrangement of intracytoplasmic lamina, and other characters with Monogononta. Some features are peculiar to Seison: obligatory amphimixis, endolecythal eggs, encysted spermatozoa, unique mastax, and absence of copulatory organ in males and of vitellaria in females. Reduction of the corona and absence of resistant stages in Seisonidea may be related to their habitat and to their life style. We propose a closer relationship of Seisonidea to Monogononta than previously asserted. ¬© 1993 Kluwer Academic Publishers.</t>
  </si>
  <si>
    <t>495-511</t>
  </si>
  <si>
    <t>255-256</t>
  </si>
  <si>
    <t>60012259;60030318;60030318</t>
  </si>
  <si>
    <t>56273868100;6603938126;6603642866</t>
  </si>
  <si>
    <t>Ricci, Claudia;Melone, Giulio;Sotgia, Cristina</t>
  </si>
  <si>
    <t>Milan;Turin</t>
  </si>
  <si>
    <t>Universit√† degli Studi di Milano;Universit√† degli Studi di Torino</t>
  </si>
  <si>
    <t>60030318;60012259</t>
  </si>
  <si>
    <t>Ricci C.</t>
  </si>
  <si>
    <t>Old and new data on Seisonidea (Rotifera)</t>
  </si>
  <si>
    <t>10.1007/BF00025879</t>
  </si>
  <si>
    <t>2-s2.0-0001093164</t>
  </si>
  <si>
    <t>['two cells', 'semiochemicals used', 'recorded concurrently', 'produced volatiles', 'produced compounds', 'primary pheromones', 'one compound', 'olfactory cells', 'nine regions', 'many cases', 'ips species', 'ips grandicollis', 'greatest percentage', 'greater percentage', 'electrophysiological recordings', 'dendroctonus frontalis', 'cells responsive', 'cells responded', 'among females']</t>
  </si>
  <si>
    <t>behavioral chemicals | Coleoptera | Dendroctonus | electrophysiology | interspecific attraction | Ips | pheromones | Scolytidae | single olfactory cells</t>
  </si>
  <si>
    <t>Electrophysiological recordings from antennal olfactory receptor cells were obtained from Ips grandicollis. Recordings were made from olfactory receptor cells from nine regions of the antennae in response to stimulation with the semiochemicals Œ±-pinene, frontalin, endo-brevicomin, verbenone, trans-verbenol, cis-verbenol, ipsdienol, and ipsenol. In many cases, up to two cells were recorded concurrently from the same location. When compared to males, females had a greater percentage of cells responsive to the primary pheromones of Dendroctonus frontalis, frontalin and trans-verbenol, and of Ips spp., ipsdienol and ipsenol. Among females, more cells responded to trans-verbenol and the Ips-produced volatiles than to host or other D. frontalis-produced compounds. Olfactory cells of males responded mostly to cis-verbenol, followed by Œ±-pinene, verbenone, trans-verbenol, and endo-brevicomin. Of those cells responsive primarily to one compound, the greatest percentage were responsive to trans-verbenol in females and to verbenone in males. The response of the antennal olfactory receptor cells to semiochemicals used by male and female I. grandicollis is consistent with the presence of these compounds during the host colonization period for each sex. Our results, which show a lack of specificity in most pheromone and host odor receptor cells, is in contrast with previously published accounts of olfactory receptor cell specificity in other Ips species. ¬© 1993 Plenum Publishing Corporation.</t>
  </si>
  <si>
    <t>699-712</t>
  </si>
  <si>
    <t>Journal of Chemical Ecology</t>
  </si>
  <si>
    <t>60027090;60027090;60027090</t>
  </si>
  <si>
    <t>6506680237;6701560742;7101918898</t>
  </si>
  <si>
    <t>Ascoli-Christensen, A.;Salom, S. M.;Payne, T. L.</t>
  </si>
  <si>
    <t>Ascoli-Christensen A.</t>
  </si>
  <si>
    <t>Olfactory receptor cell responses of Ips grandicollis (eichhoff) (Coleoptera: Scolytidae) to intra- and interspecific behavioral chemicals</t>
  </si>
  <si>
    <t>10.1007/BF00985002</t>
  </si>
  <si>
    <t>2-s2.0-0002962738</t>
  </si>
  <si>
    <t>['used rb', 'two operons', 'significant impairment', 'sequences past', 'rhodobacter capsulatus', 'region includes', 'nucleotide m882', 'modified plasmid', 'method involves', 'isolated using', 'inversions ),', 'expressed rb', 'excitation trapping', 'exchanged sequence', 'decidedly non', 'chimeric rescue']</t>
  </si>
  <si>
    <t>antenna | bacteria | energy transfer | photosynthesis | recombination</t>
  </si>
  <si>
    <t>Photosynthetically active chimeric reaction centers which utilize genetic information from both Rhodobacter capsulatus and Rb. sphaeroides puf operons were isolated using a novel method termed chimeric rescue. This method involves in vivo recombination repair of a Rb. capsulatus host operon harboring a deletion in pufM with a non-expressed Rb. sphaeroides donor puf operon. Following photosynthetic selection, three revertant classes were recovered: 1) those which used Rb. sphaeroides donor sequence to repair the Rb. capsulatus host operon without modification of Rb. sphaeroides puf operon sequences (conversions), 2) those which exchanged sequence between the two operons (inversions), and 3) those which modified plasmid or genomic sequences allowing expression of the Rb. sphaeroides donor operon. The distribution of recombination events across the Rb. capsulatus puf operon was decidedly non-random and could be the result of the intrinsic recombination systems or could be a reflection of some species-specific, functionally distinct characteristic(s). The minimum region required for chimeric rescue is the D-helix and half of the D/E-interhelix of M. When puf operon sequences 3‚Ä≤ of nucleotide M882 are exchanged, significant impairment of excitation trapping is observed. This region includes both the 3‚Ä≤ end of pufM and sequences past the end of pufM. ¬© 1993 Kluwer Academic Publishers.</t>
  </si>
  <si>
    <t>43-58</t>
  </si>
  <si>
    <t>60003892;60012708;60012708;60003892</t>
  </si>
  <si>
    <t>57216998774;57196656966;35473804100;7006774990</t>
  </si>
  <si>
    <t>Taguchi, Aileen K.W.;Stocker, Jonathan W.;Boxer, Steven G.;Woodbury, Neal W.</t>
  </si>
  <si>
    <t>Palo Alto;Tempe</t>
  </si>
  <si>
    <t>Stanford University;Arizona State University</t>
  </si>
  <si>
    <t>60012708;60003892</t>
  </si>
  <si>
    <t>Taguchi A.K.W.</t>
  </si>
  <si>
    <t>Photosynthetic reaction center mutagenesis via chimeric rescue of a non-functional Rhodobacter capsulatus puf operon with sequences from Rhodobacter sphaeroides</t>
  </si>
  <si>
    <t>10.1007/BF00018074</t>
  </si>
  <si>
    <t>2-s2.0-0009962699</t>
  </si>
  <si>
    <t>['‚ àí0', '¬© 1993', 'various chlorophyll', 'two parameters', 'spectral forms', 'shallow funnel', 'rights reserved', 'protein complexes', 'photosystem ii', 'outer antenna', 'inner antenna', 'exciton transfer', 'equilibrium population', 'cp29 ),', 'complexes comprising', 'chlorophyll b', 'antenna system', 'antenna complexes', 'absorption capacity']</t>
  </si>
  <si>
    <t>The chlorophyll-protein complexes that form the antenna system of photosystem II have been purified and analyzed in terms of the commonly observed chlorophyll spectral forms. With the exception of chlorophyll b, which is known to be associated with the complexes comprising the outer antenna (LHCII, CP24, CP26, CP29), the spectral forms occur with similar absorption maxima and are present in rather similar amounts in each of the antenna complexes. On the basis of the published chlorophyll stoichiometries for the complexes in photosystem II antenna, the distribution of the spectral forms in a ‚Äúreconstituted‚Äù antenna has been determined. These data were used to calculate the equilibrium population of excited states within the various chlorophyll-protein complexes within photosystem II. This was compared with the light absorption capacity of each of the complexes in the ‚Äúreconstituted‚Äù antenna. The ratio of these two parameters (excited-state equilibrium distribution/absorption capacity) was determined to be 1.21 for the inner (core) antenna and 0.88 for LHCII. The standard free energy change for exciton transfer from the outer to the inner antenna was calculated to be ‚àí0.17 kcal mol-1. It is concluded that the photosystem II antenna is arranged as a very shallow funnel. ¬© 1993, American Chemical Society. All rights reserved.</t>
  </si>
  <si>
    <t>3203-3210</t>
  </si>
  <si>
    <t>60030318;60000481;60030318;60000481;60030318</t>
  </si>
  <si>
    <t>7201971898;35553979700;6701308180;6603780088;7006530694</t>
  </si>
  <si>
    <t>Jennings, Robert C.;Bassi, Roberto;Garlaschi, Flavio M.;Dainese, Paola;Zucchelli, Giuseppe</t>
  </si>
  <si>
    <t>Milan;Padua</t>
  </si>
  <si>
    <t>Universit√† degli Studi di Milano;Universit√† degli Studi di Padova</t>
  </si>
  <si>
    <t>60030318;60000481</t>
  </si>
  <si>
    <t>Jennings R.</t>
  </si>
  <si>
    <t>Distribution of the Chlorophyll Spectral Forms in the Chlorophyll-Protein Complexes of Photosystem II Antenna</t>
  </si>
  <si>
    <t>10.1021/bi00064a002</t>
  </si>
  <si>
    <t>2-s2.0-0027231960</t>
  </si>
  <si>
    <t>['¬© 1993', 'wild type', 'water oxidation', 'thylakoid membrane', 'stable assembly', 'stabilizing protein', 'spanning regions', 'site mutation', 'significantly reduces', 'several lines', 'selected domains', 'rights reserved', 'results indicate', 'residue 330', 'q394 ),', 'ps ii', 'presumably exposed', 'predicted topology', 'possible sites', 'photosystem ii', 'oxygen evolution', 'one single', 'n317 ),', 'mutants exhibit', 'lumenal side', 'loop e', 'kda manganese', 'introduce deletions', 'histidine present', 'h343l ).', 'functional association', 'domains œî6', 'domains œî3', 'domains deleted', 'domain œî8', 'directed mutagenesis', 'core antenna', 'completely interrupts', 'charged regions', 'catalytic site', '8 residues']</t>
  </si>
  <si>
    <t>The chlorophyll a-binding protein CP47 serves as core antenna to photosystem II (PS II). The predicted topology of CP47 exhibits six membrane-spanning regions and a large hydrophilic loop (loop E) which rougly includes 200 residues (255-455) and is presumably exposed to the lumenal side of the thylakoid membrane. Several lines of experimental evidence suggest that loop E might be involved in binding or stabilizing functional manganese in the catalytic site of water oxidation or in interacting with the extrinsic PS II-O protein (the 33-kDa manganese-stabilizing protein). To scan loop E for functionally important domains, oligonucleotide-directed mutagenesis has been used to introduce deletions of 3-8 residues in conserved and charged regions of loop E. In addition, one single-site mutation of the only histidine present in loop E was created (H343L). Domains deleted in Œî1 (I265-F268), Œî2 (T271-K277), Œî4 (T304-L309), Œî5 (F311-N317), and Œî12 (D440-P447) are required for stable assembly of functional PS II complexes. Deletion of domains Œî3 (K277-E283) and Œî11 (R422-E428) significantly reduces the level of assembled PS II and impairs photoautotrophic growth and oxygen evolution. Deletion of domain Œî8 (A373-D380) enhances the susceptibility to photoinhibition. In contrast, deletion of domains Œî6 (G333-I336), Œî7 (K347- R352), Œî9 (V392-Q394), and Œî10 (D416-F420) and mutation of H343 to leucine do not seem to severly interrupt PS II structure and function, although all mutants exhibit a slightly decreased stability of PS II as compared to the wild type. Thus, selected domains of the large hydrophilic loop of CP47 are important for PS II structure and function. With respect to possible sites of interaction between loop E of CP47 and the extrinsic PS II-O protein, our results indicate that none of the deletions in the region from residue 330 to 420 (Œî6, Œî7, Œî8, Œî9, Œî10) completely interrupts a functional association of the manganese-stabilizing protein to PS II, although the binding characteristics might be changed in some cases. ¬© 1993, American Chemical Society. All rights reserved.</t>
  </si>
  <si>
    <t>4444-4454</t>
  </si>
  <si>
    <t>60011604;60003892-60006221;60011604;60003892</t>
  </si>
  <si>
    <t>7004929902;6603924381;56216930900;7005345187</t>
  </si>
  <si>
    <t>Haag, Elisabeth;Eaton-Rye, Julian J.;Renger, Gernot;Vermaas, Wim F.J.</t>
  </si>
  <si>
    <t>Germany;United States;United States</t>
  </si>
  <si>
    <t>Berlin;Upton;Tempe</t>
  </si>
  <si>
    <t>Technical University of Berlin;Brookhaven National Laboratory;Arizona State University</t>
  </si>
  <si>
    <t>60011604;60006221;60003892</t>
  </si>
  <si>
    <t>Haag E.</t>
  </si>
  <si>
    <t>Functionally Important Domains of the Large Hydrophilic Loop of CP47 As Probed by Oligonucleotide-Directed Mutagenesis in Synechocystis sp. PCC 6803</t>
  </si>
  <si>
    <t>10.1021/bi00067a037</t>
  </si>
  <si>
    <t>2-s2.0-0027299939</t>
  </si>
  <si>
    <t>Naturwissenschaften</t>
  </si>
  <si>
    <t>60029526;60029526</t>
  </si>
  <si>
    <t>16450054100;7402604731</t>
  </si>
  <si>
    <t>Todd, I. L.;Baker, T. C.</t>
  </si>
  <si>
    <t>Riverside</t>
  </si>
  <si>
    <t>University of California, Riverside</t>
  </si>
  <si>
    <t>Todd I.</t>
  </si>
  <si>
    <t>Response of single antennal neurons of female cabbage loopers to behaviorally active attractants</t>
  </si>
  <si>
    <t>10.1007/BF01226381</t>
  </si>
  <si>
    <t>2-s2.0-0027420054</t>
  </si>
  <si>
    <t>['phase distribution', 'optimized parameters', 'antenna radomes', 'antenna aperture']</t>
  </si>
  <si>
    <t>As weighted generalized criterion of the quality of antenna radomes is introduced which takes into account their optimized parameters and radio quality characteristics, as well as the amplitude-phase distribution of the field in the antenna aperture.</t>
  </si>
  <si>
    <t>104-108</t>
  </si>
  <si>
    <t>Yunusov, A. A.</t>
  </si>
  <si>
    <t>Yunusov A.</t>
  </si>
  <si>
    <t>Method of synthesizing antenna radomes and of optimizing their parameters</t>
  </si>
  <si>
    <t>2-s2.0-0027572712</t>
  </si>
  <si>
    <t>['reradiation antennas', 'equation method']</t>
  </si>
  <si>
    <t>The results of the use of the integrodifferential-equation method to calculate the characteristics of reradiation antennas are presented.</t>
  </si>
  <si>
    <t>91-95</t>
  </si>
  <si>
    <t>7007013967;6603308916;6505737311</t>
  </si>
  <si>
    <t>Pimenov, Yu V.;Chervenko, M. Yu;Eidus, A. G.</t>
  </si>
  <si>
    <t>Pimenov Y.</t>
  </si>
  <si>
    <t>Use of the integrodifferential-equation method to calculate the characteristics of reradiation antennas</t>
  </si>
  <si>
    <t>2-s2.0-0027572723</t>
  </si>
  <si>
    <t>['two stages', 'two axes', 'tracking device', 'tracked based', 'selected satellite', 'rotation device', 'receiving antenna', 'radiation pattern', 'paper reports', 'optimal axis', 'mechanism enables', 'given axis', 'finite width', 'achieve tracking']</t>
  </si>
  <si>
    <t>It is necessary to have a rotation device with two axes of rotation to allow independent adjustment of the azimuth and elevation of the axis of the radiation pattern in order to shift the axis of the radiation pattern (RP) of a satellite television antenna from one stationary satellite to another. This mechanism enables the selected satellite to be tracked based on its existing angular coordinates along the given axis in two stages. It is, however, possible to simplify the tracking device if we take into account the finite width of the radiation pattern of the receiving antenna (1¬∞-2¬∞); in this case, it is possible to relax the tracking precision requirements and to achieve tracking by rotating the antenna about a single axis pointing roughly in the direction of Polaris. This paper reports a method of calculating the exact angular coordinates of the optimal axis of rotation for a single-rotation satellite television receiving antenna and of estimating the maximum angular tracking error of such an antenna for given mounting positions of the receiving antenna and longitudinal coordinate ranges of the satellite.</t>
  </si>
  <si>
    <t>17-21</t>
  </si>
  <si>
    <t>7101867404;6507712192;6603382102</t>
  </si>
  <si>
    <t>Ovcharenko, V. V.;Sumkin, G. P.;Sulima, V. V.</t>
  </si>
  <si>
    <t>Ovcharenko V.</t>
  </si>
  <si>
    <t>Optimal axis of rotation of a satellite television receiving antenna</t>
  </si>
  <si>
    <t>2-s2.0-0027572728</t>
  </si>
  <si>
    <t>['wavelength ].', 'tangential component', 'suspension limits', 'suspension equal', 'strong dependence', 'several hundredths', 'metal screen', 'many cases', 'input impedance', 'directional antennas', 'dipole current', 'current flow']</t>
  </si>
  <si>
    <t>The strong dependence of the input impedance of a dipole on its height of suspension limits the development of directional antennas in the form of balanced dipoles suspended over a metal screen. The design of an antenna with a height of suspension equal to several hundredths of the wavelength encounters serious technical difficulties and in many cases is not possible in practice [usually, the dipole is suspended at a height in the range (0.2-0.3)Œª, where Œª is the wavelength]. This phenomenon can be attributed to the `mirror' reflection of the dipole current in the metal screen which shows up as a tangential component of the electric field arising near the dipole in antiphase with the tangential electric field due to current flow through the dipole. In this paper we show how one can reduce the effect of `mirror' reflection on the input impedance of an antenna by reducing the height of suspension of the dipole over the metal screen.</t>
  </si>
  <si>
    <t>26-29</t>
  </si>
  <si>
    <t>6603558268;6507254373</t>
  </si>
  <si>
    <t>Dvurechenskiy, V. D.;Aristarkhov, P. A.</t>
  </si>
  <si>
    <t>Dvurechenskiy V.</t>
  </si>
  <si>
    <t>Dipole antenna suspended low over a metal screen</t>
  </si>
  <si>
    <t>2-s2.0-0027572734</t>
  </si>
  <si>
    <t>['two outputs', 'transformer section', 'terminal stage', 'splitter structure', 'paper proposes', 'input stage', 'broadband performance']</t>
  </si>
  <si>
    <t>The paper proposes a splitter structure that enables channel losses to be minimized while maintaining its broadband performance and gives satisfactory isolation between channels. The circuit structure includes two stages: the input stage which contains the transformer section and the terminal stage which contains the differential splitters feeding the two outputs.</t>
  </si>
  <si>
    <t>30-31</t>
  </si>
  <si>
    <t>Malevich, I. Yu</t>
  </si>
  <si>
    <t>Malevich I.</t>
  </si>
  <si>
    <t>Low-loss splitter</t>
  </si>
  <si>
    <t>2-s2.0-0027572736</t>
  </si>
  <si>
    <t>['new approach']</t>
  </si>
  <si>
    <t>A new approach to the synthesis of reactive impedance antennas is considered, which enable simple linear algorithms to be employed.</t>
  </si>
  <si>
    <t>96-99</t>
  </si>
  <si>
    <t>Chaplin, A. F.</t>
  </si>
  <si>
    <t>Chaplin A.</t>
  </si>
  <si>
    <t>Theory of the synthesis of impedance antennas</t>
  </si>
  <si>
    <t>2-s2.0-0027572773</t>
  </si>
  <si>
    <t>['radius equal', 'overhead wire', 'multilayered wire', 'multilayered earth']</t>
  </si>
  <si>
    <t>A model of an `overhead wire - multilayered earth' line is proposed in which a plane multilayered earth is replaced by a multilayered cylindrical wire with a radius equal to the depth of penetration of a cylindrical electromagnetic field into a multilayered wire.</t>
  </si>
  <si>
    <t>Kalyuzhnyy, V. F.</t>
  </si>
  <si>
    <t>Kalyuzhnyy V.</t>
  </si>
  <si>
    <t>Determination of the components of the electromagnetic field on the surface of a multilayered earth when it is excited by an overhead wire</t>
  </si>
  <si>
    <t>2-s2.0-0027572777</t>
  </si>
  <si>
    <t>['television station', 'radiation characteristics', 'radiated power', 'phase distribution', 'geometrical dimensions', 'existing ones', 'efficient use', 'broadcasting networks']</t>
  </si>
  <si>
    <t>The expansion of television (TV) broadcasting networks has required the construction of new TV stations and the modernization of existing ones. In addition to expanding the reliable reception zone and providing increasing television broadcast coverage to the country, it is necessary to ensure thatpublic health standards on permissible electromagnetic field exposures for humans are met by establishing safety zones near television broadcast stations, to reduce radiated power levels, to modify the heights and types of antennas used etc. The field levels near a television station can be reduced by changing the geometrical dimensions and phase distribution of the feed to the transmitter antenna tiers. In this paper the optimization of the radiation characteristics of the antennas and the efficient use of the radiated power are proposed as methods of achieving this goal.</t>
  </si>
  <si>
    <t>22-25</t>
  </si>
  <si>
    <t>7006409871;57197104731</t>
  </si>
  <si>
    <t>Goncharov, I. A.;Romanov, V. A.</t>
  </si>
  <si>
    <t>Goncharov I.</t>
  </si>
  <si>
    <t>Method of reducing the field levels at installation sites of FM radio and television broadcasting antennas</t>
  </si>
  <si>
    <t>2-s2.0-0027572778</t>
  </si>
  <si>
    <t>['step discontinuity', 'step discontinuities', 'proposed new', 'phase distribution', 'phase difference', 'optimization method', 'optimization depending', 'main reflector', 'far field', 'current distribution', 'constraint gain', 'broadcast satellite', 'beam antenna', 'aperture diameter', 'antenna made', 'amplitude distribution', 'adjacent elements', '12 ghz']</t>
  </si>
  <si>
    <t>In this paper,a method for eliminating these step discontinuities is studies for the dual-reflectors. The current distribution on the main reflector corresponding to the desired radiation pattern is determined by optimization depending on the constraint gain of the far field. Note that the optimization method for the aperture phase distribution was known for a single smoothly shaped contoured-beam antenna. Also, in this paper, an optimization method for the amplitude distribution is proposed new. Further, by adding a restriction to the phase difference between the adjacent elements in the optimization of the phase distribution the step discontinuity on the reflector is eliminated. By means of this method, an antenna made of a main reflector with an aperture diameter of 2.3 m is designed at 12 GHz which is the frequency of the downlink of the broadcast satellite.</t>
  </si>
  <si>
    <t>447-455</t>
  </si>
  <si>
    <t>Electronics and Communications in Japan, Part I: Communications (English translation of Denshi Tsushin Gakkai Ronbunshi)</t>
  </si>
  <si>
    <t>Contoured-beam antenna using smoothly shaped dual-reflectors for broadcasting satellites</t>
  </si>
  <si>
    <t>2-s2.0-0027572783</t>
  </si>
  <si>
    <t>['uda antennas', 'present imaging', 'plasma measurement', 'optimum spacing', 'many yagi', 'incident beam', 'impedance matching', 'focusing optics', 'dielectric lens', 'adjacent detectors']</t>
  </si>
  <si>
    <t>A millimeter-wave imaging array is proposed in which many Yagi-Uda antennas are placed on a dielectric lens. By changing the dimensions of these antenna, the impedance matching with the detector is optimized. At the same time, a radiation pattern matched to the incident beam from the focusing optics is realized. The crosstalk between the adjacent detectors on the array is measured. An optimum spacing is derived and a good imaging property is realized. The present imaging is suitable for MMIC and is applied in practice for plasma measurement for unclear fusion research.</t>
  </si>
  <si>
    <t>472-479</t>
  </si>
  <si>
    <t>7201993763;23016189800;7004067332</t>
  </si>
  <si>
    <t>Uehara, Kazuhiro;Nishimura, Hiroshi;Yonekura, Takeshi</t>
  </si>
  <si>
    <t>Optimum design of Yagi-Uda antenna for millimeter-wave imaging</t>
  </si>
  <si>
    <t>2-s2.0-0027572790</t>
  </si>
  <si>
    <t>['spherical porosity', 'porosity levels', 'novel technique', 'modest improvements', 'matrix compatibility', 'matrix alloy', 'density reductions', 'damping capacity', 'compressive properties', 'blowing agent', 'agent heating']</t>
  </si>
  <si>
    <t>A novel technique has been developed to generate closed cell, spherical porosity during high deposition rate spray forming. Introduction of blowing agent into the semisolid preform surface causes gas formation in a thermal decomposition reaction. Density reductions of up to 30% were generated in a phosphor bronze matrix using barium carbonate as the blowing agent. Hollow glass particles were produced in the same matrix alloy by injection of microsphere precursor frit. A simple Newtonian heat transfer model of agent heating in the spray predicts agent/matrix compatibility. Along with modest improvements in damping capacity, tensile and compressive properties were found to be equal or superior to those of powder metallurgy product at the same porosity levels.</t>
  </si>
  <si>
    <t>161-170</t>
  </si>
  <si>
    <t>International Journal of Powder Metallurgy (Princeton, New Jersey)</t>
  </si>
  <si>
    <t>60020822;60020822;60020822</t>
  </si>
  <si>
    <t>7102294040;7404953446;7201919630</t>
  </si>
  <si>
    <t>Kelley, Paul;Wong, Catherine R.;Moran, Angela L.</t>
  </si>
  <si>
    <t>Naval Surface Warfare Center</t>
  </si>
  <si>
    <t>Kelley P.</t>
  </si>
  <si>
    <t>Controlled porosity in spray formed phosphor bronze</t>
  </si>
  <si>
    <t>2-s2.0-0027573049</t>
  </si>
  <si>
    <t>['tension truss', 'solid model', 'radiowave absorbers', 'radiation characteristics', 'paper clarifies', 'model antenna', 'measurements made', 'measured results', 'main reflector', 'grating lobes', 'good agreement', 'experimental method', 'electrical errors', 'current distribution', 'circular aperture', 'calculated values', 'aperture shape', 'aperture plane']</t>
  </si>
  <si>
    <t>This paper clarifies the radiation characteristics of a tension truss-type deployable antenna based on measurements made on its solid model and presents its experimental method. The main reflector of the model antenna is constructed by many triangular plates approximating a paraboloid. As the aperture shape of a tension truss-type deployable antenna is a hexagon, the difference between the circular aperture of the model antenna and the hexagon is covered with radiowave absorbers. The distribution of mechanical reflector errors which are projected on the aperture plane is formulated and their relations to electrical errors is shown. Data on reduction of gain and grating lobes in the radiation pattern arising from periodic reflector errors are obtained. The measured results are compared with calculated values of radiation characteristics and good agreement is obtained. It is shown that radiation characteristics can be estimated by the aperture integration method by neglecting the disturbance of current distribution at seams of facets.</t>
  </si>
  <si>
    <t>285-292</t>
  </si>
  <si>
    <t>2-s2.0-0027573428</t>
  </si>
  <si>
    <t>['two frequencies', 'transformer made', 'three steps', 'slight modification', 'separation rate', 'separated completely', 'radiating element', 'prototype stub', 'present method', 'paper combines', 'msa also', 'microstrip antennas', 'method described', 'ground plane', 'dual banding', 'distributed circuit', 'design consists', '5 percent', '4 percent', '3 percent']</t>
  </si>
  <si>
    <t>A method for broadbanding and dual banding of the microstrip antennas (MSA) is proposed and discussed. The effect of errors at the time of fabrication of the MSA also is studied. The method described in this paper combines a transformer made of distributed circuit with the MSA. The design consists of three steps. Since the radiating element and the transformer are separated completely by the ground plane in the present method, the technique can be applied to an MSA with an arbitrary shape without applying any fabrication on the radiating element. Broadbanding can be accomplished rather easily, and the dual-banding can be accomplished with a slight modification in the design. The prototype stub-loaded MSA demonstrated with a bandwidth of 1.3 percent with a VSWR ‚â§2 can be increased to 3.4 percent (2.6 times). For the dual-banding, the separation rate of two frequencies with respect to thee fundamental resonant frequency can be controlled by about 2 to 5 percent.</t>
  </si>
  <si>
    <t>935-943</t>
  </si>
  <si>
    <t>A feeding technique for broadbanding and dual-banding microstrip antenna</t>
  </si>
  <si>
    <t>2-s2.0-0027573514</t>
  </si>
  <si>
    <t>['principal characteristics', 'new technology', 'h characteristics', 'eas ).']</t>
  </si>
  <si>
    <t>electronic article surveillance | magnetic materials | sensors | systems analysis</t>
  </si>
  <si>
    <t>An overview is given of the new technology of electronic article surveillance (EAS). The focus is on the magnetic materials used principally as sensors in EAS. The principal characteristics of these materials that make them suitable as tags are highly nonlinear B-H characteristics or strong magnetomechanical coupling with low acoustic loss. Specific materials characteristics are described for various EAS systems. ¬© 1993 ASM International.</t>
  </si>
  <si>
    <t>211-218</t>
  </si>
  <si>
    <t>Journal of Materials Engineering and Performance</t>
  </si>
  <si>
    <t>O'Handley, R. C.</t>
  </si>
  <si>
    <t>Massachusetts Institute of Technology</t>
  </si>
  <si>
    <t>O'Handley R.</t>
  </si>
  <si>
    <t>Magnetic materials for EAS sensors</t>
  </si>
  <si>
    <t>10.1007/BF02660288</t>
  </si>
  <si>
    <t>2-s2.0-0027573693</t>
  </si>
  <si>
    <t>['used successfully', 'two types', 'systems operating', 'subcarrier multiplex', 'scm technique', 'progress made', 'photodetectors required', 'optical link', 'operating frequency', 'latter half', 'higher frequencies', 'fresh approach', 'date towards', 'cordless access', 'commercially available', 'antenna remoting', '20 ghz']</t>
  </si>
  <si>
    <t>Radio fibre transmission systems (characterized by having a free-space radio path and an optical fibre link) are being considered for a number of applications in BT's networks, in areas such as mobility, cordless access and antenna remoting. For the purposes of this paper, these systems have been classified into two types, on the basis of operating frequency. For systems operating at frequencies below 20 GHz, the subcarrier multiplex (SCM) technique is used successfully for transmitting radio signals over the optical link. The high frequency lasers and photodetectors required for this have been developed over the last few years, and are now commercially available. Such systems are starting to be deployed, for example, for antenna remoting at BT's Goonhilly satellite earth station. For systems operating at higher frequencies, fundamental device physics prevents the SCM technique from being used. A fresh approach, using new techniques and devices, needs to be developed before this type of system can begin to be deployed and the progress made to date towards this objective is described in the latter half of this paper.</t>
  </si>
  <si>
    <t>76-88</t>
  </si>
  <si>
    <t>British Telecom technology journal</t>
  </si>
  <si>
    <t>23023532000;7005443130;7201515628;7404425883</t>
  </si>
  <si>
    <t>Wake, D.;Westbrook, L. D.;Walker, N. G.;Smith, I. C.</t>
  </si>
  <si>
    <t>Wake D.</t>
  </si>
  <si>
    <t>Microwave and millimetre-wave radio fibre</t>
  </si>
  <si>
    <t>2-s2.0-0027577261</t>
  </si>
  <si>
    <t>159-166</t>
  </si>
  <si>
    <t>1573837X</t>
  </si>
  <si>
    <t>1046283X</t>
  </si>
  <si>
    <t>Computational Mathematics and Modeling</t>
  </si>
  <si>
    <t>Strizhkov, V. A.</t>
  </si>
  <si>
    <t>Strizhkov V.</t>
  </si>
  <si>
    <t>Mathematical model for the design of thin-wire antenna systems</t>
  </si>
  <si>
    <t>10.1007/BF01131213</t>
  </si>
  <si>
    <t>2-s2.0-34250073366</t>
  </si>
  <si>
    <t>['sis mixers', 'simplicity makes', 'room temperature', 'receiver consists', 'probe suspended', 'planar quasi', 'noise temperature', 'mixer results', 'low cost', '280ghz bandwidth']</t>
  </si>
  <si>
    <t>A planar quasi-optical Schottky receiver based on the quasi-integrated horn antenna has been developed and tested over the 230-280GHz bandwidth. The receiver consists of a planar GaAs Schottky diode placed at the feed of a dipole-probe suspended on a thin dielectric membrane in an etched-pyramidal horn cavity. The diode has a 1.2 Œúm anode diameter and a low parasitic capacitance due to the use of an etched surface channel. The antenna-mixer results in a measured DSB conversion loss and noise temperature at 258GHz of 7.2dB¬±0.5dB and 1310K¬±70K, respectively, at room temperature. The design is compatible with SIS mixers, and the low cost of fabrication and simplicity makes it ideal for submillimeter-wave imaging arrays requiring a 10-20% bandwidth. ¬© 1993 Plenum Publishing Corporation.</t>
  </si>
  <si>
    <t>737-748</t>
  </si>
  <si>
    <t>60025778;60021918;60021918;60025778</t>
  </si>
  <si>
    <t>6602531547;57169851200;35502419000;7006384021</t>
  </si>
  <si>
    <t>Ali-Ahmad, Walid Y.;Bishop, William L.;Crowe, Thomas W.;Rebeiz, Gabriel M.</t>
  </si>
  <si>
    <t>Ali-Ahmad W.</t>
  </si>
  <si>
    <t>A 250 GHz planar low noise Schottky receiver</t>
  </si>
  <si>
    <t>10.1007/BF02084284</t>
  </si>
  <si>
    <t>2-s2.0-34250074343</t>
  </si>
  <si>
    <t>['scattering superposition', 'radiation characteristics', 'field sources', 'et al', 'eigenfunction expansion', 'dyadic green', 'directly used', 'asymptotic expression']</t>
  </si>
  <si>
    <t>chiral medium | cylindrical chirostrip antenna | dyadic Green's function | saddle point integration | scattering superposition</t>
  </si>
  <si>
    <t>Using the eigenfunction expansion of dyadic Green's function in unbounded chiral medium, and the method of scattering superposition, the expressions of dyadic Green's function for the one and two-layer cylindrical chirostrip antennas are derived, when the field sources are placed in any layer of cylindrical chirostrip antenna. Also, using the method of saddle point integration, the asymptotic expression of dyadic Green's function for the wraparound chirostrip antenna is obtained. The results can be directly used to analyse the radiation characteristics of cylindrical chirostrip dipolc antenna, et al. ¬© 1993 Plenum Publishing Corporation.</t>
  </si>
  <si>
    <t>849-863</t>
  </si>
  <si>
    <t>35239370900;6508039283</t>
  </si>
  <si>
    <t>Wenyan, Yin;Wenbing, Wang</t>
  </si>
  <si>
    <t>Wenyan Y.</t>
  </si>
  <si>
    <t>The dyadic Green's function for the cylindrical chirostrip antenna</t>
  </si>
  <si>
    <t>10.1007/BF02084291</t>
  </si>
  <si>
    <t>2-s2.0-34250080392</t>
  </si>
  <si>
    <t>['waveguide structure', 'waveguide similar', 'slab waveguide', 'semiconductor structures', 'rectangular grating', 'radiation pattern', 'plasma layer', 'paper concerns', 'optical excitation', 'one side', 'metallic layer', 'frequency range', 'experimental characteristics', 'duty cycle', 'dispersion relation', 'chosen frequency', 'calculated using', 'attenuation constant', 'angular shift', '95 ghz', '90 ghz']</t>
  </si>
  <si>
    <t>This paper concerns the experimental characteristics of metal coated dielectric waveguides with a rectangular surface corrugation. Waveguide are designed to operate at a second Bragg frequency of 90 GHz. The period, height and the duty cycle of a rectangular grating were calculated using the chosen frequency. A metallic layer of aluminum is sputtered on one side of the slab waveguide. The purpose of the metallic layer is to simulate a layer of high density plasma on the surface of the waveguide similar to that obtained by optical excitation of semiconductor structures. Experiments were performed to examine the far field radiation pattern, attenuation constant and the dispersion relation. Due to the presence of the plasma layer there will be an angular shift in the far field radiation pattern. We have observed angular shifts of about 20‚Ä° in the radiation pattern of the waveguide before and after coating. Measurements are made in the frequency range of 88-95 GHz. This waveguide structure can be used to design an electronically steerable antenna and an electronic phase shifter operating in the millimeter-wave frequency band. ¬© 1993 Plenum Publishing Corporation.</t>
  </si>
  <si>
    <t>885-892</t>
  </si>
  <si>
    <t>60017536;60017536;60017536;60017536;60017536</t>
  </si>
  <si>
    <t>23023869000;6506249757;57219303933;7403735426;7403925028</t>
  </si>
  <si>
    <t>Yeh, C. S.;Urimindi, N.;Liu, Jin;Evans, G. A.;Butler, J. K.</t>
  </si>
  <si>
    <t>Dallas</t>
  </si>
  <si>
    <t>Southern Methodist University</t>
  </si>
  <si>
    <t>Yeh C.S.</t>
  </si>
  <si>
    <t>Experimental analysis of metal coated dielectric waveguides</t>
  </si>
  <si>
    <t>10.1007/BF02084294</t>
  </si>
  <si>
    <t>2-s2.0-34250083522</t>
  </si>
  <si>
    <t>['z )-', 'tritiated 11', 'tetradecenyl acetate', 'tetradecenoic acid', 'results indicate', 'probably subject', 'olfactory sensing', 'natural conditions', 'labeled components', 'geometric isomers', 'female antennae', 'fatty acid', 'banded leaf', '57 ci']</t>
  </si>
  <si>
    <t>11-tetradecenyl acetate | Argyrotaenia velutinana | catabolism | Lepidoptera | sensory biochemistry | Tortricidae | tritiated pheromone</t>
  </si>
  <si>
    <t>Tritium-labeled components of the red-banded leaf-roller female sex pheromone, (Z)- and (E)-[11,12-3H2]-11-tetradecenyl acetate (57 Ci/mmol), applied to antennae of males and females were degraded causing formation of tritiated 11-tetradecenol, 11-tetradecenoic acid, and water. Results indicate that the catabolic pathway involves acetate hydrolysis, oxidation of alcohol to fatty acid, and degradation of the acid via Œ≤-oxidation. Both geometric isomers were degraded equally well by males but degradation proceeded comparatively less rapidly with female antennae. It is surmised that under natural conditions of olfactory sensing, sex pheromone impinging upon the moth's antennae is probably subject to a similar catabolic fate. ¬© 1993 Plenum Publishing Corporation.</t>
  </si>
  <si>
    <t>751-762</t>
  </si>
  <si>
    <t>60000635;60000635</t>
  </si>
  <si>
    <t>7004021575;11142162200</t>
  </si>
  <si>
    <t>Klun, J. A.;Schwarz, M.</t>
  </si>
  <si>
    <t>Beltsville</t>
  </si>
  <si>
    <t>USDA ARS Beltsville Agricultural Research Center</t>
  </si>
  <si>
    <t>Klun J.</t>
  </si>
  <si>
    <t>Sex pheromone catabolism in the redbanded leafroller moth</t>
  </si>
  <si>
    <t>10.1007/BF00985006</t>
  </si>
  <si>
    <t>2-s2.0-8044229788</t>
  </si>
  <si>
    <t>['¬© 1993', 'test masses', 'relaxation time', 'permits one', 'metric perturbation']</t>
  </si>
  <si>
    <t>A method which permits one to reach a relaxation time of a mechanical pendulum oscillator longer than 4 √ó 107 s is described. The problem of the isolation of test masses for a gravitational wave antenna in order to reach a level of sensitivity of 1 √ó 10-21 in units of the metric perturbation is discussed. ¬© 1993.</t>
  </si>
  <si>
    <t>82-84</t>
  </si>
  <si>
    <t>60007457;60007457;60007457</t>
  </si>
  <si>
    <t>7003908077;7101606756;6505969894</t>
  </si>
  <si>
    <t>Braginsky, V. B.;Mitrofanov, V. P.;Okhrimenko, O. A.</t>
  </si>
  <si>
    <t>Braginsky V.</t>
  </si>
  <si>
    <t>The isolation of test masses for gravitational wave antennae</t>
  </si>
  <si>
    <t>037596019390126K</t>
  </si>
  <si>
    <t>10.1016/0375-9601(93)90126-K</t>
  </si>
  <si>
    <t>2-s2.0-0002128738</t>
  </si>
  <si>
    <t>['¬© 1993', 'qe results', 'photochemical dissipation', 'minimum level', 'lending support', 'excitation energy', 'electron donation', 'dependent non', 'antenna chlorophylls']</t>
  </si>
  <si>
    <t>Chlorophyll fluorescence | Light harvesting complex | pH gradient | Photosynthesis | Photosystem II | Thylakoid membrane</t>
  </si>
  <si>
    <t>Chlorophyll fluorescence induction curves were recorded for spinach leaves following the formation of ŒîpH-dependent non-photochemical dissipation of excitation energy, qE. It was found that the minimum level of fluorescence, when all Photosystem II reaction centres are open, was quenched by up to 54%, inconsistent with proposals that qE results from inhibition of electron donation to the Photosystem II reaction centre, but lending support to the site of quenching being in the antenna chlorophylls. ¬© 1993.</t>
  </si>
  <si>
    <t>203-206</t>
  </si>
  <si>
    <t>57203184101;7102944615</t>
  </si>
  <si>
    <t>Horton, P.;Ruban, A. V.</t>
  </si>
  <si>
    <t>Horton P.</t>
  </si>
  <si>
    <t>ŒîpH-dependent quenching of the F&lt;inf&gt;o&lt;/inf&gt; level of chlorophyll fluorescence in spinach leaves</t>
  </si>
  <si>
    <t>000527289390103M</t>
  </si>
  <si>
    <t>10.1016/0005-2728(93)90103-M</t>
  </si>
  <si>
    <t>2-s2.0-0027415397</t>
  </si>
  <si>
    <t>Neotropical Ornithological Society</t>
  </si>
  <si>
    <t>SC1-0004</t>
  </si>
  <si>
    <t>NOS</t>
  </si>
  <si>
    <t>['¬© 1993', 'two monomers', 'top views', 'structure indicates', 'stain accumulation', 'small indentation', 'side views', 'shaped structure', 'shaped configuration', 'rhodobacter sphaeroides', 'membrane would', 'loosely connected', 'isolated particles', 'image analysis', 'fold symmetry', 'electron microscopy', 'dimeric units', 'corrected diameter', 'b875 complexes', 'b875 complex', 'attached detergent', 'antenna complexes', 'aggregation behavior', 'actual diameter', '850 unit', '850 complexes', '5 nm', '2 nm', '1 nm']</t>
  </si>
  <si>
    <t>(Rhodobacter sphaeroides) | B800-850 complex | B875 complex | Bacterial photosynthesis | Electron microscopy</t>
  </si>
  <si>
    <t>The structure and aggregation behavior of B800-850 (LHII) and B875 (LHI) antenna complexes of Rhodobacter sphaeroides were studied by electron microscopy. Single molecular projections (top views and side views) of isolated particles were analyzed. The B800-850 complexes, isolated as 150 kDa particles, are cylindrical with a diameter of 8.5 nm and with a height of 6.5 nm. If corrected for attached detergent, the actual diameter in the plane of the membrane would be about 5.1 nm. Stain accumulation in the center of the structure indicates a small indentation, therefore a ring-shaped structure is expected. The size, shape and estimated mass give evidence for a B800-850 complex structure consisting of 4-6 Œ±Œ≤ heterodimers, if in an Œ±nŒ≤n ring-shaped configuration. The B875 complexes, isolated as 360 kDa particles, are dimeric units, but the two monomers are only loosely connected. A single B875 unit has a corrected diameter of about 5.2 nm and a height of 6.2 nm, similar to the B800-850 unit. Therefore, the B875 complex most likely has the same Œ±nŒ≤n configuration. Image analysis of B800-850 projections points to a 3-or 6-fold symmetry in the top views, rather than a 4- or 5-fold symmetry. Therefore, our results are most compatible with an Œ±6Œ≤6 configuration. ¬© 1993.</t>
  </si>
  <si>
    <t>181-188</t>
  </si>
  <si>
    <t>60010023;60008734;60008734;60008734;60010023;60010023</t>
  </si>
  <si>
    <t>7005315930;7004878962;6603289700;35599806700;7005153728;7007149974</t>
  </si>
  <si>
    <t>Boonstra, Arjen F.;Visschers, Ronald W.;Calkoen, Florentine;van Grondelle, Rienk;van Bruggen, Ernst F.J.;Boekema, Egbert J.</t>
  </si>
  <si>
    <t>Groningen;Amsterdam</t>
  </si>
  <si>
    <t>University of Groningen;Vrije Universiteit Amsterdam</t>
  </si>
  <si>
    <t>60010023;60008734</t>
  </si>
  <si>
    <t>Boonstra A.</t>
  </si>
  <si>
    <t>Structural characterization of the B800-850 and B875 light-harvesting antenna complexes from Rhodobacter sphaeroides by electron microscopy</t>
  </si>
  <si>
    <t>000527289390100T</t>
  </si>
  <si>
    <t>10.1016/0005-2728(93)90100-T</t>
  </si>
  <si>
    <t>2-s2.0-0027466536</t>
  </si>
  <si>
    <t>['¬© 1993', 'wavelength range', 'valid description', 'trap limited', 'sas ).', 'room temperature', 'reaction center', 'rcs indicate', 'rate constants', 'negative amplitudes', 'model must', 'homogeneous model', 'heterogeneous model', 'good fit', 'formally fit', 'fluorescence kinetics', 'exciton kinetics', 'exciton decay', 'e .,', 'das similar', 'das maximum', 'corresponding data', 'associated spectra', 'antenna pools', 'account explicitly', '95 ps', '940 ps', '940 nm', '40 ps', '260 ps']</t>
  </si>
  <si>
    <t>(Rb. capsulatus) | Bacterial photosynthesis | Energy transfer kinetics | Free energy | Model calculation | Picosecond fluorescence | Purple bacterium | Target (compartmental) analysis</t>
  </si>
  <si>
    <t>The fluorescence kinetics of chromatophores from Rhodobacter capsulatus wild type have been measured with picosecond time resolution over the wavelength range from 850 to 940 nm. The data have been analyzed both by global lifetime analysis yielding lifetimes and decay-associated spectra (DAS) and by global target analysis techniques yielding rate constants and species-associated spectra (SAS). In the global lifetime analysis five lifetime components were necessary for a good fit. The lifetimes are: œÑ1 = 9 ps showing a DAS with positive and negative amplitudes; œÑ2 = 40 ps with a DAS maximum at ‚âà 890 nm; œÑ3 = 95 ps with a DAS maximum at ‚âà 895 nm; œÑ4 = 260 ps with a DAS similar to that of lifetime component œÑ3; a fifth lifetime component of 940 ps has nearly negligible amplitude. In the global target analysis several kinetic models were tested. A homogeneous model with sequential energy transfer LHC II ‚Üî LHC I harr; RC does formally fit the data only if the detailed charge separation and charge recombination processes at the reaction center (RC) are taken into account explicitly. However, despite the good fit, such a model must be excluded as a valid description both on the basis of simple thermodynamic considerations as well as due to the fact that it predicts unreasonable RC rate constants. Instead a heterogeneous model, assuming a mixture of chromatophores with open and closed RCs describes the situation both formally and physically quite well. For such a model the rate constants of the RC electron transfer processes and their free energy values as well as the energy transfer rate constants and SAS of the antenna pools were obtained. The extrapolated RC kinetics for open RCs agrees well with that known from isolated purple bacterial RCs. The rate constants for energy transfer processes among antenna pools and from antenna to RCs indicate that at room temperature the exciton kinetics of the entire antenna system is limited and determined by the RC charge separation, i.e., the exciton decay is trap limited. Our data are compared with the corresponding data for Rb. sphaeroides. ¬© 1993.</t>
  </si>
  <si>
    <t>49-58</t>
  </si>
  <si>
    <t>60072285;60025641;60072285</t>
  </si>
  <si>
    <t>57199034833;7102742634;35501122300</t>
  </si>
  <si>
    <t>M√ºller, Marc G.;Drews, Gerhart;Holzwarth, Alfred R.</t>
  </si>
  <si>
    <t>Mulheim an der Ruhr;Freiburg im Breisgau</t>
  </si>
  <si>
    <t>Max Planck Institute for Chemical Energy Conversion;Universit√§t Freiburg im Breisgau</t>
  </si>
  <si>
    <t>60072285;60025641</t>
  </si>
  <si>
    <t>M√ºller M.</t>
  </si>
  <si>
    <t>Excitation transfer and charge separation kinetics in purple bacteria. (1) Picosecond fluorescence of chromatophores from Rhodobacter capsulatus wild type</t>
  </si>
  <si>
    <t>000527289390083R</t>
  </si>
  <si>
    <t>10.1016/0005-2728(93)90083-R</t>
  </si>
  <si>
    <t>2-s2.0-0027471661</t>
  </si>
  <si>
    <t>Koninklijke Nederlandse Akademie van Wetenschappen</t>
  </si>
  <si>
    <t>KNAW</t>
  </si>
  <si>
    <t>['¬© 1993', 'trimeric association', 'sucrose gradients', 'prochlorothrix hollandica', 'oxygenic prokaryotes', 'features similar', 'electron microscopy', 'binding antenna']</t>
  </si>
  <si>
    <t>(Oxychlorobacterium) | (Prochlorophyte) | (Prochlorothrix hollandica) | Electron microscopy | Light-harvesting complex | Photosystem I structure</t>
  </si>
  <si>
    <t>Photosystem I particles from Prochlorothrix hollandica were isolated from dodecylmatoside solubilized thylakoid membranes on sucrose gradients in the presence of dodecylmaltoside. The particles were characterized by electron microscopy and image reconstruction techniques. The lowest, major green band in the gradient contained trimeric Photosystem I particles with features similar to Photosystem I from cyanobacteria. No evidence for an association of the chlorophyll a/b-binding antenna with Photosystem I was found. The trimeric association of Photosystem I appears to be a generally occurring aggregation mechanism in oxygenic prokaryotes. ¬© 1993.</t>
  </si>
  <si>
    <t>189-193</t>
  </si>
  <si>
    <t>60002483;60010023;60008734;60002483</t>
  </si>
  <si>
    <t>6603448285;7007149974;7202457418;7004127941</t>
  </si>
  <si>
    <t>van der Staay, Georg W.M.;Boekema, Egbert J.;Dekker, Jan P.;Matthijs, Hans C.P.</t>
  </si>
  <si>
    <t>Netherlands;Netherlands;Netherlands</t>
  </si>
  <si>
    <t>Groningen;Amsterdam;Amsterdam</t>
  </si>
  <si>
    <t>University of Groningen;Vrije Universiteit Amsterdam;Universiteit van Amsterdam</t>
  </si>
  <si>
    <t>60010023;60008734;60002483</t>
  </si>
  <si>
    <t>van der Staay G.</t>
  </si>
  <si>
    <t>Characterization of trimeric Photosystem I particles from the prochlorophyte Prochlorothrix hollandica by electron microscopy and image analysis</t>
  </si>
  <si>
    <t>000527289390101K</t>
  </si>
  <si>
    <t>10.1016/0005-2728(93)90101-K</t>
  </si>
  <si>
    <t>2-s2.0-0027522441</t>
  </si>
  <si>
    <t>Nederlandse Organisatie voor Wetenschappelijk Onderzoek</t>
  </si>
  <si>
    <t>NWO</t>
  </si>
  <si>
    <t>['¬© 1993', 'whereas menaquinone', 'vitamin k', 'various levels', 'significant changes', 'room temperature', 'results suggest', 'quinone found', 'minor enrichment', 'low temperature', 'intact membranes', 'heliobacterium chlorum', 'essential participant', 'electron transport', 'diethyl ether', '379 ),', '2 ),']</t>
  </si>
  <si>
    <t>(H. chlorum) | Electron transfer | Menaquinone</t>
  </si>
  <si>
    <t>Treatment of membranes of Heliobacterium chlorum with diethyl ether at various levels of water saturation resulted in extraction of bacteriochlorophyll (BChl) g and menaquinones. Only a minor enrichment of P-798 with respect to antenna BChl g could be achieved, whereas menaquinone (vitamin K-2), the only quinone found in this species (Hiraishi, A. (1989) Arch. Microbiol. 151, 378-379), was essentially completely removed. Extraction of menaquinone, however, did not result in significant changes in electron transport. Electron transport to secondary electron acceptors was not impaired by wet ether extraction, either at room temperature or at low temperature. As in intact membranes, radical pair recombination and subsequent triplet formation were only observed under strongly reducing conditions. These results suggest that menaquinone is not an essential participant in the electron acceptor chain of heliobacteria. ¬© 1993.</t>
  </si>
  <si>
    <t>69-73</t>
  </si>
  <si>
    <t>60003878;60027553;100340266;60003878;60003878</t>
  </si>
  <si>
    <t>6701846565;55974981900;7005112170;7003966808;7004456032</t>
  </si>
  <si>
    <t>Kleinherenbrink, F. A.M.;Ikegami, I.;Hiraishi, A.;Otte, S. C.M.;Amesz, J.</t>
  </si>
  <si>
    <t>Japan;Netherlands;Japan</t>
  </si>
  <si>
    <t>Tokyo;Leiden;Tokyo</t>
  </si>
  <si>
    <t>Teikyo University;Sterrewacht Leiden;Konishi Co., Ltd.</t>
  </si>
  <si>
    <t>60027553;60003878;100340266</t>
  </si>
  <si>
    <t>Kleinherenbrink F.</t>
  </si>
  <si>
    <t>Electron transfer in menaquinone-depleted membranes of Heliobacterium chlorum</t>
  </si>
  <si>
    <t>000527289390085T</t>
  </si>
  <si>
    <t>10.1016/0005-2728(93)90085-T</t>
  </si>
  <si>
    <t>2-s2.0-0027538267</t>
  </si>
  <si>
    <t>['¬© 1993', 'times compared', 'secondary event', 'qb reduction', 'pure n2', 'ps ii', 'photoinhibitory light', 'photoinactivation occurred', 'multiple sites', 'induced rise', 'increased photoinactivation', 'high degree', 'f0 occurred', 'electron transport', 'donor side', 'detectable inhibition', 'd1 protein', 'antenna seems']</t>
  </si>
  <si>
    <t>(L. gibba) | Bicarbonate | Chlorophyll fluorescence | D1 protein | Electron transport | Photosystem I | Reaction center II</t>
  </si>
  <si>
    <t>Intact Lemna gibba plants were illuminated by photoinhibitory light in air, in air minus O2, in air minus CO2, and in pure N2. In pure N2, the degree of photoinhibition increased 3-5-times compared with that in air. This high degree of photoinhibition is described as photodamage. Photodamage was found to constitute a syndrome, that is, it is due to inactivation of multiple sites. These sites include RC II component(s) from P680 to QA; the QB-site; and a component of PS I. In photodamage, the donor side of PS II and PS II excitation energy transfer remain unimpaired, but the size of the PS I antenna seems to decrease. Photodamage is distinguishable from photoinactivation. Photoinactivation occurred in air and could be attributed to inhibition of electron transport from Q-A to QB. During photoinactivation the D1 protein of RC II became degraded faster than the detectable inhibition of QB reduction. The photoinhibition-induced rise in F0 occurred only during the process of photodamage but not during that of photoinactivation, and was a secondary event which arose as a consequence of photodamage. Atmospheric O2 alleviated photodamage but increased photoinactivation. The light-induced D1 degradation and inhibition of QA to QB electron transfer were enhanced in vivo not only by O2 but also by depletion of CO2. ¬© 1993.</t>
  </si>
  <si>
    <t>115-122</t>
  </si>
  <si>
    <t>60010348;60010348;60029170</t>
  </si>
  <si>
    <t>7202035742;7006876907;7406421287</t>
  </si>
  <si>
    <t>Gong, Huashi;Nilsen, Stein;Allen, John F.</t>
  </si>
  <si>
    <t>Sweden;Norway</t>
  </si>
  <si>
    <t>Lund;Oslo</t>
  </si>
  <si>
    <t>Lunds Universitet;Universitetet i Oslo</t>
  </si>
  <si>
    <t>60029170;60010348</t>
  </si>
  <si>
    <t>Gong H.</t>
  </si>
  <si>
    <t>Photoinhibition of photosynthesis in vivo: Involvement of multiple sites in a photodamage process under CO&lt;inf&gt;2&lt;/inf&gt;- and O&lt;inf&gt;2&lt;/inf&gt;-free conditions</t>
  </si>
  <si>
    <t>000527289390092T</t>
  </si>
  <si>
    <t>10.1016/0005-2728(93)90092-T</t>
  </si>
  <si>
    <t>2-s2.0-0027538268</t>
  </si>
  <si>
    <t>['required modulo', 'optic architecture', 'noise ratio', 'mhz offset', 'mhz carrier', 'frequency variations', 'demonstrated experimentally', 'array directions', 'analyzer bandwidth', '90 mhz', '48 db', '300 khz', '210 khz']</t>
  </si>
  <si>
    <t>Bragg cell | High-speed switching | Planar phased-array antenna | Two-dimensional beam scanning</t>
  </si>
  <si>
    <t>A novel in-line interferometric acousto-optic architecture for two-dimensional beam scanning of planar phased arrays is demonstrated experimentally for a 330-MHz carrier. The required modulo-27r phase control along the two orthogonal antenna-array directions is achieved by using two independent control frequenciesf andf2 with frequency variations of 0-170 and 0-210 kHz, respectively. A processor output carrier signal-to-noise ratio of 48 dB at + 1-MHz offset is measured in an analyzer bandwidth of 300 kHz, with a carrier tuning range of 90 MHz. ¬© 1993 Optical Society of America.</t>
  </si>
  <si>
    <t>1936-1942</t>
  </si>
  <si>
    <t>1559128X</t>
  </si>
  <si>
    <t>Applied Optics</t>
  </si>
  <si>
    <t>Riza, Nabeel A.</t>
  </si>
  <si>
    <t>Niskayuna</t>
  </si>
  <si>
    <t>GE Global Research</t>
  </si>
  <si>
    <t>Riza N.A.</t>
  </si>
  <si>
    <t>Experimental demonstration of an acousto-optic system for two-dimensional phased-array antenna scanning</t>
  </si>
  <si>
    <t>10.1364/AO.32.001936</t>
  </si>
  <si>
    <t>2-s2.0-0027385875</t>
  </si>
  <si>
    <t>OCE-8416261</t>
  </si>
  <si>
    <t>['¬© 1993', 'total amount', 'time allocated', 'tethered individuals', 'tethered animals', 'ten copepods', 'swimming specimens', 'swimming ones', 'swimming mode', 'swimming filming', 'swimming animals', 'significant differences', 'precise quantification', 'pereiopods ),', 'individual variability', 'grooming behavior', 'four modes', 'first antennae', 'feeding appendages', 'experimental regimes', 'directed movement', 'designing experiments', 'copepods spent', 'copepod behavior', 'compared behavior', 'cat hairs', 'break behaviors', '), break']</t>
  </si>
  <si>
    <t>Behavior and cinematography | Centropages hamatus | Copepod behavior</t>
  </si>
  <si>
    <t>Many previous cinematographic studies of copepod behavior have used animals tethered to dog or cat hairs to keep them in focus. We compared behavior of tethered and free-swimming specimens of the calanoid copepod Centropages hamatus Lilljeborg using cinematographic methods. Precise quantification was made of the time allocated to four modes of behavior: slow-swim (movement of feeding appendages only), break (no appendages moving), fast-swim (posteriorally-directed movement of first antennae and pereiopods), and groom (brushing of first antennae through feeding appendages). Ten copepods each were used for tethered and free-swimming filming. Under both experimental regimes, copepods spent &lt; 1 % of total amount of time in fast-swimming and grooming behavior. Most of the time (50.7-95.5%) animals were on break. The rest of the time (3.8-48.9%) animals were in the slow-swimming mode, moving only feeding appendages. There were no significant differences between tethered and free-swimming animals in mean time allocations to slow-swimming and break behavioral modes. However, individual variability of tethered animals was higher than that of free-swimming ones. We conclude that, while mean time allocation to slow-swimming and break behaviors were similar between free-swimming and tethered animals, the variability between tethered individuals is a factor to be considered when designing experiments. ¬© 1993.</t>
  </si>
  <si>
    <t>277-288</t>
  </si>
  <si>
    <t>Journal of Experimental Marine Biology and Ecology</t>
  </si>
  <si>
    <t>60009611;60009060;60030589;60009611;60019909</t>
  </si>
  <si>
    <t>55666483700;7404249444;57203076920;35611618800;18438932400</t>
  </si>
  <si>
    <t>Hwang, Jiang Shiou;Turner, Jefferson T.;Costello, John H.;Coughlin, David J.;Strickler, J. Rudi</t>
  </si>
  <si>
    <t>Providence;Milwaukee;Boston;Dartmouth</t>
  </si>
  <si>
    <t>Providence College;University of Wisconsin-Milwaukee;Boston University Marine Program;University of Massachusetts Dartmouth</t>
  </si>
  <si>
    <t>60030589;60019909;60009611;60009060</t>
  </si>
  <si>
    <t>Hwang J.</t>
  </si>
  <si>
    <t>A cinematographic comparison of behavior by the calanoid copepod Centropages hamatus Lilljeborg: tethered versus free-swimming animals</t>
  </si>
  <si>
    <t>002209819390035M</t>
  </si>
  <si>
    <t>10.1016/0022-0981(93)90035-M</t>
  </si>
  <si>
    <t>2-s2.0-0027385685</t>
  </si>
  <si>
    <t>['¬© 1993', 'typically found', 'transcriptional regulation', 'synechococcus sp', 'structural proteins', 'sequential increase', 'rod decreased', 'proximal 33', 'profiles analyzed', 'polycistronic cpcb1a1', 'polyacrylamide gels', 'pcc 6301', 'pbs rod', 'pbs ),', 'mrnas studied', 'linker protein', 'li ).', 'level equal', 'kda lp', 'kb mrna', 'kb form', 'increasing li', 'high li', 'harvesting antennae', 'four exceptions', 'distal 30', 'cpcd mrna', '7 min', '2 min', '10 min', '1 min']</t>
  </si>
  <si>
    <t>controls of gene functions | cpc operon | Light-harvesting antennae | photosynthesis</t>
  </si>
  <si>
    <t>The regulation of the light-harvesting antennae, the phycobilisome (Pbs), and the cpcB1A1-cpcH-cpcI-cpcD operon encoding the structural proteins of the Pbs rod, was studied in the cyanobacterium, Synechococcus sp. PCC 6301, when grown at different light intensities (li). Pbs were purified and their linker protein (LP) profiles analyzed on SDS-polyacrylamide gels. At increasing li, the amount of the distal 30-kDa LP decreased prior to any change in the amount of the proximal 33-kDa LP, indicating a sequential increase in the Pbs rod length. While the amount of LP in the rod decreased with increasing li, the levels of the LP mRNAs increased. Post-transcriptional regulation of the expression of the polycistronic cpcB1A1-cpcH-cpcI-cpcD mRNA was inferred from these observations. The half-life of the mRNAs studied was typically found to be 7 min with four exceptions: (1 and 2) the half-lives for the 3.4- and 3.7-kb polycistronic LP mRNAs were 16 and 1 min at the low (lli) and high li (hli), respectively; (3) the half-life of the 1.4-kb cpcB1A1 mRNA was 2 min at lli; and (4) the 1.3-kb cpcB1A1 transcript had a half-life of 10 min at lli. At hli, it was found that the 1.3-kb cpcB1A1 transcript did not start to disappear until the amount of the 1.4-kb cpcB1A1 transcript had reached the level equal to that of the 1.3-kb mRNA, implying that the 1.4-kb transcript might be processed to the 1.3-kb form. ¬© 1993.</t>
  </si>
  <si>
    <t>77-83</t>
  </si>
  <si>
    <t>Gene</t>
  </si>
  <si>
    <t>60031040;60031040;60031040</t>
  </si>
  <si>
    <t>35616948900;7005340270;7005371473</t>
  </si>
  <si>
    <t>Kalla, Roger;Bhalerao, Rishikesh P.;Gustafsson, Petter</t>
  </si>
  <si>
    <t>Umea</t>
  </si>
  <si>
    <t>Ume√• Universitet</t>
  </si>
  <si>
    <t>Kalla R.</t>
  </si>
  <si>
    <t>Regulation of phycobilisome rod proteins and mRNA at different light intensities in the cyanobacterium Synechococcus 6301</t>
  </si>
  <si>
    <t>0378-1119(93)90592-Q</t>
  </si>
  <si>
    <t>10.1016/0378-1119(93)90592-Q</t>
  </si>
  <si>
    <t>2-s2.0-0027417692</t>
  </si>
  <si>
    <t>['¬© 1993', 'specific case', 'signal strength', 'signal bandwidth', 'rights reserved', 'fading caused', 'electrical engineers', 'dense scatterers']</t>
  </si>
  <si>
    <t>DSPN signalling | Mobile communications</t>
  </si>
  <si>
    <t>The use of direct sequence pseudonoise (DSPN) signalling to mitigate the fading caused by very dense scatterers in the mobile communication environment is explored for the specific case of a rectangular signal spectrum. A very simple and revealing relationship emerges between the variability of the signal strength and the signal bandwidth. ¬© 1993, The Institution of Electrical Engineers. All rights reserved.</t>
  </si>
  <si>
    <t>661-662</t>
  </si>
  <si>
    <t>Effective bandwidth of DSPN signalling for mitigation of fading in dense scatterers</t>
  </si>
  <si>
    <t>10.1049/el:19930443</t>
  </si>
  <si>
    <t>2-s2.0-0027580845</t>
  </si>
  <si>
    <t>['¬© 1993', 'transmission curves', 'rights reserved', 'insertion loss', 'illustrative example', 'giving passbands', 'fractional widths', 'electrical engineers', 'dipole arrays', 'convoluted slots', 'conventional structures']</t>
  </si>
  <si>
    <t>Antennas | Filters | Frequency selective surfaces</t>
  </si>
  <si>
    <t>Single layer arrays of convoluted slots are capable of giving passbands with fractional widths of less than 20% at the ‚Äì10 dB points, less than a third of those for more conventional structures such as dipole arrays. The transmission curves and insertion loss of an illustrative example are discussed. ¬© 1993, The Institution of Electrical Engineers. All rights reserved.</t>
  </si>
  <si>
    <t>710-711</t>
  </si>
  <si>
    <t>100311743;100311743</t>
  </si>
  <si>
    <t>24328775100;7201840709</t>
  </si>
  <si>
    <t>de Lima, A. C.C.;Parker, E. A.</t>
  </si>
  <si>
    <t>de Lima A.C.C.</t>
  </si>
  <si>
    <t>Narrow bandpass single layer frequency selective surfaces</t>
  </si>
  <si>
    <t>10.1049/el:19930475</t>
  </si>
  <si>
    <t>2-s2.0-0027585451</t>
  </si>
  <si>
    <t>['¬© 1993', 'voltage sources', 'uniaxial substrate', 'rights reserved', 'resulting expressions', 'reduced analytically', 'procedure used', 'originally developed', 'new sources', 'isotropic substrate', 'isotropic case', 'finite number', 'electrical engineers', 'coaxial probe']</t>
  </si>
  <si>
    <t>Antenna feeders | Electromagnetic field theory</t>
  </si>
  <si>
    <t>A coaxial feed located in a uniaxial substrate between two finite parallel conductors is reduced analytically into a finite number of voltage sources over the coaxial probe. The procedure used is the same as originally developed for an isotropic substrate. The resulting expressions for both the new sources and the separated admittance component are interpreted by comparison with the isotropic case. ¬© 1993, The Institution of Electrical Engineers. All rights reserved.</t>
  </si>
  <si>
    <t>679-681</t>
  </si>
  <si>
    <t>60025063;60025063</t>
  </si>
  <si>
    <t>7005545716;7003998197</t>
  </si>
  <si>
    <t>Vandenbosch, G. A.E.;Van de Capelle, A. R.</t>
  </si>
  <si>
    <t>Coaxial feed in uniaxial substrate between two finite parallel conductors</t>
  </si>
  <si>
    <t>10.1049/el:19930455</t>
  </si>
  <si>
    <t>2-s2.0-0027585489</t>
  </si>
  <si>
    <t>['¬© 1993', 'tuning stubs', 'rights reserved', 'resonant length', 'reflected field', 'phase control', 'patch size', 'patch elements', 'new approach', 'letter describes', 'electrical engineers', 'achieved simply']</t>
  </si>
  <si>
    <t>Antennas | Reflectarrays</t>
  </si>
  <si>
    <t>Microstrip reflectarrays tyically use tuning stubs on each element to adjust the phase of the reflected field. This Letter describes a new approach in which the need for tuning stubs is eliminated and phase control is achieved simply by adjusting the resonant length of the patch elements. The advantages of this approach are described, as are a full-wave analysis technique for computing the phase of the reflected field as a function of patch size and a design curve giving the change in patch size for a desired reflected field phase shift. ¬© 1993, The Institution of Electrical Engineers. All rights reserved.</t>
  </si>
  <si>
    <t>657-658</t>
  </si>
  <si>
    <t>60014313;60022476</t>
  </si>
  <si>
    <t>7006061921;6603673086</t>
  </si>
  <si>
    <t>Pozar, D. M.;Metzler, T. A.</t>
  </si>
  <si>
    <t>Boulder;Amherst MA</t>
  </si>
  <si>
    <t>Ball Aerospace;University of Massachusetts Amherst</t>
  </si>
  <si>
    <t>60022476;60014313</t>
  </si>
  <si>
    <t>Analysis of a reflectarray antenna using microstrip patches of variable size</t>
  </si>
  <si>
    <t>10.1049/el:19930440</t>
  </si>
  <si>
    <t>2-s2.0-0027585887</t>
  </si>
  <si>
    <t>['verification tests', 'space antennae', 'ritz method', 'mode shapes', 'method described', 'immediate application', 'dynamic analysis']</t>
  </si>
  <si>
    <t>An accurate analytical method is described for establishing initial stress distributions in corner-tensioned rectangular membranes. With the stress distributions available it is shown how the Rayleigh-Ritz method is employed to obtain membrane free vibration frequencies and mode shapes. The initial stress distributions are obtained by the superposition of three judiciously chosen Airy stress functions. Verification tests are performed to demonstrate that this general computational method gives results in agreement with known classical problems where uniform edge loading is employed. The method described has immediate application in the static and dynamic analysis of large membranes proposed for space antennae. ¬© 1993 Academic Press Limited.</t>
  </si>
  <si>
    <t>489-501</t>
  </si>
  <si>
    <t>0022460X</t>
  </si>
  <si>
    <t>Journal of Sound and Vibration</t>
  </si>
  <si>
    <t>60028897;100764096</t>
  </si>
  <si>
    <t>24284025100;7202911838</t>
  </si>
  <si>
    <t>Gorman, D. J.;Singhal, R. K.</t>
  </si>
  <si>
    <t>University of Ottawa;Canadian Space Agency</t>
  </si>
  <si>
    <t>Gorman D.</t>
  </si>
  <si>
    <t>A superposition-rayleigh-ritz method for free vibration analysis of non-uniformly tensioned membranes</t>
  </si>
  <si>
    <t>S0022460X83711351</t>
  </si>
  <si>
    <t>10.1006/jsvi.1993.1135</t>
  </si>
  <si>
    <t>2-s2.0-0027576567</t>
  </si>
  <si>
    <t>['¬© 1993', 'successfully tested', 'rights reserved', 'radiating elements', 'monolithic chip', 'line medium', 'film microstrip', 'face circuitry', 'electrical isolation', 'electrical engineers', 'back face']</t>
  </si>
  <si>
    <t>Active antennas | Microstrip antennas | Microwave integrated circuits</t>
  </si>
  <si>
    <t>A technique is described for using the back face of a monolithic chip to realise integrated radiating elements. By using the thin-film microstrip (TFMS) transmission-line medium, electrical isolation between the radiating elements and the front-face circuitry is achieved. Through-GaAs via holes are used to interconnect the radiating elements and the TFMS feed lines. A 35 GHz prototype monolithic antenna has been successfully tested. ¬© 1993, The Institution of Electrical Engineers. All rights reserved.</t>
  </si>
  <si>
    <t>816-818</t>
  </si>
  <si>
    <t>Robertson, I. D.</t>
  </si>
  <si>
    <t>Robertson I.</t>
  </si>
  <si>
    <t>Millimetre-wave back-face patch antenna for multilayer MMICs</t>
  </si>
  <si>
    <t>10.1049/el:19930545</t>
  </si>
  <si>
    <t>2-s2.0-0027582770</t>
  </si>
  <si>
    <t>['tightly bound', 'psii particles', 'psii core', 'previously demonstrated', 'photoinhibitory conditions', 'phosphorylation state', 'partial protection', 'membranes photoinhibited', 'kda phosphoprotein', 'grana membranes', 'd2 proteins', 'appressed regions', '1304 ).', '10 min']</t>
  </si>
  <si>
    <t>Chlorophyll-protein complex (detachment) | Phosphoprotein (9 kDa) | Photoinhibition | Photosystem II core (phosphorylation heterogeneity)</t>
  </si>
  <si>
    <t>The presence of heterogeneity in phosphorylated PSII core populations in grana membranes of spinach (Spinacia oleracea L.) was previously demonstrated (Giardi et al., 1991, Biochem. Biophys. Res. Commun. 176, 1298-1304). The effect of photoinhibitory conditions on the distribution of these phosphorylated PSII core populations in thylakoids and PSII particles has been investigated. The sensitivity of the PSII core to strong illumination depended on the phosphorylation state of D1 and D2 proteins as well as on the content of the 9-kDa PsbH phosphoprotein. When D1 and D2 proteins are under-phosphorylated, the 9-kDa phosphoprotein is tightly bound to the PSII core; thus, a partial protection from photoinhibition is observed. Of the different PSII core populations isolated from membranes photoinhibited for 10 min, the highly phosphorylated populations lack internal antennae CP43 and CP47; perhaps these migrate out to the non-appressed regions of thylakoids. The degradation of the D1 protein seems to follow the disassembly of the PSII core. ¬© 1993 Springer-Verlag.</t>
  </si>
  <si>
    <t>Giardi, Maria T.</t>
  </si>
  <si>
    <t>Consiglio Nazionale delle Ricerche</t>
  </si>
  <si>
    <t>Giardi M.</t>
  </si>
  <si>
    <t>Phosphorylation and disassembly of the photosystem II core as an early stage of photoinhibition</t>
  </si>
  <si>
    <t>10.1007/BF00195681</t>
  </si>
  <si>
    <t>2-s2.0-0001677316</t>
  </si>
  <si>
    <t>['uniaxial substrate', 'superstrate layers', 'superstrate geometry', 'resonant frequency', 'provide information', 'patch antenna', 'numerical results', 'also discussed']</t>
  </si>
  <si>
    <t>The solution to the problem of scattering from a rectangular microstrip patch antenna in a uniaxial substrate-superstrate geometry is derived, which can provide information about the radar cross section (RCS) and resonant frequency of the patch antenna. Numerical results for the effect of the positive and negative uniaxial anisotropy in the substrate and superstrate layers, respectively, on these characteristics are shown. The conditions for possible RCS reductions are also discussed.</t>
  </si>
  <si>
    <t>180-187</t>
  </si>
  <si>
    <t>Proceedings of the National Science Council, Republic of China, Part A: Physical Science and Engineering</t>
  </si>
  <si>
    <t>35460663000;7004026337</t>
  </si>
  <si>
    <t>Wong, Kin Lu;Row, Jeen Sheen</t>
  </si>
  <si>
    <t>Radar cross section and resonance of a rectangular microstrip patch antenna in a uniaxially anisotropic substrate-superstrate geometry</t>
  </si>
  <si>
    <t>2-s2.0-0027588572</t>
  </si>
  <si>
    <t>['radiation analyses', 'previous results', 'necessarily limited', 'microstrip antenna', 'many comparisons', 'ground plane', 'explicitly given', 'ellipticity ratio', 'analytical formulations', 'actual environments']</t>
  </si>
  <si>
    <t>Circular polarization | Conducting plane | Patch antenna | Printed antenna | Radiation pattern | Wave diffraction</t>
  </si>
  <si>
    <t>Most radiation analyses of microstrip antenna are based on the assumption of an infinite ground plane. Actual environments are different, and the ground plane is necessarily limited. In this paper, we show the influence of the dimensions and the shape of the support. Analytical formulations are explicitly given. Many comparisons between theory and experimentation are presented. Next, we apply the previous results to the case of a circularly polarized antenna, in order to optimize the ellipticity ratio. ¬© 1993 Springer-Verlag.</t>
  </si>
  <si>
    <t>319-329</t>
  </si>
  <si>
    <t>60008447;60008447;100478839;60008447</t>
  </si>
  <si>
    <t>6601978312;6507288556;6602924332;7006402070</t>
  </si>
  <si>
    <t>Vaudon, Patrick;Aubreton, Thierry;Dufrane, Philippe;Jecko, Bernard</t>
  </si>
  <si>
    <t>Limoges;Limoges</t>
  </si>
  <si>
    <t>Universite de Limoges;C.R.E.A.P.E.</t>
  </si>
  <si>
    <t>60008447;100478839</t>
  </si>
  <si>
    <t>Vaudon P.</t>
  </si>
  <si>
    <t>Influence of the ground plane structure on the radiation pattern of microstrip antennas</t>
  </si>
  <si>
    <t>10.1007/BF02995741</t>
  </si>
  <si>
    <t>2-s2.0-0027589771</t>
  </si>
  <si>
    <t>['transverse magnetic', 'transverse electric', 'radiation pattern', 'plane waves', 'longitudinal slot', 'done using', 'computed using', 'characteristic modes', 'characteristic currents', 'aperture problems']</t>
  </si>
  <si>
    <t>The problem of scattering from and penetration into a dielectric filled conducting cylinder with longitudinal slot is considered in this paper. The study is done using the characteristic mode theory for aperture problems. The slot is assumed to be illuminated by transverse electric (TE) and transverse magnetic (TM) plane waves. The characteristic modes, which are computed using the method of moments, provide numerical solution of the characteristic currents and fields, the equivalent magnetic current, and the radiation pattern.</t>
  </si>
  <si>
    <t>137-142</t>
  </si>
  <si>
    <t>60068761;60068761;60068761</t>
  </si>
  <si>
    <t>7006960314;7006586247;7201653432</t>
  </si>
  <si>
    <t>Kabalan, Karim Y.;El-Hajj, Ali;Harrington, Roger F.</t>
  </si>
  <si>
    <t>Lebanon</t>
  </si>
  <si>
    <t>Beirut</t>
  </si>
  <si>
    <t>American University of Beirut</t>
  </si>
  <si>
    <t>Kabalan K.</t>
  </si>
  <si>
    <t>Scattering and penetration characteristic mode for a dielectric filled conducting cylinder with longitudinal slot</t>
  </si>
  <si>
    <t>2-s2.0-0027589826</t>
  </si>
  <si>
    <t>['two patches', 'two parameters', 'top patch', 'moment method', 'measured results', 'maximum gain', 'comparing calculated', 'analyzed theoretically']</t>
  </si>
  <si>
    <t>The moment method is used to solve the integral equations describing rectangular microstrip backfire antennas. After checking the accuracy by comparing calculated and measured results, the effect of the top patch is analyzed theoretically, especially the variation of impedance and gain with two parameters, the distance between the two patches and the size of the top patch. A configuration with maximum gain is determined.</t>
  </si>
  <si>
    <t>162-166</t>
  </si>
  <si>
    <t>Vandenbosch, Guy A.E.;Van de Capelle, Antoine R.</t>
  </si>
  <si>
    <t>Theoretical study of the rectangular microstrip backfire antenna</t>
  </si>
  <si>
    <t>2-s2.0-0027589915</t>
  </si>
  <si>
    <t>['variant frequency', 'trellis codes', 'three methods', 'simulation results', 'selective two', 'prime importance', 'potential benefits', 'new method', 'multipath diversity', 'mfg results', 'mfb based', 'making use', 'lower bound', 'leaved trellis', 'include transmission', 'implicit time', 'illuminating examples', 'ideal conditions', 'gsm rayleigh', 'fading environment', 'eigenvalue approach', 'concluding remarks', 'coded modulation', 'analysis extended']</t>
  </si>
  <si>
    <t>Transmission of trellis-coded digital information over time-variant frequency-selective multipath radio channels leads to receiver design considerations and bit error characteristics fundamentally different from those of links using static channels. Making use of diversity is of prime importance in a fading environment. Explicit antenna diversity, implicit time diversity from inter-leaved trellis-coded modulation, and implicit multipath diversity via energy detection/equalization are three methods of transmission quality enhancement that can be jointly employed without loss of power and bandwidth. The matched filter bound (MFB) is a lower bound on the average bit error rate under ideal conditions, i.e. perfect channel estimation, interleaving, and equalization. In this paper, a new method of evaluating the MFB based on an eigenvalue approach is presented and the analysis extended to include transmission of trellis-coded linearly modulated signals over selective diversity channels having arbitrary fading multipath profiles. MFG results are generated for a number of illuminating examples (trellis codes with effective code lengths up to 5, selective two-ray and GSM Rayleigh as well as flat Rician channels) that demonstrate the potential benefits of implicit time and multipath diversity. Some simulation results are presented giving rise to concluding remarks on the tightness of the bound.</t>
  </si>
  <si>
    <t>109-120</t>
  </si>
  <si>
    <t>European transactions on telecommunications and related technologies</t>
  </si>
  <si>
    <t>Matched filter bound for trellis-coded transmission over frequency-selective fading channels with diversity</t>
  </si>
  <si>
    <t>2-s2.0-0027590052</t>
  </si>
  <si>
    <t>['voltage levels', 'voltage induced', 'vcc planes', 'slower transients', 'simplified model', 'power planes', 'power conductors', 'one state', 'multilayered boards', 'model includes', 'integrated circuits', 'inductive effects', 'g .,', 'existing literature', 'dielectric filling', 'considered primarily', 'circuit connected', 'circuit board', 'chips ),', 'attributed solely', '1 ns']</t>
  </si>
  <si>
    <t>The delta-I noise is the phenomenon of the voltage induced between the power conductors (e.g., the ground and the Vcc planes) when a circuit connected between them switches from one state to another. This noise can endanger the performance of other circuits on the same chip or the printed-circuit board. In the existing literature, the noise has been considered primarily for integrated circuits, and it has been attributed solely to inductive effects. In this paper we show that the physics of the noise is more complex, and that it is related to the wave propagating effects. The delta-I noise should be present not only on integrated circuits (chips), but also on multilayered boards, where this noise should be pronounced when the transients are of the order of 1 ns or less. The investigations of the delta-I noise are carried out on a simplified model of power planes, using a wire-antenna numerical simulation program. The model includes the wave propagation effects, as well as radiation, but it does not include the effects of the dielectric filling out the space between the planes. The results of the analysis clearly show that the inductive effects are important only for slower transients. However, for fast digital circuits the power planes actually form a resonator, which can have a high quality factor, and the delta-I noise can build up to very high-voltage levels.</t>
  </si>
  <si>
    <t>134-147</t>
  </si>
  <si>
    <t>2 pt 1</t>
  </si>
  <si>
    <t>7005436133;55650323300</t>
  </si>
  <si>
    <t>Djordjevic, Antonije R.;Sarkar, Tapan Kumar</t>
  </si>
  <si>
    <t>Djordjevic A.</t>
  </si>
  <si>
    <t>Investigation of delta-I noise on integrated circuits</t>
  </si>
  <si>
    <t>10.1109/15.229427</t>
  </si>
  <si>
    <t>2-s2.0-0027590370</t>
  </si>
  <si>
    <t>['waveguides used', 'top surface', 'test setup', 'silicon waveguides', 'silicon waveguide', 'rectangular slabs', 'rectangular grating', 'radiation characteristics', 'radiation angle', 'radiating antenna', 'radiated power', 'periodic perturbations', 'paper concerns', 'grating theory', 'frequencies around', 'duty cycle', 'dispersion relation', 'cm ).', 'attenuation constant', '95 ghz', '8 mm', '41 mm', '35 mm', '3 mm', '000 ohm']</t>
  </si>
  <si>
    <t>This paper concerns the surface emitting characteristics of silicon waveguides in the millimeter-wave frequency band. The waveguides used in the experiment are rectangular slabs of high resistivity silicon (30,000 ohm-cm). A series of periodic perturbations on the waveguide surface provide a radiating antenna. A rectangular grating with a period of Œõ=1.8 mm, a height of 0.35 mm, and a duty cycle of 0.46 was sawn into the top surface of a silicon waveguide with a width of 3 mm and a height of 1.41 mm. Experiments were performed to measure the attenuation, dispersion and the radiation characteristics of the waveguides. The test setup was used to monitor the frequency, radiation angle, and the radiated power. Measurements are made over a band of frequencies around the second Bragg frequency. The detector was scanned from 88-95 GHz and changes were observed in the attenuation constant, dispersion relation and the far field radiation pattern. From these results we were able to verify the grating theory. ¬© 1993 Plenum Publishing Corporation.</t>
  </si>
  <si>
    <t>1047-1053</t>
  </si>
  <si>
    <t>6506249757;23023869000;57219303933;7403735426;7403925028</t>
  </si>
  <si>
    <t>Urimindi, N.;Yeh, C. S.;Liu, J.;Evans, G. A.;Butler, J. K.</t>
  </si>
  <si>
    <t>Urimindi N.</t>
  </si>
  <si>
    <t>Surface emitting characteristics of silicon waveguides</t>
  </si>
  <si>
    <t>10.1007/BF02084579</t>
  </si>
  <si>
    <t>2-s2.0-0027590504</t>
  </si>
  <si>
    <t>['two methods', 'sized clouds', 'screening effect', 'radar reflectivity', 'perceptibly limits', 'incident field', 'hundred elements', 'fine analysis', 'field scattered', 'electromagnetic cause', 'diffraction phenomena', 'coupling effects', 'average rcs', 'approximate expressions']</t>
  </si>
  <si>
    <t>Attenuation | Backscattering | Cross section | Dipole | Electromagnetic coupling | Electromagnetic wave | Electronic countermeasure | Reflectivity | Statistical method | Wave scattering</t>
  </si>
  <si>
    <t>This paper describes investigations relative to the radar reflectivity of a cloud of dipoles. Two methods of analytical calculation allowing a description of the field scattered by a dipole are discussed, and some approximate expressions of the average radar crosssection (rcs) of a cloud are established. A fine analysis of diffraction phenomena and a power assessment make it possible to isolate the various electromagnetic disturbances (interference and coupling effects) and to model the attenuation of the incident field in the cloud, i.e. the screening effect. A statistical averaging software, tested with about a hundred elements, shows that the screening effect is the only electromagnetic cause which perceptibly limits the average rcs of a cloud. A faster calculation technique then makes it possible to specify its influence on some real-sized clouds. ¬© 1993 Springer-Verlag.</t>
  </si>
  <si>
    <t>305-318</t>
  </si>
  <si>
    <t>Pouliguen, Philippe</t>
  </si>
  <si>
    <t>Bruz</t>
  </si>
  <si>
    <t>CELAR Centre d'√âlectronique de l'Armement</t>
  </si>
  <si>
    <t>Complete modelling of electromagnetic scattering by a cloud of dipoles</t>
  </si>
  <si>
    <t>10.1007/BF02995740</t>
  </si>
  <si>
    <t>2-s2.0-0027593647</t>
  </si>
  <si>
    <t>['spectral dependence', 'spectral characteristics', 'space carrier', 'second method', 'sbmm waveband', 'oversized drops', 'overcooled state', 'hail embryons', 'drops drowth', 'corresponding hardware', 'convective cloud', 'combined passive', 'backscatter coefficient', 'antenna beamwidth', 'anomalous backscatter', 'active radar', 'absorption coefficient', '12 wavelength']</t>
  </si>
  <si>
    <t>Two detection methods of hail embryons in a cloud are discussed in the paper: combined passive/active and purely active sensing of a convective cloud from board of air or space carrier. The first method makes it possible to determine the spectral dependence of absorption coefficient by oversized drops in convective cloud in the millimeter (MM) and submillimeter (SbMM) wavebands. With this purpose a highly sensitive 16-channel Dicke radiometer is used. In the second method a multiwave (12 wavelength) active radar is used to determine the spectral dependence of backscatter coefficient in the same wavebands. Variation of these spectral characteristics in time makes possible the detection of physical processes taking place in a cloud, such as drops drowth and evaporation, as well as transition of oversized drops into the overcooled state. The instant of water/ice phase transition in oversized drops is determined in both methods by means of active radar in SbMM waveband (in the transparency "window" of ice and atmosphere, 0.64 mm). Corresponding hardware, antennas, and wavelengths are considered for active/passive and purely active sensind of clouds. The effect of antenna beamwidth in SbMM on anomalous backscatter is discussed. ¬© 1993 Plenum Publishing Corporation.</t>
  </si>
  <si>
    <t>1155-1174</t>
  </si>
  <si>
    <t>60070846;60070846</t>
  </si>
  <si>
    <t>6602971790;6602971789</t>
  </si>
  <si>
    <t>Ajvazyan, H. M.;Ajvazyan, H. H.</t>
  </si>
  <si>
    <t>Armenia</t>
  </si>
  <si>
    <t>Yerevan</t>
  </si>
  <si>
    <t>National Academy of Sciences of the Republic of Armenia</t>
  </si>
  <si>
    <t>Ajvazyan H.M.</t>
  </si>
  <si>
    <t>Hail embryons detection in clouds using passive and active radars in millimeter and submillimeter wave bands</t>
  </si>
  <si>
    <t>10.1007/BF02084590</t>
  </si>
  <si>
    <t>2-s2.0-0027595347</t>
  </si>
  <si>
    <t>['two parallel', 'present theory', 'mutual admittances', 'integral equation', 'good agreement', 'current distribution']</t>
  </si>
  <si>
    <t>The integral equation of Hallen's type is employed to compute the current distribution, the self and mutual admittances of two parallel, coupled wire antennas placed horizontally above an imperfectly conducting ground. The Sommerfeld integrals incorporated in the kernel of the integral equation are evaluated by numerical integration using the method for acceleration of the convergence of slowly convergent series. Numerical results obtained by the present theory are in good agreement with those computed and measured by other authors.</t>
  </si>
  <si>
    <t>197-201</t>
  </si>
  <si>
    <t>Bozilovic, Hildegard A.</t>
  </si>
  <si>
    <t>Bozilovic H.</t>
  </si>
  <si>
    <t>Analysis of two horizontal, coupled dipoles above an imperfectly conducting ground</t>
  </si>
  <si>
    <t>2-s2.0-0027595710</t>
  </si>
  <si>
    <t>['various radii', 'variational method', 'variational expression', 'theoretical results', 'resonant frequency', 'q value', 'present analysis', 'measured date', 'evaluated analytically', 'dyadic green', 'cpu time', 'circular waveguide']</t>
  </si>
  <si>
    <t>A slotted tube resonator, (STR) having a shield of conducting circular cylinder which is used as a probe for the magnetic resonance imaging (MRI) is analyzed by using the variational method and the dyadic Green's function of a circular waveguide. Three surface current modes are employed to expand the currents on the STR. Quadruple integrals appearing in the variational expression are evaluated analytically for saving the CPU time. Resonant frequency, Q value and the magnitude of magnetic field distributions for various radii of the shields are obtained to show the effects of the shield. Some measured date are compared with the theoretical results to confirm the validity of the present analysis.</t>
  </si>
  <si>
    <t>553-560</t>
  </si>
  <si>
    <t>55510756000;35598806700;56779495700;7202510192;55680530400</t>
  </si>
  <si>
    <t>Chen, Qiang;Sawaya, Kunio;Adachi, Saburo;Ochi, Hisaaki;Yamamoto, Etsuji</t>
  </si>
  <si>
    <t>Chen Q.</t>
  </si>
  <si>
    <t>Analysis of MRI slotted tube resonator having a shield of conducting circular cylinder</t>
  </si>
  <si>
    <t>2-s2.0-0027599601</t>
  </si>
  <si>
    <t>['slot radiator', 'investigated using', 'complex shape']</t>
  </si>
  <si>
    <t>The effect of bodies of complex shape on the electromagnetic field produced by a slot radiator is investigated using the example of an ideally conducting cube.</t>
  </si>
  <si>
    <t>Gabrielyan, D. D.</t>
  </si>
  <si>
    <t>Gabrielyan D.D.</t>
  </si>
  <si>
    <t>Radiation of an elementary slot in an ideally conducting polygon</t>
  </si>
  <si>
    <t>2-s2.0-0027605297</t>
  </si>
  <si>
    <t>['upper part', 'single conductor', 'poorly matched', 'operating characteristics', 'frequency characteristic', 'exhibits dips', 'conductor lines', 'communication antennas', 'antenna system', '1000 km']</t>
  </si>
  <si>
    <t>In low- and medium-power dekameter radio stations balanced dipole antennas made from a single conductor are used as local-communication antennas with a radius of operation of up to 1000 km. These antennas, while possessing good operating characteristic, nevertheless are poorly matched over the operating frequency band and exhibits dips in the frequency characteristic of the gain in the upper part of the operating frequency band. An improvement in the broadband properties without appreciably degrading the operating characteristics of the antenna can be achieved by introducing several feeder points. In this paper, to simplify the construction of the antenna system, a version of the antenna with two feed points which can be constructed in practice using sections of two-conductor lines is proposed and, hence, the prototype is investigated. Results of the investigation are presented.</t>
  </si>
  <si>
    <t>44-46</t>
  </si>
  <si>
    <t>6508204663;6507926801;6506429758;6603699283;7003764514;6506580523;6508351139</t>
  </si>
  <si>
    <t>Al'khovskiy, E. A.;Berezhnaya, I. V.;Grishin, K. V.;Il'inskiy, A. S.;Kondrat'yev, A. G.;Perfilov, O. Yu;Teplyashin, V. I.</t>
  </si>
  <si>
    <t>Al'khovskiy E.</t>
  </si>
  <si>
    <t>Investigation of a broadband dekameter local-communications mast antenna for mobile systems</t>
  </si>
  <si>
    <t>2-s2.0-0027605301</t>
  </si>
  <si>
    <t>['widely used', 'well known', 'see fig', 'radiation patterns', 'radiating current', 'practical calculations', 'methods based', 'main features', 'important role', 'exact distribution', 'diverging beams', 'decimeter band', 'complimentary principle', 'approximate ones', 'approximate methods', 'antenna theory', 'antenna construction', '1 ).']</t>
  </si>
  <si>
    <t>Approximate methods of calculating radiation patterns play an important role in antenna theory. They are widely used in practical calculations and also for investigating the main features of how the radiation properties depend on the antenna construction. Methods based on replacing the exact distribution of the radiating current by approximate ones are well known in practice for all types of antennas. Plane antennas constructed on the self-complimentary principle are an exception to this. These antennas, with triangular plane dipoles, forming an array of the 'checkboard' type are widely used in the decimeter band. To reduce the weight and sail-effect, the arms of the dipoles are constructed in the form of diverging beams of conductors (plane fan dipoles, see Fig. 1). In this paper we derive approximate formulas for calculating the radiation patterns of such dipoles.</t>
  </si>
  <si>
    <t>47-51</t>
  </si>
  <si>
    <t>Zhurbenko, E. M.</t>
  </si>
  <si>
    <t>Zhurbenko E.</t>
  </si>
  <si>
    <t>Approximate formulas for calculating the radiation patterns of plane fan dipoles</t>
  </si>
  <si>
    <t>2-s2.0-0027605303</t>
  </si>
  <si>
    <t>['used due', 'sector antennas', 'prescribed level', 'nearby cells', 'mutual interference', 'horizontal plane', 'higher radio', 'high degree', 'given number', 'fundamental parameters', 'frequency plan', 'frequency channels', 'either 6', 'cmr network', 'cells using', 'cells comprising', 'based stations', 'achieved due', '3 sectors']</t>
  </si>
  <si>
    <t>In cellular mobile radio (CMR) networks, the distance between cells using the same frequency channels are not large [D= (3.5-5.5)Ro] and hence a higher radio-frequency spectrum utilization efficiency is achieved due to the high degree of reuse of channels in these networks. Meanwhile, the set of nearby cells in which the same frequency channels cannot be used due to mutual interference is referred to as a cluster, while the number of cells comprising a cluster is referred to as its size. Antennas that are non-directional in a horizontal plane as well as sector antennas may used as based stations. When sector antennas are used, each cell is divided into either 6 or 3 sectors with different frequency channels required for use in each sector. In this paper, a procedure for determining the fundamental parameters of the frequency plan for the CMR network which will make it possible to service a given number of subscribers at a prescribed level of quality is described.</t>
  </si>
  <si>
    <t>13-17</t>
  </si>
  <si>
    <t>Bykhovskiy, M. A.</t>
  </si>
  <si>
    <t>Bykhovskiy M.</t>
  </si>
  <si>
    <t>Frequency planning for cellular mobile radio networks</t>
  </si>
  <si>
    <t>2-s2.0-0027605306</t>
  </si>
  <si>
    <t>['wide range', 'shortened radiators', 'end stub']</t>
  </si>
  <si>
    <t>Relations are obtained for the width of the operating frequency band of two-element director antennas constructed from shortened radiators as a function of the value of the shortening for different shortening mechanisms. It is shown that the reduction in the operating frequency band of antennas of inductively loaded dipoles is close to linear over a wide range of variation of the radius of the conductor. The advantage in bandwidth of antennas made using dipoles with an end stub is investigated.</t>
  </si>
  <si>
    <t>107-109</t>
  </si>
  <si>
    <t>6507956071;6506449033;56023353900</t>
  </si>
  <si>
    <t>Kuryshev, K. N.;Lavrenko, E. Yu;Sugak, M. I.</t>
  </si>
  <si>
    <t>Kuryshev K.</t>
  </si>
  <si>
    <t>Bandwidth of shortened two-element director antennas</t>
  </si>
  <si>
    <t>2-s2.0-0027605307</t>
  </si>
  <si>
    <t>['variational method', 'transmission coefficient', 'precipitation present', 'numerical calculations', 'input impedance', 'dielectric covering']</t>
  </si>
  <si>
    <t>The problem of the radiation of an infinite plane phased antenna array with a dielectric covering when there is a film of precipitation present is solved by a variational method. Expressions are obtained for the input impedance of an element of the array and for the transmission coefficient through the coating. The results of numerical calculations are given.</t>
  </si>
  <si>
    <t>99-102</t>
  </si>
  <si>
    <t>23993993200;57214354312;6506851458</t>
  </si>
  <si>
    <t>Knyazev, S. T.;Nechayev, Yu B.;Fadeyev, A. S.</t>
  </si>
  <si>
    <t>Knyazev S.</t>
  </si>
  <si>
    <t>Effect of atmospheric precipitation on the characteristics of a phased antenna array</t>
  </si>
  <si>
    <t>2-s2.0-0027605313</t>
  </si>
  <si>
    <t>['wider class', 'variable impedance', 'synthesizing antennas', 'special case', 'somewhat complicating', 'small modulation', 'single system', 'modulation obtained', 'long length', 'loads xd', 'double system', 'designing antennas', 'appropriate choice', '3 ].', '2 ].', '1 ],', '1 ).']</t>
  </si>
  <si>
    <t>A method of synthesizing a loaded ladder structure, namely, a line of the 'conductor-above-the-ground' type with a double system of loading is described in [1], in which practically any specified current distribution can be obtained by an appropriate choice of the loads xd and dd (Fig. 1). to simplify the construction, a structure was introduced with a single system of loads, but having a variable impedance [2]. Finally, a method was developed for designing antennas with a small modulation of the impedance when there are no loads for the special case of a traveling current wave [3]. In this paper our purpose is to set up a method of synthesizing antennas of the 'conductor-above-the-ground' type having a long length with a small modulation, with the possibility of obtaining a wider class of current distribution functions than in [3] by somewhat complicating the type of modulation obtained when synthesizing the lines.</t>
  </si>
  <si>
    <t>37-43</t>
  </si>
  <si>
    <t>7003963010;6603947365</t>
  </si>
  <si>
    <t>Tereshin, O. N.;Akimkin, V. A.</t>
  </si>
  <si>
    <t>Tereshin O.</t>
  </si>
  <si>
    <t>Determination of the variation of the impedance along a line of the 'conductor-above-the ground' type for a given current distribution function for a line of long electrical length</t>
  </si>
  <si>
    <t>2-s2.0-0027605315</t>
  </si>
  <si>
    <t>['phase distribution', 'phase calculator', 'high speed', 'discrete phasing', 'block diagram']</t>
  </si>
  <si>
    <t>An algorithm for calculating the phase distribution of a two-dimensional phased antenna array with discrete phasing is proposed, which enables a smaller angular error in establishing the beam to be obtained. A block diagram of the construction of a phase calculator which is cheap and has a high speed of response, is given.</t>
  </si>
  <si>
    <t>103-106</t>
  </si>
  <si>
    <t>57197946916;6701329352</t>
  </si>
  <si>
    <t>Abramov, A. A.;Chernyakov, M. S.</t>
  </si>
  <si>
    <t>Abramov A.</t>
  </si>
  <si>
    <t>Method of increasing the direction-finding accuracy in a phased antenna array with discrete phasing</t>
  </si>
  <si>
    <t>2-s2.0-0027605316</t>
  </si>
  <si>
    <t>['wide introduction', 'subscriber stations', 'single antenna', 'recent years', 'problems involved', 'presented designers', 'individual use', 'baricentric method']</t>
  </si>
  <si>
    <t>The trend, observed in recent years, towards the wide introduction of direct satellite television broadcasting systems has presented designers with the problem of extending the functions of subscriber stations for collective and individual use, including the possibility of simultaneously receiving programs from several satellites without having to redirect the antenna, receiving several frequency bands using a single antenna, and using portable antenna mirrors. In this paper we consider the problems involved in constructing such multifunctional receiving antennas for direct satellite television broadcasting and also the baricentric method of calculating their parameters.</t>
  </si>
  <si>
    <t>30-36</t>
  </si>
  <si>
    <t>6602873460;57197137801;7103302590</t>
  </si>
  <si>
    <t>Gryanik, M. V.;Medvedev, E. P.;Tarasenko, V. V.</t>
  </si>
  <si>
    <t>Gryanik M.</t>
  </si>
  <si>
    <t>Multifunctional receiving antennas for direct satellite TV broadcasting</t>
  </si>
  <si>
    <t>2-s2.0-0027605317</t>
  </si>
  <si>
    <t>['wave field', 'shadow region', 'rounded edges', 'radiation pattern', 'often rounded', 'model two', 'mirror near', 'mirror close', 'mirror antenna', 'half plane', 'field structure', 'edge wave', 'dimensional problem', 'cylindrical wave']</t>
  </si>
  <si>
    <t>To reduce the far sidelobe level of the radiation pattern of a mirror antenna, the part of the mirror close to the edge is often rounded off. In this paper, the effectiveness of this method in suppressing subsidiary radiation is being investigated. The field structure of the edge wave is determined by the shape of the mirror near its edge. Hence, when calculating the edge-wave field in the shadow region, instead of solving the problem of the diffraction of the field of the radiator at the mirror with rounded edges, one can solve the model two-dimensional problem of the diffraction of a cylindrical wave by an ideally conducting cylindrical surface S, consisting of an unclosed circular cylindrical surface S0 with a half plane S couple with it.</t>
  </si>
  <si>
    <t>140-141</t>
  </si>
  <si>
    <t>7007013967;7801354537</t>
  </si>
  <si>
    <t>Pimenov, Yu V.;Uri, Ba Amadu</t>
  </si>
  <si>
    <t>Diffraction of a cylindrical electromagnetic wave by an unclosed circular cylindrical surface coupled with a half-plane</t>
  </si>
  <si>
    <t>2-s2.0-0027605320</t>
  </si>
  <si>
    <t>['walters rg', 'two states', 'theoretical predictions', 'state transitions', 'state quenching', 'residual quenching', 'reaction centre', 'quantum yield', 'photosynthetic units', 'oxygen evolution', 'operate significantly', 'one model', 'low light', 'high light', 'fluorescence quenching', 'experimental data', 'exchange energy', 'energy dissipation', 'dissipative units', 'dissipative state', 'barley leaves', 'antennae exist']</t>
  </si>
  <si>
    <t>energy dissipation | photoinhibition | photosynthesis | Photosystem II | quantum yield | state transition</t>
  </si>
  <si>
    <t>The components of non-photochemical chlorophyll fluorescence quenching (qN) in barley leaves have been quantified by a combination of relaxation kinetics analysis and 77 K fluorescence measurements (Walters RG and Horton P 1991). Analysis of the behaviour of chlorophyll fluorescence parameters and oxygen evolution at low light (when only state transitions - measured as qNt - are present) and at high light (when only photoinhibition - measured as qNi - is increasing) showed that the parameter qNt represents quenching processes located in the antenna and that qNi measures quenching processes located in the reaction centre but which operate significantly only when those centres are closed. The theoretical predictions of a variety of models describing possible mechanisms for high-energy-state quenching, measured as the residual quenching, qNe, were then tested against the experimental data for both fluorescence quenching and quantum yield of oxygen evolution. Only one model was found to agree with these data, one in which antennae exist in two states, efficient in either energy transfer or energy dissipation, and in which those photosynthetic units in a dissipative state are unable to exchange energy with non-dissipative units. ¬© 1993 Kluwer Academic Publishers.</t>
  </si>
  <si>
    <t>119-139</t>
  </si>
  <si>
    <t>57202455571;57203184101</t>
  </si>
  <si>
    <t>Walters, Robin G.;Horton, Peter</t>
  </si>
  <si>
    <t>Walters R.</t>
  </si>
  <si>
    <t>Theoretical assessment of alternative mechanisms for non-photochemical quenching of PS II fluorescence in barley leaves</t>
  </si>
  <si>
    <t>10.1007/BF00016277</t>
  </si>
  <si>
    <t>2-s2.0-34250074883</t>
  </si>
  <si>
    <t>['yellow sea', 'specimens recovered', 'second antenna', 'new species', 'korean coast', 'distal segment', 'described based', 'caudal ramus', '1 ).']</t>
  </si>
  <si>
    <t>Anthessius kimjensis n. sp. | Korea | poecilostomatoid copepod</t>
  </si>
  <si>
    <t>Anthessius kimjensis n. sp. is described based on the specimens recovered from the pelecypod Solen grandis Dunker in the Korean coast of the Yellow Sea. The new species is distinguished from congeners by having a combination of characters: setal formula II, I, 5 on distal segment of leg 4 exopod, three terminal hooks on distal segment of second antenna, and ratio of length to width on caudal ramus (2.2:1). ¬© 1993 Kluwer Academic Publishers.</t>
  </si>
  <si>
    <t>187-193</t>
  </si>
  <si>
    <t>Suh, Hae Lip</t>
  </si>
  <si>
    <t>Gwangju</t>
  </si>
  <si>
    <t>Chonnam National University</t>
  </si>
  <si>
    <t>Suh H.</t>
  </si>
  <si>
    <t>Anthessius kimjensis, a new species of Anthessiidae (Copepoda; Poecilostomatoida) associated with the pelecypod Solen grandis Dunker in Korea</t>
  </si>
  <si>
    <t>10.1007/BF00006598</t>
  </si>
  <si>
    <t>2-s2.0-34250078553</t>
  </si>
  <si>
    <t>Stichting voor de Technische Wetenschappen</t>
  </si>
  <si>
    <t>STW</t>
  </si>
  <si>
    <t>['¬© 1993', 'special attention', 'periodic antenna', 'noble metal', 'junction fabrication', 'isolating properties', 'guarantee well', 'growth conditions', 'good reproducability', 'extreme importance', 'devices consist', 'deposition temperature', 'best results', 'annealing procedures', 'anneal procedure']</t>
  </si>
  <si>
    <t>We describe the development of high-Tc Josephson junction devices for applications at millimeter wave frequencies. These devices consist of ramp type YBCO/PBCO/YBCO Josephson junctions that are equipped with a noble metal log-periodic antenna. Growth conditions of all layers, as well as etching, cleaning and annealing procedures are being optimized, to guarantee well-defined device properties. Lowering the deposition temperature of the thick PBCO layer strongly improved its isolating properties, which is of extreme importance for good reproducability of junction fabrication. Special attention is being focused on the optimization of the contact of noble metal to YBCO as well its adhesion to the substrate. Best results are obtained using sputtered gold contacts, after a soft Ar ion sputter clean treatment of the damaged YBCO surface, followed by an anneal procedure. ¬© 1993.</t>
  </si>
  <si>
    <t>719-722</t>
  </si>
  <si>
    <t>Journal of Alloys and Compounds</t>
  </si>
  <si>
    <t>60020599;60020599;60020599;60020599;60020599;60020599</t>
  </si>
  <si>
    <t>7003899725;7003455129;6602497039;7103272273;7004587640;7006727968</t>
  </si>
  <si>
    <t>Terpstra, D.;Rijnders, A. J.H.M.;Roesthuis, F. J.G.;Blank, D. H.A.;Gerritsma, G. J.;Rogalla, H.</t>
  </si>
  <si>
    <t>Enschede</t>
  </si>
  <si>
    <t>Universiteit Twente</t>
  </si>
  <si>
    <t>Terpstra D.</t>
  </si>
  <si>
    <t>Fabrication aspects of microwave devices, including ramp-type high-Tc Josephson junctions and log-periodic antennas</t>
  </si>
  <si>
    <t>092583889390838E</t>
  </si>
  <si>
    <t>10.1016/0925-8388(93)90838-E</t>
  </si>
  <si>
    <t>2-s2.0-0027591781</t>
  </si>
  <si>
    <t>['surface preparation', 'sensitive transducers', 'radiative losses', 'magnitude increase', 'magnetic losses', 'entrant cavities', 'electromechanical coupling', 'conventional designs', '2 k']</t>
  </si>
  <si>
    <t>We report a study of the effects of geometry and surface preparation in 10 GHz superconducting niobium re-entrant cavities for use as ultra-sensitive transducers. The balance between surface dielectric losses, radiative losses, and magnetic losses is analysed. An unloaded electrical Q of 6.5 x 105was obtained at 4.2 K. Compared with conventional designs, a wide re-entrant post produces almost an order of magnitude increase in the electromechanical coupling. ¬© 1993 IOP Publishing Ltd.</t>
  </si>
  <si>
    <t>804-809</t>
  </si>
  <si>
    <t>Journal of Physics D: Applied Physics</t>
  </si>
  <si>
    <t>60031806;60031806;60031806;60031806</t>
  </si>
  <si>
    <t>6508355353;8682074600;7201627826;22974326500</t>
  </si>
  <si>
    <t>Mittoni, L. J.;Linthorne, N. P.;Mann, A. G.;Blair, D. G.</t>
  </si>
  <si>
    <t>The University of Western Australia</t>
  </si>
  <si>
    <t>Mittoni L.</t>
  </si>
  <si>
    <t>Optimization of superconducting re-entrant cavities for transducer applications</t>
  </si>
  <si>
    <t>10.1088/0022-3727/26/5/013</t>
  </si>
  <si>
    <t>2-s2.0-0027590167</t>
  </si>
  <si>
    <t>Technion-Israel Institute of Technology</t>
  </si>
  <si>
    <t>['¬© 1993', 'well defined', 'time dependence', 'strong squeezing', 'ss ).', 'squeezed vacuum', 'number state', 'new kind', 'manifested mainly', 'level atom', 'initially equal', 'initial field', 'imaginary parts', 'expectation value', 'dipole moment', 'different dependence', 'defined phase', 'cummings model', 'coherent fields', 'coherent field', 'chaotic field']</t>
  </si>
  <si>
    <t>We investigate the difference between the time dependence of the real and imaginary parts of the expectation value of the complex dipole moment (&lt;≈úx&gt;) and (&lt;≈úy&gt;) of a two-level atom in a Jaynes-Cummings model. We find that this difference is controlled by the phase of the initial field state as well as by the phase of the initial atomic dipole. We find that if the two expectation values of the dipole moment are initially equal, a different dependence on time is achieved only if the phase of the initial field is well defined. This is demonstrated by calculating the real and imaginary parts of the dipole moment with different initial states of the field. The initial electromagnetic states investigated are: number state, chaotic field, coherent field, squeezed vacuum (SV) and displaced squeezed states (SS). We associate the phase of SS with two-photon phase operators and in this way we get a well defined phase for SV and "displaced phase SS" with strong squeezing. The difference between SS with a well-defined phase and coherent fields is manifested mainly in the damping of revivals and oscillations for strong squeezing. For cases in which the phase of SS is well defined a new kind of "damping" for the dipole moment occurs which is different for the real and imaginary dipole components. We discuss some possibilities for measuring these effects. ¬© 1993.</t>
  </si>
  <si>
    <t>123-134</t>
  </si>
  <si>
    <t>Optics Communications</t>
  </si>
  <si>
    <t>57213503042;55776276400;7004799884</t>
  </si>
  <si>
    <t>Cohen, Donita;Mann, A.;Ben-Aryeh, Y.</t>
  </si>
  <si>
    <t>Cohen D.</t>
  </si>
  <si>
    <t>Phase effect for atomic dipoles in a Jaynes-Cummings model with various initial electromagnetic fields</t>
  </si>
  <si>
    <t>003040189390715H</t>
  </si>
  <si>
    <t>10.1016/0030-4018(93)90715-H</t>
  </si>
  <si>
    <t>2-s2.0-0027595533</t>
  </si>
  <si>
    <t>['¬© 1993', 'intact cells', 'green bacterium', 'first time', 'directly detected', 'chlorobium limicola', 'bchl c', 'absorption system', '830 cm', '774 nm', '100 cm', '0 band']</t>
  </si>
  <si>
    <t>Chlorobium limicola cell | Energy transfer | Light-harvesting antenna | Pigment oligomerization</t>
  </si>
  <si>
    <t>Spectral hole burning studies of intact cells of the green bacterium, Chlorobium limicola, have proven that the Qy-absorption system of antenna bacteriochlorophyll c (BChl c) should be interpreted in terms of the delocalized exciton level structure of an oligomer. For the first time the 0-0 band of the lowest exciton state of BChl c oligomers has been directly detected as the lowest energy inhomogeneously broadened band (FWHM -100 cm-1; position of maximum, at ~774 nm) of the near-infrared BChl c band of 1.8K excitation spectrum (FWHM = 830 cm-1; position of maximum, at 751 nm). ¬© 1993.</t>
  </si>
  <si>
    <t>FEBS Letters</t>
  </si>
  <si>
    <t>60007457;60068852</t>
  </si>
  <si>
    <t>7003830809;56624809700</t>
  </si>
  <si>
    <t>Fetisova, Z. G.;Mauring, K.</t>
  </si>
  <si>
    <t>Estonia;Russian Federation</t>
  </si>
  <si>
    <t>Tallinn;Moscow</t>
  </si>
  <si>
    <t>Academia Scientiarum Estoniae;Lomonosov Moscow State University</t>
  </si>
  <si>
    <t>60068852;60007457</t>
  </si>
  <si>
    <t>Fetisova Z.</t>
  </si>
  <si>
    <t>Spectral hole burning study of intact cells of green bacterium Chlorobium limicola</t>
  </si>
  <si>
    <t>001457939381470K</t>
  </si>
  <si>
    <t>10.1016/0014-5793(93)81470-K</t>
  </si>
  <si>
    <t>2-s2.0-0027245787</t>
  </si>
  <si>
    <t>['wild fronds', 'stayed constant', 'show variations', 'shade leaves', 'sea level', 'results show', 'results indicate', 'psii centers', 'possibly increasing', 'photosynthetic units', 'photochemical yield', 'near 1', 'laboratory fronds', 'fashion similar', 'either collected', 'chlorophyll contents', 'antenna complex', '6 near', '40 meters']</t>
  </si>
  <si>
    <t>blue light | chlorophyll | Laminaria | light adaptation | modulated fluorescence</t>
  </si>
  <si>
    <t>Laminaria abyssalis fronds were either collected at the Brazilian costal area - 40 meters below sea level - or grown in the laboratory. The photochemical yield as defined by the Fv/Fm and the Fo - the dark fluorescence level when all PSII centers are open - varied with the distance from the stipe to the tip of the blade in wild grown fronds while it stayed constant in the laboratory grown plants. The chlorophyll a/c ratio levels decreased in the wild fronds from 12 (near the stipe) to 6 near the top. The chlorophyll c content increased from 0.8 to near 1.7 mg cm-2 in the wild fronds. The laboratory fronds did not show variations in their chlorophyll contents. The wild fronds pattern changed after 2 months kept in the laboratory, producing similar results to those grown in the laboratory. The results indicate that the levels of the antenna complex in the wild fronds increase from the stipe to the top of the blade, in a fashion similar of the sun/shade leaves. Also, results show, that this alga is able to adapt itself to new light conditions, possibly increasing its level of antenna complex and photosynthetic units. ¬© 1993 Kluwer Academic Publishers.</t>
  </si>
  <si>
    <t>260-261</t>
  </si>
  <si>
    <t>60000036;60000036;60000036</t>
  </si>
  <si>
    <t>35509509500;6601953869;7102580339</t>
  </si>
  <si>
    <t>Rodrigues, M. A.;Yoneshigue-Valentin, Y.;Dos Santos, C. P.</t>
  </si>
  <si>
    <t>Rodrigues M.</t>
  </si>
  <si>
    <t>A comparative analysis of wild and laboratory grown Laminaria abyssalis (Phaeophyta) using modulated fluorescence</t>
  </si>
  <si>
    <t>10.1007/BF00049057</t>
  </si>
  <si>
    <t>2-s2.0-0001088536</t>
  </si>
  <si>
    <t>['¬© 1993', 'two ca2', 'triton x', 'structural role', 'plant physiologists', 'per psii', 'oxygen evolution', 'one ca2', 'lhcii isolated', 'lhcii could', 'lhcii ).', 'jspp ).', 'japanese society', 'harvesting chl', 'chelex 100', 'bound ca2', 'another ca2', 'amount corresponding']</t>
  </si>
  <si>
    <t>Localization of the two Ca2+ bound to oxygen-evolving photosystem II (PSII) membranes from spinach was investigated by fractionating the membranes into the PSII reaction center core complexes and peripheral antenna Chl a/b-proteins after solubilization with n-heptylthioglucoside. The core complex fraction contained one Ca2+ per PSII, while another Ca2+ was found in the solubilized major light-harvesting Chl a/b-proteins (LHCII). LHCII isolated with Triton X-100 or dodecylmaltoside also contained Ca2+ in an amount corresponding to one per PSII. The Ca2+ bound to LHCII could not be removed by treatment with Chelex 100, which effectively sequestered extraneous Ca2+ bound to LHCII, or by preparation of LHCII in the presence of 40 mM citrate. Localization of the two Ca2+ in different functional domain of PSII membranes conclusively indicates that the number of the bound Ca2+ that can function in oxygen evolution is one per PSII. The results also suggest that one Ca2+ has a structural role in the peripheral antenna assembly. ¬© 1993. The Japanese Society of Plant Physiologists (JSPP).</t>
  </si>
  <si>
    <t>60025272;60025272</t>
  </si>
  <si>
    <t>36828134500;7202864511</t>
  </si>
  <si>
    <t>Han, Kab Cho;Katoh, Sakae</t>
  </si>
  <si>
    <t>Han K.</t>
  </si>
  <si>
    <t>Different localization of two Ca&lt;sup&gt;2+&lt;/sup&gt; in spinach oxygen-evolving photosystem II membranes. Evidence for involvement of only one Ca&lt;sup&gt;2+&lt;/sup&gt; in oxygen evolution</t>
  </si>
  <si>
    <t>2-s2.0-0001165422</t>
  </si>
  <si>
    <t>Wellcome Trust</t>
  </si>
  <si>
    <t>WT</t>
  </si>
  <si>
    <t>['tripeptide motif', 'terminal glycopeptide', 'sulphated moieties', 'significant proportion', 'seen whether', 'recognition sequence', 'pomc oligo', 'pituitary glycohormones', 'neutral n', 'molecules carry', 'mediated events', 'major role', 'linked oligosaccharides', 'linkage analysis', 'likely therefore', 'glycans attached', 'glcnac structure', 'fully conforms', 'exclusively located', 'differences reflect', 'capped antennae', 'bovine pituitaries', 'biantennary structures', 'antennae including', 'also present', 'acetylgalactosamine transferase', '333 ].', '16k glycopeptide', '16k fragment']</t>
  </si>
  <si>
    <t>FAB-MS | Glycoprotein | Lewis x | POMC | Sulphated-GalNAc</t>
  </si>
  <si>
    <t>The N-terminal glycopeptide of pro-opiomelanocortin (POMC), designated as the 16K fragment, is highly conserved throughout vertebrates from amphibians to mammals and is likely therefore to have an important functional role. In this paper, we report the first structural characterization of N-glycans attached to asparagine-65 of a 16K glycopeptide. The 16K fragment was isolated from bovine pituitaries and the N-glycans were analysed using fast atom bombardment mass spectrometry together with sugar and linkage analysis. Sulphated-N-acetylgalactosamine-capped antennae, typical of the pituitary glycohormones, were present in the major acidic components. The POMC oligo-saccharides are distinct from those of the pituitary glycohormones because the sulphate is exclusively located on the 3-arm of biantennary structures and, in addition, a significant proportion of the molecules carry the Lewis x epitope. It is probable that these differences reflect the absence of a tripeptide motif in POMC which fully conforms to the criteria previously defined for the recognition sequence for the N-acetylgalactosamine transferase that is specific for the pituitary glycohormones [Smith and Baenziger (1992) Proc. Natl. Acad. Sci. USA, 89, 329-333]. It remains to be seen whether the Lewis x epitope is involved in selectin-mediated events, but previous studies suggest that the sulphated moieties are unlikely to play a major role in clearance. The Lewis x epitope is also present in the neutral N-linked oligosaccharides, together with a variety of other antennae including a rarely found fucosylated GalNAc-GlcNAc structure. ¬© 1993 Oxford University Press.</t>
  </si>
  <si>
    <t>225-239</t>
  </si>
  <si>
    <t>Glycobiology</t>
  </si>
  <si>
    <t>60015150;60015150;60015150;100359531;60015150;60085312;60015150</t>
  </si>
  <si>
    <t>7006684699;7401534652;7102807824;56758820600;7402696679;56653964300;7103412653</t>
  </si>
  <si>
    <t>Siciliano, Rosa A.;Morris, Howard R.;Mcdowell, Roy A.;Azadi, Parastoo;Rogers, Mark E.;Bennett, Hugh P.J.;Dell, Anne</t>
  </si>
  <si>
    <t>Canada;United Kingdom;United Kingdom</t>
  </si>
  <si>
    <t>Montreal;London;Ascot</t>
  </si>
  <si>
    <t>McGill University Health Centre, Royal Victoria Hospital;Imperial College London;M-Scan Ltd</t>
  </si>
  <si>
    <t>60085312;60015150;100359531</t>
  </si>
  <si>
    <t>Siciliano R.A.</t>
  </si>
  <si>
    <t>The Lewis X Epitope is a major non-reducing structure in the sulphated N-glycans attached to asn-65 of bovine pro-opiomelanocortin</t>
  </si>
  <si>
    <t>10.1093/glycob/3.3.225</t>
  </si>
  <si>
    <t>2-s2.0-0027202594</t>
  </si>
  <si>
    <t>['voltage control', 'switching arrays', 'superimposed device', 'optical approaches', 'grid structures', 'example application', 'control techniques', 'bit capability']</t>
  </si>
  <si>
    <t>Control techniques for millimeter-wave active arrays are considered. In addition to voltage control, optical and quasi-optical approaches are discussed as analog control techniques. Digital control techniques discussed include on/off switching arrays and designs with superimposed device and/or grid structures for multi-bit capability. A quasi-optical Q switch, capable of high peak power pulse generation, is discussed as an example application of these techniques. ¬© 1993 Plenum Publishing Corporation.</t>
  </si>
  <si>
    <t>1175-1189</t>
  </si>
  <si>
    <t>60027550;60027550;60027550;60027550;60027550;60027550</t>
  </si>
  <si>
    <t>7003633790;27172314300;56131862100;55740580500;7006554258;56478417600</t>
  </si>
  <si>
    <t>Sjogren, L. B.;Liu, H. x.L.;Liu, T.;Wang, F.;Domier, C. W.;Luhmann, N. C.</t>
  </si>
  <si>
    <t>Sjogren L.</t>
  </si>
  <si>
    <t>Control techniques for millimeter-wave active arrays</t>
  </si>
  <si>
    <t>10.1007/BF02146249</t>
  </si>
  <si>
    <t>2-s2.0-0027606472</t>
  </si>
  <si>
    <t>['two eight', 'transmit configuration', 'sbr ).', 'results obtained', 'related work1', 'receive configuration', 'potential benefits', 'paper describes', 'one area', 'next generations', 'minimize mass', 'mass reductions', 'indeed encouraging', 'important role', 'experimental networks', 'design goals', 'communication systems', 'communication missions', 'based radar', 'advanced radar']</t>
  </si>
  <si>
    <t>Since it is likely that future space platforms, with both radar and communication missions, will carry phased array antennas, it is important to develop system designs that, among other things, minimize mass. The design of the phased array antenna feed network is one area where the use of fiber optic technology could lead to mass reductions. This possibility, combined with other potential benefits, has resulted in a study of this technology for application to space-based radar (SBR). As part of this study, two eight-element optical phased arrays, one in a transmit configuration and the other in a receive configuration, were constructed and tested against a set of design goals. This paper describes these experimental networks and presents a number of key test results. The results obtained in this and other related work1-5 are indeed encouraging, and lead to the expectation that fiber optic technology will play an important role in the next generations of advanced radar and communication systems.</t>
  </si>
  <si>
    <t>Canadian Aeronautics and Space Journal</t>
  </si>
  <si>
    <t>60079059;60079059</t>
  </si>
  <si>
    <t>6507308227;7102717889</t>
  </si>
  <si>
    <t>Gazdewich, J. D.;Patterson, L. R.B.</t>
  </si>
  <si>
    <t>Pointe-Claire</t>
  </si>
  <si>
    <t>MPB Technologies Inc.</t>
  </si>
  <si>
    <t>Gazdewich J.D.</t>
  </si>
  <si>
    <t>Fiber optic feed networks for phased array antenna systems in space</t>
  </si>
  <si>
    <t>2-s2.0-0027607107</t>
  </si>
  <si>
    <t>['vps ),', 'volume constraints', 'radrsat antenna', 'paper describes', 'art performance', 'also incorporated']</t>
  </si>
  <si>
    <t>This paper describes a 'C-Band' fast variable phase shifter (VPS), which will be used in the elevation beam control network of the RADRSAT antenna. The operation and key design features of the high-performance dual toroid ferrite phase shifter are discussed in some detail. Hybrid and ASIC electronic circuits are also incorporated into the design to meet the mass and volume constraints. Finally, the results of the integrated engineering model VPS are discussed and data presented represents a state-of-the-art performance.</t>
  </si>
  <si>
    <t>60013738;60013738;60013738</t>
  </si>
  <si>
    <t>57198285347;7101994024;7004317581</t>
  </si>
  <si>
    <t>Sutherland, D.;McDonald, H. G.;Wray, G.</t>
  </si>
  <si>
    <t>COM DEV Ltd</t>
  </si>
  <si>
    <t>Sutherland D.</t>
  </si>
  <si>
    <t>Ferrite phase shifter technology for beam control of the RADARSAT SAR antenna</t>
  </si>
  <si>
    <t>2-s2.0-0027607415</t>
  </si>
  <si>
    <t>['smart pixel', 'optical components', 'new slm', 'integrated quasi', 'fiber replacement', 'e .,', 'control components', 'also presented']</t>
  </si>
  <si>
    <t>Three optical beam forming techniques are identified as applicable to large spaceborne phased array antennas. They are 1) the fiber replacement of conventional RF phased array distribution and control components, 2) spatial beam forming, and 3) optical beam splitting techniques. Two novel optical beam forming approaches, i.e., the spatial beam forming with a "smart pixel" spatial light modulator (SLM) and the optical beam splitting approaches are conceived with integrated quasi-optical components. Also presented are the transmit and receive array architectures with the new SLM. ¬© 1993 Plenum Publishing Corporation.</t>
  </si>
  <si>
    <t>1191-1199</t>
  </si>
  <si>
    <t>7404814748;7103203368</t>
  </si>
  <si>
    <t>Wu, Te kao;Chandler, Charles W.</t>
  </si>
  <si>
    <t>Optical beam forming techniques for phased array antennas</t>
  </si>
  <si>
    <t>10.1007/BF02146250</t>
  </si>
  <si>
    <t>2-s2.0-0027608591</t>
  </si>
  <si>
    <t>['wide range', 'semiconductor device', 'optimized design', 'device alternatives', 'control function', 'choices available']</t>
  </si>
  <si>
    <t>Device alternatives for millimeter-wave beam control arrays are examined. For the control function, a wide range of semiconductor device as well as bulk material alternatives are considered. In addition, alternatives to the traditional metal strip are considered for the passive electromagnetic array element. This work should provide a broader perspective regarding the choices available for the optimized design of new beam control arrays. ¬© 1993 Plenum Publishing Corporation.</t>
  </si>
  <si>
    <t>1201-1216</t>
  </si>
  <si>
    <t>60027550;60027550;60027550;60027550;60027550</t>
  </si>
  <si>
    <t>7003633790;27172314300;7202154899;7006554258;56478417600</t>
  </si>
  <si>
    <t>Sjogren, L. B.;Liu, H. X.L.;Qin, X. H.;Domier, C. W.;Luhmann, N. C.</t>
  </si>
  <si>
    <t>Electronic and electromagnetic devices for millimeter-wave beam control arrays</t>
  </si>
  <si>
    <t>10.1007/BF02146251</t>
  </si>
  <si>
    <t>2-s2.0-0027610857</t>
  </si>
  <si>
    <t>['two types', 'transparent zones', 'radiation pattern', 'numerical simulations', 'lobe envelope', 'design rules', 'design procedure', 'design objectives', 'correcting zones']</t>
  </si>
  <si>
    <t>A design procedure for two types of Fresnel-zone plate antennas is presented: viz. antennas with absorbing/transparent zones and phase-correcting zones. Design objectives are the optimization of the gain of the lens of the antenna and the side-lobe envelope of its radiation pattern. The design rules are derived from numerical simulations. ¬© 1993 Plenum Publishing Corporation.</t>
  </si>
  <si>
    <t>1341-1352</t>
  </si>
  <si>
    <t>6602279536;7003821814</t>
  </si>
  <si>
    <t>Baggen, L. C.J.;Herben, M. H.A.J.</t>
  </si>
  <si>
    <t>Design procedure for a Fresnel-zone plate antenna</t>
  </si>
  <si>
    <t>10.1007/BF02146261</t>
  </si>
  <si>
    <t>2-s2.0-0027610858</t>
  </si>
  <si>
    <t>['two media', 'standard medium', 'sea ice', 'reflectometer measures', 'reflectometer input', 'reflectometer design', 'reflected channels', 'normalized impedance', 'modulated waveform', 'measured impedance', 'measure permittivity', 'local oscillator', 'linear frequency', 'input impedance', 'impedance measured', 'generated waveform', 'designed primarily', 'delay line']</t>
  </si>
  <si>
    <t>A prototype, broad-band vector reflectometer for in-situ field measurements of permittivity is presented. The system was designed primarily to measure permittivity of sea ice in the 2-18 GHz frequency range but works equally well on other materials. The reflectometer design is based upon FM-CW radar concepts. In the design, a linear frequency-modulated waveform is generated, and a portion of it is coupled off and passed through a delay line to serve as the local oscillator for the incident and reflected channels which receive most of the generated waveform. The reflectometer measures the complex reflection coefficient of a probe, a short monopole antenna mounted on a circular ground plane, attached to the reflectometer input. Permittivity is obtained by constructing a normalized input impedance of the probe. The input impedance of the probe is measured in two media, a standard medium such as air, and the medium under test. The impedance measured in the standard medium is used to construct a fourth-order rational function for the normalized input impedance. The normalized impedance is used with the measured impedance in the medium under test to obtain the permittivity. Finally, measured permittivity data for air, l-Butanol, and Teflon are presented.</t>
  </si>
  <si>
    <t>730-734</t>
  </si>
  <si>
    <t>60015457;60015457</t>
  </si>
  <si>
    <t>7102157694;7403096292</t>
  </si>
  <si>
    <t>Plumb, Richard G.;Ma, Hengje</t>
  </si>
  <si>
    <t>Swept frequency reflectometer design for in-situ permittivity measurements</t>
  </si>
  <si>
    <t>10.1109/19.231598</t>
  </si>
  <si>
    <t>2-s2.0-0027611096</t>
  </si>
  <si>
    <t>['yet offers', 'overall production', 'improve reliability', 'frequency ics', 'capacity batteries', 'advanced functions']</t>
  </si>
  <si>
    <t>Today's mobile communications equipment is smaller and lighter than its predecessors, yet offers more advanced functions. Accommodating this trend involves raising the density of printed circuit boards. Communications equipment today uses small antennas, high-frequency ICs, and large-capacity batteries. Makers achieve improved assembly density by adopting finer pitches than before for the component terminal pitches. This requires sophisticated techniques for designing, manufacturing and inspecting printed boards. Printed board inspection processes now require widened monitoring functions, if manufacturers are to improve reliability in overall production.</t>
  </si>
  <si>
    <t>85-89</t>
  </si>
  <si>
    <t>JEE. Journal of electronic engineering</t>
  </si>
  <si>
    <t>Okada, Shigeru</t>
  </si>
  <si>
    <t>Tescon Co., Ltd</t>
  </si>
  <si>
    <t>Okada S.</t>
  </si>
  <si>
    <t>Testing machines enhance yield, throughput in mobilecom production</t>
  </si>
  <si>
    <t>2-s2.0-0027611167</t>
  </si>
  <si>
    <t>['time domain', 'superresolution technique', 'response resolution', 'resolving power', 'music algorithm', 'interference rejection', 'experimental results', 'conventional techniques', 'based techniques', 'antenna bandwidth']</t>
  </si>
  <si>
    <t>A superresolution technique is considered for use in antenna gain measurements. A modification of the MUSIC algorithm is employed to resolve incident signals separately in the time domain. The modification involves pre-processing the received data using a spatial scheme prior to applying the MUSIC algorithm. Interference rejection in the antenna measurements using the fast Fourier transform (FFT) based techniques have been realized by a recently developed vector network analyzer, and its availability has been reported in the literature. However, response resolution in the time domain of these conventional techniques is limited by the antenna bandwidth. The MUSIC algorithm has the advantage of being able to eliminate unwanted responses when performing antenna measurements in situations where the antenna bandwidth is too narrow to support FFT based techniques. In this paper, experimental results of antenna gain measurements in a multipath environment show the accuracy and resolving power of this technique.</t>
  </si>
  <si>
    <t>694-702</t>
  </si>
  <si>
    <t>60014652;60014652;60014652</t>
  </si>
  <si>
    <t>57203100681;35516180700;7404897527</t>
  </si>
  <si>
    <t>Yamada, Hiroyoshi;Ogawa, Yasutaka;Itoh, Kiyohiko</t>
  </si>
  <si>
    <t>Yamada H.</t>
  </si>
  <si>
    <t>Antenna gain measurements in the presence of unwanted multipath signals using a superresolution technique</t>
  </si>
  <si>
    <t>2-s2.0-0027611962</t>
  </si>
  <si>
    <t>['wave oscillators', 'subharmonically injection', 'proposed approach', 'phase coherency', 'oscillating mixing', 'new approach', 'loop technique', 'locked phase', 'frequency detuning', 'experimental results', 'desired goal']</t>
  </si>
  <si>
    <t>A new approach for the design of optically synchronized millimeter-wave local oscillators based on a subharmonically injection-locked phase-lock-loop technique is introduced. The experimental results support the desired goal of frequency and phase coherency, phase shift control of millimeter-wave local oscillators, based on a subharmonically injection-locked phase-lock-loop technique is introduced. The experimental results support the desired goal of frequency and phase coherency, phase shift control of milimeter-wave oscillators, and self-oscillating mixing to downconvert a millimeter wave RF signal. Experimental results and theoretical analysis show the advantages of the proposed approach; larger locking range of two subharmonically locked oscillators, lower FM noise degradation, and smaller phase error caused by frequency detuning.</t>
  </si>
  <si>
    <t>988-1003</t>
  </si>
  <si>
    <t>60008809;60008809;60008809;60008809</t>
  </si>
  <si>
    <t>United States Army</t>
  </si>
  <si>
    <t>Optically controlled oscillators for millimeter-wave phased-array antennas</t>
  </si>
  <si>
    <t>2-s2.0-0027615182</t>
  </si>
  <si>
    <t>['spatial orientation', 'optimal trajectory', 'geometrical optics', 'deplorable reflectors', 'deflected beam', 'complex shape', 'baricentric method', 'angle scanning']</t>
  </si>
  <si>
    <t>The baricentric method in conjunction with geometrical optics (GO) was used to determine the optimal trajectory of motion and spatial orientation of a radiator which forms a deflected beam in hybrid reflector antennas (HRA) producing a multibeam radiation pattern (RP) or operating with wide-angle scanning. The method can also be used in the case of reflectors of complex shape such as deplorable reflectors in antennas with a variables structural design.</t>
  </si>
  <si>
    <t>107-111</t>
  </si>
  <si>
    <t>6602873460;6506916663</t>
  </si>
  <si>
    <t>Gryanik, M. V.;Loman, V. I.</t>
  </si>
  <si>
    <t>Baricentric method in reflector antenna design</t>
  </si>
  <si>
    <t>2-s2.0-0027621824</t>
  </si>
  <si>
    <t>['printed spiral', 'printed radiator', 'numerical solution', 'numerical analysis', 'layered medium', 'integrodifferential equation', 'current flow', 'archimedes spiral']</t>
  </si>
  <si>
    <t>A method for the numerical analysis of a printed spiral in the form of a stripline spiral structure in a layered medium is proposed. The method is based on deriving an integrodifferential equation for the current flow through the spiral and constructing an algorithm for its numerical solution. Results of an analysis of a printed radiator in the form of an Archimedes spiral are given.</t>
  </si>
  <si>
    <t>Chebyshev, V. V.</t>
  </si>
  <si>
    <t>Chebyshev V.</t>
  </si>
  <si>
    <t>Numerical analysis of a radiating stripline spiral</t>
  </si>
  <si>
    <t>2-s2.0-0027621846</t>
  </si>
  <si>
    <t>['radiation patterns', 'radiating system', 'high degree', 'algorithms give']</t>
  </si>
  <si>
    <t>Algorithms for determining primary waveguide fields are constructed by solving the inverse electrodynamic problem for a planar waveguide array with inserts. These algorithms give, with a high degree of accuracy, the radiation patterns of this class of radiating system.</t>
  </si>
  <si>
    <t>6506291815;36929779500</t>
  </si>
  <si>
    <t>Maniulov, B. D.;Yakovenko, V. A.</t>
  </si>
  <si>
    <t>Maniulov B.</t>
  </si>
  <si>
    <t>Parametric synthesis of a planar waveguide array with dielectric inserts</t>
  </si>
  <si>
    <t>2-s2.0-0027621849</t>
  </si>
  <si>
    <t>['¬© 1993', 'soret region', 'rights reserved', 'resonance light', 'remains dispersed', 'radiation used', 'processes leading', 'new light', 'like properties', 'ionic strength', 'interactions consistent', 'highly cooperative', 'forming assemblies', 'extended aggregates', 'derivative produce', 'appropriate conditions', 'absorption maximum']</t>
  </si>
  <si>
    <t>Under appropriate conditions of concentration and ionic strength, trans-bis(N-methylpyridinium-4-yl)-diphenylporphine and its copper(II) derivative produce very large, bisignate circular dichroism signals in the Soret region when bound to DNA. The processes leading to these signals are shown to be highly cooperative. A new light-scattering experimental approach is described for detecting such extended aggregates of chromophores in which the radiation used is within an absorption maximum, specifically in the porphyrin Soret absorption region. Results from such resonance light-scattering experiments confirm that extended porphyrin aggregates form on the DNA, which, in contrast, remains dispersed. A model for these interactions consistent with experimental findings involves porphyrin organization into long-range chiral structures having antenna-like properties, that is, forming assemblies in which the electric field produced in one oscillating dipole affects the magnitude of (is coupled to) the other dipoles in the aggregate. ¬© 1993, American Chemical Society. All rights reserved.</t>
  </si>
  <si>
    <t>5393-5399</t>
  </si>
  <si>
    <t>60002817;60002817;60012317;60002817;60005617</t>
  </si>
  <si>
    <t>7004958158;6603003036;57219106657;57043083300;7006008937</t>
  </si>
  <si>
    <t>Pasternack, Robert F.;Giannetto, Antonino;Bustamante, Carlos;Collings, Peter J.;Gibbs, Esther J.</t>
  </si>
  <si>
    <t>Eugene;Baltimore;Swarthmore</t>
  </si>
  <si>
    <t>University of Oregon;Goucher College;Swarthmore College</t>
  </si>
  <si>
    <t>60012317;60005617;60002817</t>
  </si>
  <si>
    <t>Pasternack R.F.</t>
  </si>
  <si>
    <t>Porphyrin Assemblies on DNA as Studied by a Resonance Light-Scattering Technique</t>
  </si>
  <si>
    <t>10.1021/ja00066a006</t>
  </si>
  <si>
    <t>2-s2.0-12044257185</t>
  </si>
  <si>
    <t>University of Auckland</t>
  </si>
  <si>
    <t>['unicolax chrysophryenus', 'two hundred', 'thus invalid', 'royal society', 'published figures', 'nasal cavities', 'genus unicolax', 'genus bomolochus', 'five specimens', 'feature characteristic', '1st antenna']</t>
  </si>
  <si>
    <t>Bomolochidae | Copepoda | Pagrus auratus | Unicolax chrysophryenus</t>
  </si>
  <si>
    <t>The copepod Unicolax chrysophryenus was found to inhabit the nasal cavities of the snapper Pagrus auratus in northern New Zealand waters. In 1986, this species had been transferred to the genus Bomolochus based on its similarity to Bomolochus stocki Roubal, 1981 and an interpretation of published figures. Two hundred and sixty-five specimens of U. chrysophryenus were examined in this study and all possessed a straight 4th seta on the 1st antenna of the female, a feature characteristic of the genus Unicolax and not of Bomolochus. The transfer of Unicolax chrysophryenus to the genus Bomolochus was thus invalid. ¬© The Royal Society of New Zealand 1993.</t>
  </si>
  <si>
    <t>215-218</t>
  </si>
  <si>
    <t>New Zealand Journal of Marine and Freshwater Research</t>
  </si>
  <si>
    <t>60115431;60115431</t>
  </si>
  <si>
    <t>7003445869;7403479974</t>
  </si>
  <si>
    <t>Sharples, Angela D.;Evans, Clive W.</t>
  </si>
  <si>
    <t>School of Biological Sciences</t>
  </si>
  <si>
    <t>Sharples A.</t>
  </si>
  <si>
    <t>Occurrence and taxonomic status of the copepod unicolax chrysophryenus roubal, Armitage and Rohde, 1983 (Poecilostomatoida: Bomolochidae) parasitic on the snapper pagrus auratus (Bloch &amp; Schneider, 1801)</t>
  </si>
  <si>
    <t>10.1080/00288330.1993.9516560</t>
  </si>
  <si>
    <t>2-s2.0-33749669087</t>
  </si>
  <si>
    <t>['signal processing', 'potential efficiency', 'output signal', 'noise ratio', 'noise power', 'antenna aperture']</t>
  </si>
  <si>
    <t>The potential efficiency of signal processing for spatially distributed noise sources in adaptive antenna arrays is analyzed. The behavior of the output signal-to-noise ratio is studied as a function of the transverse space correlation radius, the antenna aperture, and the noise power. ¬© 1994 Plenum Publishing Corporation.</t>
  </si>
  <si>
    <t>325-330</t>
  </si>
  <si>
    <t>57220358034;6603747137</t>
  </si>
  <si>
    <t>Mal'tsev, A. A.;Serebryakov, G. V.</t>
  </si>
  <si>
    <t>Mal'tsev A.A.</t>
  </si>
  <si>
    <t>Efficiency of signal processing for spatially distributed sources in adaptive antenna arrays</t>
  </si>
  <si>
    <t>10.1007/BF01038232</t>
  </si>
  <si>
    <t>2-s2.0-34249766911</t>
  </si>
  <si>
    <t>['whl populations', 'whl antennae', 'traps baited', 'three stereoisomers', 'synthetic mixture', 'significantly differ', 'many males', 'male ehl', 'field bioassays', 'female ehls', 'dimethylheptadecane caught', '5 r', ')- 5']</t>
  </si>
  <si>
    <t>(5 R, 11 R-5 | (5 R, 11 S)-5 | (5 S,11 S)-5 | (55,11 R-5 | 11-di-methylheptadecane | 11-dimethyIheptadecane | 11-dimethylheptadecane | dimethylated hydrocarbons | eastern hemlock looper | electrophysiological recordings | field trapping | Geometridae | Lepidoptera | pheromone chirality | sex pheromone | western hemlock looper</t>
  </si>
  <si>
    <t>Of the four possible stereoisomers of 5,11-dimethylheptadecane, the major sex pheromone component of the eastern hemlock looper (EHL), Lambdina fiscellaria fiscellaria Guen., and the western hemlock looper (WHL), Lambdina fiscellaria lugubrosa Hulst, (5 R,11 S)-5,11-dimethylheptadecane was the only stereoisomer eliciting electrophysiological responses by male EHL and WHL antennae. In field bioassays with EHL and WHL populations, traps baited with (5 R,11 S)-5, 11-dimethylheptadecane caught as many males as did traps baited with all four stereoisomers combined or a synthetic mixture of 5,11-dimethylheptadecanes. Catches in traps baited with the other three stereoisomers did not significantly differ from those in the unbaited control traps. We conclude that male antennae lack chemoreceptors for the other three stereoisomers of 5,11-dimethylheptadecane and hypothesize that only (5 R,115)-5,11-dimethylheptadecane is produced by female EHLs and WHLs. ¬© 1993 Plenum Publishing Corporation.</t>
  </si>
  <si>
    <t>1057-1062</t>
  </si>
  <si>
    <t>60018491;60018491;60018491;60018491;60018491;100516076;100516076</t>
  </si>
  <si>
    <t>57194755137;7006335669;7006196798;7003978932;7402995610;7103354577;16213820800</t>
  </si>
  <si>
    <t>Jianxiong, Li;Gries, R.;Gries, G.;Slessor, K. N.;King, G. G.S.;Bowers, W. W.;West, R. J.</t>
  </si>
  <si>
    <t>Burnaby;St John's</t>
  </si>
  <si>
    <t>Simon Fraser University;Newfoundland and Labrador Region</t>
  </si>
  <si>
    <t>60018491;100516076</t>
  </si>
  <si>
    <t>Jianxiong L.</t>
  </si>
  <si>
    <t>Chirality of 5,11-dimethylheptadecane, the major sex pheromone component of the hemlock looper, Lambdina fiscellaria (Lepidoptera: Geometridae)</t>
  </si>
  <si>
    <t>10.1007/BF00987368</t>
  </si>
  <si>
    <t>2-s2.0-34250081214</t>
  </si>
  <si>
    <t>['¬© 1993', 'vertical direction', 'telecommunication facilities', 'serviceability criteria', 'results indicate', 'response analysed', 'limit strength', 'horizontal shears', 'high priority', 'guy tensions', 'essential infrastructures', 'el centro', 'earthquake loading', 'dynamic interactions', 'dynamic amplifications', 'absolute values', '80 ft', '350 ft']</t>
  </si>
  <si>
    <t>In the event of a severe seismic excitation, preservation of essential infrastructures, such as telecommunication facilities, is of high priority. The objective of this paper is to investigate the geometrically nonlinear response of antenna-supporting guyed towers under earthquake loading. Two guyed towers are analysed: a 350 ft (107 m) tower with six stay levels and an 80 ft (24m) mast with only two stay levels. Two horizontal accelerograms are used, El Centro and Parkfield, with each record being scaled to match the elastic design spectra of the 1990 National Building Code of Canada. Elements of response analysed are: guy tensions, horizontal shears, and displacements and rotations at the tip of the mast. Results indicate that although the absolute values of the dynamic amplifications are well below the limit strength and serviceability criteria for such towers, dynamic interactions between the guywires and the mast are important, especially in the vertical direction. Multiple support excitation of the tallest tower also causes additional dynamic effects that are not present when only synchronous ground motion is studied. ¬© 1993.</t>
  </si>
  <si>
    <t>711-724</t>
  </si>
  <si>
    <t>Computers and Structures</t>
  </si>
  <si>
    <t>60002494;60002494</t>
  </si>
  <si>
    <t>7004170576;7006649257</t>
  </si>
  <si>
    <t>Guevara, E.;McClure, G.</t>
  </si>
  <si>
    <t>Universit√© McGill</t>
  </si>
  <si>
    <t>Guevara E.</t>
  </si>
  <si>
    <t>Nonlinear seismic response of antenna-supporting structures</t>
  </si>
  <si>
    <t>004579499390353F</t>
  </si>
  <si>
    <t>10.1016/0045-7949(93)90353-F</t>
  </si>
  <si>
    <t>2-s2.0-0027907603</t>
  </si>
  <si>
    <t>['¬© 1993', 'second chromatography', 'pigment stoichiometry', 'green plants', 'exchange chromatography', 'enriched particles', 'd2 antibodies', 'cytochrome b', 'cp47 antibodies', 'core antenna', 'antibodies raised', '7 fucoxanthin', '5 chl', '4 chlorophyll', '36 kda', '2 pheophytin', '100 chl']</t>
  </si>
  <si>
    <t>Brown alga | Chromophyte | D1 | Pigment-protein complex | PSII</t>
  </si>
  <si>
    <t>PSII-enriched particles, active for DCIP-reduction, were prepared from Laminaria saccharina chloroplasts, and PSII core complexes were further purified by ion-exchange chromatography. They contained several polypeptides, four of them cross-reacting with antibodies raised against CP47, CP43, D1 and D2 of green plants. A second chromatography was required to separate: (i) a core antenna, composed of 51 kDa polypeptide subunits, binding 11 Œ≤-carotene, 4 chlorophyll (Chl) c and 7 fucoxanthin for 100 Chl a, and reacting with CP47 antibodies; and (ii) a reaction center complex consisting of two main polypeptides of 34 and 36 kDa. The pigment stoichiometry was of 5 Chl a and 0.5 Œ≤-carotene for 2 pheophytin a. The 34 and 36 kDa components cross-reacted with anti-D1 and anti-D2 antibodies, respectively. The presence of cytochrome b-559 was substantiated by spectrophotometry. ¬© 1993.</t>
  </si>
  <si>
    <t>22-26</t>
  </si>
  <si>
    <t>60000179;60000179;60000179</t>
  </si>
  <si>
    <t>6602176298;7102477063;6603434143</t>
  </si>
  <si>
    <t>Douady, Dominique;Rousseau, Bernard;Berkaloff, Claire</t>
  </si>
  <si>
    <t>√âcole Normale Sup√©rieure</t>
  </si>
  <si>
    <t>Douady D.</t>
  </si>
  <si>
    <t>Isolation and characterization of PSII core complexes from a brown alga, Laminaria saccharina</t>
  </si>
  <si>
    <t>10.1016/0014-5793(93)81524-4</t>
  </si>
  <si>
    <t>2-s2.0-0027210773</t>
  </si>
  <si>
    <t>U.S. Department of Agriculture</t>
  </si>
  <si>
    <t>91- 37036-6350</t>
  </si>
  <si>
    <t>USDA</t>
  </si>
  <si>
    <t>['¬© 1993', 'whole cells', 'results support', 'relative rates', 'preferentially illuminated', 'phycobilisomes isolated', 'phycobilisome components', 'photosystem ii', 'photosynthetic rates', 'oxygen evolution', 'orange light', 'observed differences', 'nma ),', 'many phycobiliproteins', 'low intensity', 'harvesting antennae', 'electron transfer', 'containing light', 'blue light', 'asparagine methylation', '796 ).']</t>
  </si>
  <si>
    <t>Asparagine methylation | Oxygen evolution | Photosystem II | Phycobiliprotein | Posttranslational modification</t>
  </si>
  <si>
    <t>A post-translationally methylated asparagine residue, Œ≥-N-methylasparagine (NMA), is found at the Œ≤-72 site in many phycobiliproteins. We have examined the effects of asparagine methylation on photosynthetic rates in the wild-type cyanobacterium Synechococcus PCC 7942 (Œ≤-72 = NMA) and two Synechococcus PCC 7942 methylase mutants (Œ≤-72 = Asn) that exhibit no detectable methylase activity. Previous studies indicate that phycobilisomes isolated from non-methylated mutants exhibit a 14% decrease in fluorescence quantum yield (Swanson, R.V. and Glazer, A.N. (1990) J. Mol. Biol. 214, 787-796). Relative rates of Photosystem II electron transfer were measured for these strains by monitoring steady state rates of oxygen evolution in whole cells. The methylase-minus mutants demonstrated lower rates of electron transfer through Photosystem II under conditions in which the phycobilisome components were preferentially illuminated with orange light at low intensity. Oxygen evolution rates were indistinguishable for the wild-type and mutant strains upon selective illumination of the chlorophyll-containing light-harvesting antennae with blue light. The observed differences in photosynthetic rates are consonant with the levels of asparagine methylation in the phycobilisomes. These results support the hypothesis that asparagine methylation which is energetically costly yet evolutionarily conserved, is associated with increased energy transfer efficiency through Photosystem II. ¬© 1993.</t>
  </si>
  <si>
    <t>60007566;60007566;60007566</t>
  </si>
  <si>
    <t>7401507733;7006792583;24311552300</t>
  </si>
  <si>
    <t>Thomas, Beth Ann;Bricker, Terry M.;Klotz, Alan V.</t>
  </si>
  <si>
    <t>Thomas B.</t>
  </si>
  <si>
    <t>Post-translational methylation of phycobilisomes and oxygen evolution efficiency in cyanobacteria</t>
  </si>
  <si>
    <t>10.1016/0005-2728(93)90222-2</t>
  </si>
  <si>
    <t>2-s2.0-0027191448</t>
  </si>
  <si>
    <t>European Commission</t>
  </si>
  <si>
    <t>SCI* CT92-0796</t>
  </si>
  <si>
    <t>EC</t>
  </si>
  <si>
    <t>['¬© 1993', 'various species', 'upon blocking', 'species studied', 'similar results', 'room temperature', 'rhodopseudomonas viridis', 'results indicate', 'reaction center', 'purple bacteria', 'prior reduction', 'excitation spectra', 'energy transfer', 'early events', 'charge separation', 'back transfer', 'antenna occurred', 'antenna fluorescence', '6 k', '5 %,', '2 %.']</t>
  </si>
  <si>
    <t>(Chr. tepidum) | (R. rubrum) | (Rb. sphaeroides) | (Rps. viridis) | Antenna | Energy transfer | Purple bacterium | Reaction center</t>
  </si>
  <si>
    <t>The efficiency of energy transfer from the reaction center to the antenna in chromatophores of various species of purple bacteria was estimated from the contribution of the reaction center bands to the excitation spectra of antenna fluorescence. In all species studied, except for wild-type Rhodobacter sphaeroides, where the results were inconclusive, the efficiency at 6 K was lower than 5%, and in most cases even lower than 2%. Similar results were obtained with Rhodopseudomonas viridis at room temperature. These results indicate that the so-called "trap-limited" model for energy transfer does not apply to purple bacteria: it is concluded that the rate of photochemistry is determined by the rate of energy transfer from the antenna to the reaction center and that back transfer to the antenna cannot compete with the early events of charge separation. Upon blocking of the charge separation in Rps. viridis by prior reduction of the primary electron acceptor extensive energy transfer from the reaction center to the antenna occurred. ¬© 1993.</t>
  </si>
  <si>
    <t>60003878;60003878;60003878</t>
  </si>
  <si>
    <t>7003966808;6701846565;7004456032</t>
  </si>
  <si>
    <t>Otte, Stephan C.M.;Kleinherenbrink, Frank A.M.;Amesz, Jan</t>
  </si>
  <si>
    <t>Sterrewacht Leiden</t>
  </si>
  <si>
    <t>Otte S.</t>
  </si>
  <si>
    <t>Energy transfer between the reaction center and the antenna in purple bacteria</t>
  </si>
  <si>
    <t>10.1016/0005-2728(93)90219-6</t>
  </si>
  <si>
    <t>2-s2.0-0027310832</t>
  </si>
  <si>
    <t>['¬± 7', 'seven sawtooth', 'point within', 'nm wavelength', 'first demonstrated', 'continuous deflection', 'array concept', 'achieved electro', '5 v', '5 mrad']</t>
  </si>
  <si>
    <t>Electro-optic phase modulators | Grating couplers | Phased arrays | Semiconductor rib waveguides</t>
  </si>
  <si>
    <t>A passive spatial light beam deflector based on a channel waveguide phased-array concept is presented. Diffraction gratings patterned by electron-beam lithography couple light into and out of the device. Phasing is achieved electro-optically with indium tin oxide/AlGaAs Shottky junctions. Discrete beam steering is first demonstrated with a 43-element rib waveguide array at an 850-nm wavelength. A sawtooth electrode keeps the device length short and the electrode surface small. Continuous deflection over a ¬± 7.2 mrad range at a 900-nm wavelength is then reported. A set of seven sawtooth and offset electrodes permits addressing any point within this range. The beam has a width of 1.5 mrad, and the maximum modulation voltage is -8.5 V. ¬© 1993 Optical Society of America.</t>
  </si>
  <si>
    <t>3220-3232</t>
  </si>
  <si>
    <t>60028186;60028186;60028186;60003767</t>
  </si>
  <si>
    <t>57209055670;7006531149;7005152402;7101886066</t>
  </si>
  <si>
    <t>Vasey, F.;Reinhart, F. K.;Houdr√©, R.;Stauffer, J. M.</t>
  </si>
  <si>
    <t>Switzerland;Switzerland</t>
  </si>
  <si>
    <t>Lausanne;Neuchatel</t>
  </si>
  <si>
    <t>Swiss Federal Institute of Technology Lausanne;Centre Suisse d'Electronique et de Microtechnique SA</t>
  </si>
  <si>
    <t>60028186;60003767</t>
  </si>
  <si>
    <t>Vasey F.</t>
  </si>
  <si>
    <t>Spatial optical beam steering with an AlGaAs integrated phased array</t>
  </si>
  <si>
    <t>10.1364/AO.32.003220</t>
  </si>
  <si>
    <t>2-s2.0-0027606309</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</si>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</sst>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4" fillId="0" borderId="0" xfId="0" applyFont="1"/>
    <xf numFmtId="18" fontId="0" fillId="0" borderId="0" xfId="0" applyNumberForma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1994"/>
      <sheetName val="1995"/>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7C173-4002-6F41-833F-6D8E223D5D38}">
  <dimension ref="A1:AW1129"/>
  <sheetViews>
    <sheetView tabSelected="1" topLeftCell="AE1" workbookViewId="0">
      <selection activeCell="AQ16" sqref="AQ16"/>
    </sheetView>
  </sheetViews>
  <sheetFormatPr baseColWidth="10" defaultRowHeight="16" x14ac:dyDescent="0.2"/>
  <sheetData>
    <row r="1" spans="1:49" s="13" customFormat="1" x14ac:dyDescent="0.2">
      <c r="A1" s="16"/>
      <c r="B1" s="16" t="s">
        <v>12807</v>
      </c>
      <c r="C1" s="16" t="s">
        <v>12806</v>
      </c>
      <c r="D1" s="16" t="s">
        <v>12805</v>
      </c>
      <c r="E1" s="16" t="s">
        <v>12804</v>
      </c>
      <c r="F1" s="16" t="s">
        <v>12803</v>
      </c>
      <c r="G1" s="16" t="s">
        <v>12802</v>
      </c>
      <c r="H1" s="16" t="s">
        <v>12801</v>
      </c>
      <c r="I1" s="16" t="s">
        <v>12800</v>
      </c>
      <c r="J1" s="16" t="s">
        <v>12799</v>
      </c>
      <c r="K1" s="16" t="s">
        <v>12798</v>
      </c>
      <c r="L1" s="16" t="s">
        <v>12797</v>
      </c>
      <c r="M1" s="16" t="s">
        <v>12796</v>
      </c>
      <c r="N1" s="16" t="s">
        <v>12795</v>
      </c>
      <c r="O1" s="16" t="s">
        <v>12794</v>
      </c>
      <c r="P1" s="16" t="s">
        <v>12793</v>
      </c>
      <c r="Q1" s="16" t="s">
        <v>12792</v>
      </c>
      <c r="R1" s="21" t="s">
        <v>12791</v>
      </c>
      <c r="S1" s="16" t="s">
        <v>12790</v>
      </c>
      <c r="T1" s="16" t="s">
        <v>12790</v>
      </c>
      <c r="U1" s="16" t="s">
        <v>12789</v>
      </c>
      <c r="V1" s="21" t="s">
        <v>12788</v>
      </c>
      <c r="W1" s="16" t="s">
        <v>12787</v>
      </c>
      <c r="X1" s="15" t="s">
        <v>12786</v>
      </c>
      <c r="Y1" s="20" t="s">
        <v>12785</v>
      </c>
      <c r="Z1" s="19" t="s">
        <v>12770</v>
      </c>
      <c r="AA1" s="16" t="s">
        <v>12784</v>
      </c>
      <c r="AB1" s="16" t="s">
        <v>12783</v>
      </c>
      <c r="AC1" s="16" t="s">
        <v>12782</v>
      </c>
      <c r="AD1" s="16" t="s">
        <v>12781</v>
      </c>
      <c r="AE1" s="16" t="s">
        <v>12780</v>
      </c>
      <c r="AF1" s="16" t="s">
        <v>12779</v>
      </c>
      <c r="AG1" s="16" t="s">
        <v>12778</v>
      </c>
      <c r="AH1" s="16" t="s">
        <v>12777</v>
      </c>
      <c r="AI1" s="16" t="s">
        <v>12776</v>
      </c>
      <c r="AJ1" s="16" t="s">
        <v>12775</v>
      </c>
      <c r="AK1" s="15" t="s">
        <v>12774</v>
      </c>
      <c r="AL1" s="16" t="s">
        <v>12773</v>
      </c>
      <c r="AM1" s="18" t="s">
        <v>12772</v>
      </c>
      <c r="AN1" s="17" t="s">
        <v>12771</v>
      </c>
      <c r="AO1" s="17" t="s">
        <v>12770</v>
      </c>
      <c r="AP1" s="16" t="s">
        <v>12769</v>
      </c>
      <c r="AQ1" s="16" t="s">
        <v>12768</v>
      </c>
      <c r="AR1" s="16" t="s">
        <v>12767</v>
      </c>
      <c r="AS1" s="16" t="s">
        <v>12766</v>
      </c>
      <c r="AT1" s="15" t="s">
        <v>12765</v>
      </c>
      <c r="AU1" s="14" t="s">
        <v>12764</v>
      </c>
      <c r="AV1" s="14" t="s">
        <v>12763</v>
      </c>
      <c r="AW1" s="14" t="s">
        <v>12762</v>
      </c>
    </row>
    <row r="2" spans="1:49" x14ac:dyDescent="0.2">
      <c r="A2">
        <v>0</v>
      </c>
      <c r="B2" t="s">
        <v>12761</v>
      </c>
      <c r="C2" t="s">
        <v>12760</v>
      </c>
      <c r="F2" t="s">
        <v>12759</v>
      </c>
      <c r="G2" t="s">
        <v>15</v>
      </c>
      <c r="H2" t="s">
        <v>14</v>
      </c>
      <c r="I2" t="s">
        <v>12758</v>
      </c>
      <c r="J2" t="s">
        <v>12757</v>
      </c>
      <c r="K2" t="s">
        <v>12756</v>
      </c>
      <c r="L2" t="s">
        <v>12755</v>
      </c>
      <c r="M2" t="s">
        <v>12754</v>
      </c>
      <c r="N2">
        <v>4</v>
      </c>
      <c r="O2" t="s">
        <v>12753</v>
      </c>
      <c r="P2" t="s">
        <v>12752</v>
      </c>
      <c r="Q2" t="s">
        <v>12751</v>
      </c>
      <c r="R2" s="7">
        <v>34140</v>
      </c>
      <c r="S2" s="8">
        <f t="shared" ref="S2:S64" si="0">YEAR(R2)</f>
        <v>1993</v>
      </c>
      <c r="T2" s="8">
        <v>1993</v>
      </c>
      <c r="U2" s="8">
        <f t="shared" ref="U2:U64" si="1">2022-T2</f>
        <v>29</v>
      </c>
      <c r="V2" s="7">
        <v>34140</v>
      </c>
      <c r="W2" t="s">
        <v>12131</v>
      </c>
      <c r="X2" s="2">
        <v>0.66800000000000004</v>
      </c>
      <c r="Y2" s="6">
        <f t="shared" ref="Y2:Y65" si="2">(X2-$Z$4)/($Z$3-$Z$4)</f>
        <v>1.7831878486959774E-2</v>
      </c>
      <c r="AA2" t="s">
        <v>12130</v>
      </c>
      <c r="AB2">
        <v>29593</v>
      </c>
      <c r="AC2">
        <v>21553165</v>
      </c>
      <c r="AD2" t="s">
        <v>5</v>
      </c>
      <c r="AE2">
        <v>32</v>
      </c>
      <c r="AF2">
        <v>18</v>
      </c>
      <c r="AH2" t="s">
        <v>12750</v>
      </c>
      <c r="AI2" t="s">
        <v>12749</v>
      </c>
      <c r="AJ2" t="s">
        <v>12748</v>
      </c>
      <c r="AK2" t="s">
        <v>12747</v>
      </c>
      <c r="AL2">
        <v>57</v>
      </c>
      <c r="AM2" s="5">
        <f t="shared" ref="AM2:AM64" si="3">AL2/U2</f>
        <v>1.9655172413793103</v>
      </c>
      <c r="AN2" s="4">
        <f t="shared" ref="AN2:AN65" si="4">(AM2-$AO$4)/($AO$3-$AO$4)</f>
        <v>2.9769288017861572E-3</v>
      </c>
      <c r="AO2" s="3"/>
      <c r="AP2">
        <v>0</v>
      </c>
      <c r="AR2" t="s">
        <v>1</v>
      </c>
      <c r="AT2" s="2">
        <v>1.98</v>
      </c>
      <c r="AU2" s="1">
        <f t="shared" ref="AU2:AU64" si="5">(Y2*0.7+AN2*0.3)*100</f>
        <v>1.3375393581407686</v>
      </c>
      <c r="AV2" s="1">
        <f t="shared" ref="AV2:AV64" si="6">(Y2*0.5+AN2*0.5)*100</f>
        <v>1.0404403644372966</v>
      </c>
      <c r="AW2" s="1">
        <f t="shared" ref="AW2:AW64" si="7">(Y2*0.3+AN2*0.7)*100</f>
        <v>0.74334137073382411</v>
      </c>
    </row>
    <row r="3" spans="1:49" x14ac:dyDescent="0.2">
      <c r="A3">
        <v>1</v>
      </c>
      <c r="B3" t="s">
        <v>12746</v>
      </c>
      <c r="C3" t="s">
        <v>12745</v>
      </c>
      <c r="D3">
        <v>5272893902196</v>
      </c>
      <c r="F3" t="s">
        <v>12744</v>
      </c>
      <c r="G3" t="s">
        <v>15</v>
      </c>
      <c r="H3" t="s">
        <v>14</v>
      </c>
      <c r="I3" t="s">
        <v>12743</v>
      </c>
      <c r="J3">
        <v>60003878</v>
      </c>
      <c r="K3" t="s">
        <v>12742</v>
      </c>
      <c r="L3" t="s">
        <v>7962</v>
      </c>
      <c r="M3" t="s">
        <v>721</v>
      </c>
      <c r="N3">
        <v>3</v>
      </c>
      <c r="O3" t="s">
        <v>12741</v>
      </c>
      <c r="P3" t="s">
        <v>12740</v>
      </c>
      <c r="Q3" t="s">
        <v>12739</v>
      </c>
      <c r="R3" s="7">
        <v>34130</v>
      </c>
      <c r="S3" s="8">
        <f t="shared" si="0"/>
        <v>1993</v>
      </c>
      <c r="T3" s="8">
        <v>1993</v>
      </c>
      <c r="U3" s="8">
        <f t="shared" si="1"/>
        <v>29</v>
      </c>
      <c r="V3" s="7">
        <v>34130</v>
      </c>
      <c r="W3" t="s">
        <v>11315</v>
      </c>
      <c r="X3" s="2">
        <v>1.59</v>
      </c>
      <c r="Y3" s="6">
        <f t="shared" si="2"/>
        <v>4.2444141907583888E-2</v>
      </c>
      <c r="Z3">
        <v>37.460999999999999</v>
      </c>
      <c r="AA3">
        <v>52728</v>
      </c>
      <c r="AB3">
        <v>16791</v>
      </c>
      <c r="AD3" t="s">
        <v>5</v>
      </c>
      <c r="AE3">
        <v>1143</v>
      </c>
      <c r="AF3">
        <v>1</v>
      </c>
      <c r="AH3" t="s">
        <v>3593</v>
      </c>
      <c r="AI3" t="s">
        <v>12738</v>
      </c>
      <c r="AJ3" t="s">
        <v>12737</v>
      </c>
      <c r="AK3" t="s">
        <v>12736</v>
      </c>
      <c r="AL3">
        <v>44</v>
      </c>
      <c r="AM3" s="5">
        <f t="shared" si="3"/>
        <v>1.5172413793103448</v>
      </c>
      <c r="AN3" s="4">
        <f t="shared" si="4"/>
        <v>2.2979801276945774E-3</v>
      </c>
      <c r="AO3" s="3">
        <v>660.25</v>
      </c>
      <c r="AP3">
        <v>0</v>
      </c>
      <c r="AQ3" t="s">
        <v>12735</v>
      </c>
      <c r="AR3" t="s">
        <v>12734</v>
      </c>
      <c r="AS3" t="s">
        <v>12733</v>
      </c>
      <c r="AT3" s="2" t="s">
        <v>0</v>
      </c>
      <c r="AU3" s="1">
        <f t="shared" si="5"/>
        <v>3.0400293373617093</v>
      </c>
      <c r="AV3" s="1">
        <f t="shared" si="6"/>
        <v>2.2371061017639233</v>
      </c>
      <c r="AW3" s="1">
        <f t="shared" si="7"/>
        <v>1.4341828661661369</v>
      </c>
    </row>
    <row r="4" spans="1:49" x14ac:dyDescent="0.2">
      <c r="A4">
        <v>2</v>
      </c>
      <c r="B4" t="s">
        <v>12732</v>
      </c>
      <c r="C4" t="s">
        <v>12731</v>
      </c>
      <c r="D4">
        <v>5272893902222</v>
      </c>
      <c r="F4" t="s">
        <v>12730</v>
      </c>
      <c r="G4" t="s">
        <v>15</v>
      </c>
      <c r="H4" t="s">
        <v>14</v>
      </c>
      <c r="I4" t="s">
        <v>12729</v>
      </c>
      <c r="J4">
        <v>60007566</v>
      </c>
      <c r="K4" t="s">
        <v>207</v>
      </c>
      <c r="L4" t="s">
        <v>206</v>
      </c>
      <c r="M4" t="s">
        <v>10</v>
      </c>
      <c r="N4">
        <v>3</v>
      </c>
      <c r="O4" t="s">
        <v>12728</v>
      </c>
      <c r="P4" t="s">
        <v>12727</v>
      </c>
      <c r="Q4" t="s">
        <v>12726</v>
      </c>
      <c r="R4" s="7">
        <v>34130</v>
      </c>
      <c r="S4" s="8">
        <f t="shared" si="0"/>
        <v>1993</v>
      </c>
      <c r="T4" s="8">
        <v>1993</v>
      </c>
      <c r="U4" s="8">
        <f t="shared" si="1"/>
        <v>29</v>
      </c>
      <c r="V4" s="7">
        <v>34130</v>
      </c>
      <c r="W4" t="s">
        <v>11315</v>
      </c>
      <c r="X4" s="2">
        <v>1.59</v>
      </c>
      <c r="Y4" s="6">
        <f t="shared" si="2"/>
        <v>4.2444141907583888E-2</v>
      </c>
      <c r="Z4">
        <v>0</v>
      </c>
      <c r="AA4">
        <v>52728</v>
      </c>
      <c r="AB4">
        <v>16791</v>
      </c>
      <c r="AD4" t="s">
        <v>5</v>
      </c>
      <c r="AE4">
        <v>1143</v>
      </c>
      <c r="AF4">
        <v>1</v>
      </c>
      <c r="AH4" t="s">
        <v>11855</v>
      </c>
      <c r="AI4" t="s">
        <v>12725</v>
      </c>
      <c r="AJ4" t="s">
        <v>12724</v>
      </c>
      <c r="AK4" t="s">
        <v>12723</v>
      </c>
      <c r="AL4">
        <v>14</v>
      </c>
      <c r="AM4" s="5">
        <f t="shared" si="3"/>
        <v>0.48275862068965519</v>
      </c>
      <c r="AN4" s="4">
        <f t="shared" si="4"/>
        <v>7.3117549517554741E-4</v>
      </c>
      <c r="AO4" s="3">
        <v>0</v>
      </c>
      <c r="AP4">
        <v>0</v>
      </c>
      <c r="AQ4" t="s">
        <v>12722</v>
      </c>
      <c r="AR4" t="s">
        <v>12721</v>
      </c>
      <c r="AS4" t="s">
        <v>12720</v>
      </c>
      <c r="AT4" s="2" t="s">
        <v>0</v>
      </c>
      <c r="AU4" s="1">
        <f t="shared" si="5"/>
        <v>2.9930251983861385</v>
      </c>
      <c r="AV4" s="1">
        <f t="shared" si="6"/>
        <v>2.1587658701379717</v>
      </c>
      <c r="AW4" s="1">
        <f t="shared" si="7"/>
        <v>1.3245065418898048</v>
      </c>
    </row>
    <row r="5" spans="1:49" x14ac:dyDescent="0.2">
      <c r="A5">
        <v>3</v>
      </c>
      <c r="B5" t="s">
        <v>12719</v>
      </c>
      <c r="C5" t="s">
        <v>12718</v>
      </c>
      <c r="D5">
        <v>14579393815244</v>
      </c>
      <c r="E5">
        <v>8504854</v>
      </c>
      <c r="F5" t="s">
        <v>12717</v>
      </c>
      <c r="G5" t="s">
        <v>15</v>
      </c>
      <c r="H5" t="s">
        <v>14</v>
      </c>
      <c r="I5" t="s">
        <v>12716</v>
      </c>
      <c r="J5">
        <v>60000179</v>
      </c>
      <c r="K5" t="s">
        <v>12715</v>
      </c>
      <c r="L5" t="s">
        <v>4233</v>
      </c>
      <c r="M5" t="s">
        <v>303</v>
      </c>
      <c r="N5">
        <v>3</v>
      </c>
      <c r="O5" t="s">
        <v>12714</v>
      </c>
      <c r="P5" t="s">
        <v>12713</v>
      </c>
      <c r="Q5" t="s">
        <v>12712</v>
      </c>
      <c r="R5" s="7">
        <v>34127</v>
      </c>
      <c r="S5" s="8">
        <f t="shared" si="0"/>
        <v>1993</v>
      </c>
      <c r="T5" s="8">
        <v>1993</v>
      </c>
      <c r="U5" s="8">
        <f t="shared" si="1"/>
        <v>29</v>
      </c>
      <c r="V5" s="7">
        <v>34127</v>
      </c>
      <c r="W5" t="s">
        <v>12486</v>
      </c>
      <c r="X5" s="2">
        <v>1.593</v>
      </c>
      <c r="Y5" s="6">
        <f t="shared" si="2"/>
        <v>4.2524225194201973E-2</v>
      </c>
      <c r="AA5">
        <v>145793</v>
      </c>
      <c r="AB5">
        <v>17481</v>
      </c>
      <c r="AD5" t="s">
        <v>5</v>
      </c>
      <c r="AE5">
        <v>324</v>
      </c>
      <c r="AF5">
        <v>1</v>
      </c>
      <c r="AH5" t="s">
        <v>12711</v>
      </c>
      <c r="AI5" t="s">
        <v>12710</v>
      </c>
      <c r="AJ5" t="s">
        <v>12709</v>
      </c>
      <c r="AK5" t="s">
        <v>12708</v>
      </c>
      <c r="AL5">
        <v>21</v>
      </c>
      <c r="AM5" s="5">
        <f t="shared" si="3"/>
        <v>0.72413793103448276</v>
      </c>
      <c r="AN5" s="4">
        <f t="shared" si="4"/>
        <v>1.0967632427633211E-3</v>
      </c>
      <c r="AO5" s="3"/>
      <c r="AP5">
        <v>1</v>
      </c>
      <c r="AR5" t="s">
        <v>1</v>
      </c>
      <c r="AT5" s="2">
        <v>4.1239999999999997</v>
      </c>
      <c r="AU5" s="1">
        <f t="shared" si="5"/>
        <v>3.0095986608770375</v>
      </c>
      <c r="AV5" s="1">
        <f t="shared" si="6"/>
        <v>2.181049421848265</v>
      </c>
      <c r="AW5" s="1">
        <f t="shared" si="7"/>
        <v>1.3525001828194916</v>
      </c>
    </row>
    <row r="6" spans="1:49" x14ac:dyDescent="0.2">
      <c r="A6">
        <v>4</v>
      </c>
      <c r="B6" t="s">
        <v>12707</v>
      </c>
      <c r="C6" t="s">
        <v>12706</v>
      </c>
      <c r="D6" t="s">
        <v>12705</v>
      </c>
      <c r="F6" t="s">
        <v>12704</v>
      </c>
      <c r="G6" t="s">
        <v>15</v>
      </c>
      <c r="H6" t="s">
        <v>14</v>
      </c>
      <c r="I6" t="s">
        <v>12703</v>
      </c>
      <c r="J6">
        <v>60002494</v>
      </c>
      <c r="K6" t="s">
        <v>12702</v>
      </c>
      <c r="L6" t="s">
        <v>509</v>
      </c>
      <c r="M6" t="s">
        <v>508</v>
      </c>
      <c r="N6">
        <v>2</v>
      </c>
      <c r="O6" t="s">
        <v>12701</v>
      </c>
      <c r="P6" t="s">
        <v>12700</v>
      </c>
      <c r="Q6" t="s">
        <v>12699</v>
      </c>
      <c r="R6" s="7">
        <v>34123</v>
      </c>
      <c r="S6" s="8">
        <f t="shared" si="0"/>
        <v>1993</v>
      </c>
      <c r="T6" s="8">
        <v>1993</v>
      </c>
      <c r="U6" s="8">
        <f t="shared" si="1"/>
        <v>29</v>
      </c>
      <c r="V6" s="7">
        <v>34123</v>
      </c>
      <c r="W6" t="s">
        <v>12698</v>
      </c>
      <c r="X6" s="2">
        <v>1.45</v>
      </c>
      <c r="Y6" s="6">
        <f t="shared" si="2"/>
        <v>3.8706921865406689E-2</v>
      </c>
      <c r="AA6">
        <v>457949</v>
      </c>
      <c r="AB6">
        <v>18171</v>
      </c>
      <c r="AD6" t="s">
        <v>5</v>
      </c>
      <c r="AE6">
        <v>47</v>
      </c>
      <c r="AF6" s="9">
        <v>44320</v>
      </c>
      <c r="AH6" t="s">
        <v>12697</v>
      </c>
      <c r="AI6" t="s">
        <v>12696</v>
      </c>
      <c r="AK6" t="s">
        <v>12695</v>
      </c>
      <c r="AL6">
        <v>15</v>
      </c>
      <c r="AM6" s="5">
        <f t="shared" si="3"/>
        <v>0.51724137931034486</v>
      </c>
      <c r="AN6" s="4">
        <f t="shared" si="4"/>
        <v>7.834023162595151E-4</v>
      </c>
      <c r="AO6" s="3"/>
      <c r="AP6">
        <v>0</v>
      </c>
      <c r="AR6" t="s">
        <v>1</v>
      </c>
      <c r="AT6" s="2" t="s">
        <v>0</v>
      </c>
      <c r="AU6" s="1">
        <f t="shared" si="5"/>
        <v>2.7329866000662539</v>
      </c>
      <c r="AV6" s="1">
        <f t="shared" si="6"/>
        <v>1.9745162090833102</v>
      </c>
      <c r="AW6" s="1">
        <f t="shared" si="7"/>
        <v>1.2160458181003666</v>
      </c>
    </row>
    <row r="7" spans="1:49" x14ac:dyDescent="0.2">
      <c r="A7">
        <v>5</v>
      </c>
      <c r="B7" t="s">
        <v>12694</v>
      </c>
      <c r="C7" t="s">
        <v>12693</v>
      </c>
      <c r="F7" t="s">
        <v>12692</v>
      </c>
      <c r="G7" t="s">
        <v>15</v>
      </c>
      <c r="H7" t="s">
        <v>14</v>
      </c>
      <c r="I7" t="s">
        <v>12691</v>
      </c>
      <c r="J7" t="s">
        <v>12690</v>
      </c>
      <c r="K7" t="s">
        <v>12689</v>
      </c>
      <c r="L7" t="s">
        <v>12688</v>
      </c>
      <c r="M7" t="s">
        <v>2289</v>
      </c>
      <c r="N7">
        <v>7</v>
      </c>
      <c r="O7" t="s">
        <v>12687</v>
      </c>
      <c r="P7" t="s">
        <v>12686</v>
      </c>
      <c r="Q7" t="s">
        <v>12685</v>
      </c>
      <c r="R7" s="7">
        <v>34121</v>
      </c>
      <c r="S7" s="8">
        <f t="shared" si="0"/>
        <v>1993</v>
      </c>
      <c r="T7" s="8">
        <v>1993</v>
      </c>
      <c r="U7" s="8">
        <f t="shared" si="1"/>
        <v>29</v>
      </c>
      <c r="V7" s="7">
        <v>34121</v>
      </c>
      <c r="W7" t="s">
        <v>11794</v>
      </c>
      <c r="X7" s="2">
        <v>0.85499999999999998</v>
      </c>
      <c r="Y7" s="6">
        <f t="shared" si="2"/>
        <v>2.28237366861536E-2</v>
      </c>
      <c r="AA7">
        <v>980331</v>
      </c>
      <c r="AB7">
        <v>23342</v>
      </c>
      <c r="AC7">
        <v>15731561</v>
      </c>
      <c r="AD7" t="s">
        <v>5</v>
      </c>
      <c r="AE7">
        <v>19</v>
      </c>
      <c r="AF7">
        <v>6</v>
      </c>
      <c r="AH7" t="s">
        <v>12684</v>
      </c>
      <c r="AI7" t="s">
        <v>12683</v>
      </c>
      <c r="AJ7" t="s">
        <v>12682</v>
      </c>
      <c r="AK7" t="s">
        <v>12681</v>
      </c>
      <c r="AL7">
        <v>17</v>
      </c>
      <c r="AM7" s="5">
        <f t="shared" si="3"/>
        <v>0.58620689655172409</v>
      </c>
      <c r="AN7" s="4">
        <f t="shared" si="4"/>
        <v>8.8785595842745036E-4</v>
      </c>
      <c r="AO7" s="3"/>
      <c r="AP7">
        <v>0</v>
      </c>
      <c r="AR7" t="s">
        <v>1</v>
      </c>
      <c r="AT7" s="2">
        <v>2.6259999999999999</v>
      </c>
      <c r="AU7" s="1">
        <f t="shared" si="5"/>
        <v>1.6242972467835755</v>
      </c>
      <c r="AV7" s="1">
        <f t="shared" si="6"/>
        <v>1.1855796322290526</v>
      </c>
      <c r="AW7" s="1">
        <f t="shared" si="7"/>
        <v>0.74686201767452953</v>
      </c>
    </row>
    <row r="8" spans="1:49" x14ac:dyDescent="0.2">
      <c r="A8">
        <v>6</v>
      </c>
      <c r="B8" t="s">
        <v>12680</v>
      </c>
      <c r="C8" t="s">
        <v>12679</v>
      </c>
      <c r="F8" t="s">
        <v>12678</v>
      </c>
      <c r="G8" t="s">
        <v>15</v>
      </c>
      <c r="H8" t="s">
        <v>14</v>
      </c>
      <c r="I8" t="s">
        <v>12677</v>
      </c>
      <c r="N8">
        <v>2</v>
      </c>
      <c r="O8" t="s">
        <v>12676</v>
      </c>
      <c r="P8" t="s">
        <v>12675</v>
      </c>
      <c r="Q8" t="s">
        <v>1557</v>
      </c>
      <c r="R8" s="7">
        <v>34121</v>
      </c>
      <c r="S8" s="8">
        <f t="shared" si="0"/>
        <v>1993</v>
      </c>
      <c r="T8" s="8">
        <v>1993</v>
      </c>
      <c r="U8" s="8">
        <f t="shared" si="1"/>
        <v>29</v>
      </c>
      <c r="V8" s="7">
        <v>34121</v>
      </c>
      <c r="W8" t="s">
        <v>9960</v>
      </c>
      <c r="X8" s="2">
        <v>0.318</v>
      </c>
      <c r="Y8" s="6">
        <f t="shared" si="2"/>
        <v>8.4888283815167786E-3</v>
      </c>
      <c r="AA8">
        <v>338443</v>
      </c>
      <c r="AB8">
        <v>27160</v>
      </c>
      <c r="AC8">
        <v>15739120</v>
      </c>
      <c r="AD8" t="s">
        <v>5</v>
      </c>
      <c r="AE8">
        <v>36</v>
      </c>
      <c r="AF8">
        <v>6</v>
      </c>
      <c r="AH8" t="s">
        <v>12674</v>
      </c>
      <c r="AI8" t="s">
        <v>12673</v>
      </c>
      <c r="AK8" t="s">
        <v>12672</v>
      </c>
      <c r="AL8">
        <v>0</v>
      </c>
      <c r="AM8" s="5">
        <f t="shared" si="3"/>
        <v>0</v>
      </c>
      <c r="AN8" s="4">
        <f t="shared" si="4"/>
        <v>0</v>
      </c>
      <c r="AO8" s="3"/>
      <c r="AP8">
        <v>0</v>
      </c>
      <c r="AR8" t="s">
        <v>1</v>
      </c>
      <c r="AT8" s="2">
        <v>0.77</v>
      </c>
      <c r="AU8" s="1">
        <f t="shared" si="5"/>
        <v>0.59421798670617454</v>
      </c>
      <c r="AV8" s="1">
        <f t="shared" si="6"/>
        <v>0.42444141907583893</v>
      </c>
      <c r="AW8" s="1">
        <f t="shared" si="7"/>
        <v>0.25466485144550338</v>
      </c>
    </row>
    <row r="9" spans="1:49" x14ac:dyDescent="0.2">
      <c r="A9">
        <v>7</v>
      </c>
      <c r="B9" t="s">
        <v>12671</v>
      </c>
      <c r="C9" t="s">
        <v>12670</v>
      </c>
      <c r="F9" t="s">
        <v>12669</v>
      </c>
      <c r="G9" t="s">
        <v>15</v>
      </c>
      <c r="H9" t="s">
        <v>14</v>
      </c>
      <c r="I9" t="s">
        <v>12668</v>
      </c>
      <c r="J9">
        <v>60115431</v>
      </c>
      <c r="K9" t="s">
        <v>12667</v>
      </c>
      <c r="L9" t="s">
        <v>3392</v>
      </c>
      <c r="M9" t="s">
        <v>3391</v>
      </c>
      <c r="N9">
        <v>2</v>
      </c>
      <c r="O9" t="s">
        <v>12666</v>
      </c>
      <c r="P9" t="s">
        <v>12665</v>
      </c>
      <c r="Q9" t="s">
        <v>12664</v>
      </c>
      <c r="R9" s="7">
        <v>34121</v>
      </c>
      <c r="S9" s="8">
        <f t="shared" si="0"/>
        <v>1993</v>
      </c>
      <c r="T9" s="8">
        <v>1993</v>
      </c>
      <c r="U9" s="8">
        <f t="shared" si="1"/>
        <v>29</v>
      </c>
      <c r="V9" s="7">
        <v>34121</v>
      </c>
      <c r="W9" t="s">
        <v>12663</v>
      </c>
      <c r="X9" s="2">
        <v>0.56299999999999994</v>
      </c>
      <c r="Y9" s="6">
        <f t="shared" si="2"/>
        <v>1.5028963455326873E-2</v>
      </c>
      <c r="AA9">
        <v>288330</v>
      </c>
      <c r="AB9">
        <v>27910</v>
      </c>
      <c r="AC9">
        <v>11758805</v>
      </c>
      <c r="AD9" t="s">
        <v>5</v>
      </c>
      <c r="AE9">
        <v>27</v>
      </c>
      <c r="AF9">
        <v>2</v>
      </c>
      <c r="AH9" t="s">
        <v>12662</v>
      </c>
      <c r="AI9" t="s">
        <v>12661</v>
      </c>
      <c r="AJ9" t="s">
        <v>12660</v>
      </c>
      <c r="AK9" t="s">
        <v>12659</v>
      </c>
      <c r="AL9">
        <v>4</v>
      </c>
      <c r="AM9" s="5">
        <f t="shared" si="3"/>
        <v>0.13793103448275862</v>
      </c>
      <c r="AN9" s="4">
        <f t="shared" si="4"/>
        <v>2.089072843358707E-4</v>
      </c>
      <c r="AO9" s="3"/>
      <c r="AP9">
        <v>0</v>
      </c>
      <c r="AR9" t="s">
        <v>1</v>
      </c>
      <c r="AS9" t="s">
        <v>12658</v>
      </c>
      <c r="AT9" s="2" t="s">
        <v>0</v>
      </c>
      <c r="AU9" s="1">
        <f t="shared" si="5"/>
        <v>1.0582946604029571</v>
      </c>
      <c r="AV9" s="1">
        <f t="shared" si="6"/>
        <v>0.76189353698313711</v>
      </c>
      <c r="AW9" s="1">
        <f t="shared" si="7"/>
        <v>0.46549241356331716</v>
      </c>
    </row>
    <row r="10" spans="1:49" x14ac:dyDescent="0.2">
      <c r="A10">
        <v>8</v>
      </c>
      <c r="B10" t="s">
        <v>12657</v>
      </c>
      <c r="C10" t="s">
        <v>12656</v>
      </c>
      <c r="F10" t="s">
        <v>12655</v>
      </c>
      <c r="G10" t="s">
        <v>15</v>
      </c>
      <c r="H10" t="s">
        <v>14</v>
      </c>
      <c r="I10" t="s">
        <v>12654</v>
      </c>
      <c r="J10" t="s">
        <v>12653</v>
      </c>
      <c r="K10" t="s">
        <v>12652</v>
      </c>
      <c r="L10" t="s">
        <v>12651</v>
      </c>
      <c r="M10" t="s">
        <v>219</v>
      </c>
      <c r="N10">
        <v>5</v>
      </c>
      <c r="O10" t="s">
        <v>12650</v>
      </c>
      <c r="P10" t="s">
        <v>12649</v>
      </c>
      <c r="Q10" t="s">
        <v>12648</v>
      </c>
      <c r="R10" s="7">
        <v>34121</v>
      </c>
      <c r="S10" s="8">
        <f t="shared" si="0"/>
        <v>1993</v>
      </c>
      <c r="T10" s="8">
        <v>1993</v>
      </c>
      <c r="U10" s="8">
        <f t="shared" si="1"/>
        <v>29</v>
      </c>
      <c r="V10" s="7">
        <v>34121</v>
      </c>
      <c r="W10" t="s">
        <v>11404</v>
      </c>
      <c r="X10" s="2">
        <v>7.1150000000000002</v>
      </c>
      <c r="Y10" s="6">
        <f t="shared" si="2"/>
        <v>0.18993086142921972</v>
      </c>
      <c r="AA10">
        <v>27863</v>
      </c>
      <c r="AB10">
        <v>22680</v>
      </c>
      <c r="AC10">
        <v>15205126</v>
      </c>
      <c r="AD10" t="s">
        <v>5</v>
      </c>
      <c r="AE10">
        <v>115</v>
      </c>
      <c r="AF10">
        <v>13</v>
      </c>
      <c r="AH10" t="s">
        <v>12647</v>
      </c>
      <c r="AI10" t="s">
        <v>12646</v>
      </c>
      <c r="AK10" t="s">
        <v>12645</v>
      </c>
      <c r="AL10">
        <v>922</v>
      </c>
      <c r="AM10" s="5">
        <f t="shared" si="3"/>
        <v>31.793103448275861</v>
      </c>
      <c r="AN10" s="4">
        <f t="shared" si="4"/>
        <v>4.8153129039418194E-2</v>
      </c>
      <c r="AO10" s="3"/>
      <c r="AP10">
        <v>0</v>
      </c>
      <c r="AR10" t="s">
        <v>1</v>
      </c>
      <c r="AT10" s="2" t="s">
        <v>0</v>
      </c>
      <c r="AU10" s="1">
        <f t="shared" si="5"/>
        <v>14.739754171227926</v>
      </c>
      <c r="AV10" s="1">
        <f t="shared" si="6"/>
        <v>11.904199523431897</v>
      </c>
      <c r="AW10" s="1">
        <f t="shared" si="7"/>
        <v>9.0686448756358651</v>
      </c>
    </row>
    <row r="11" spans="1:49" x14ac:dyDescent="0.2">
      <c r="A11">
        <v>9</v>
      </c>
      <c r="B11" t="s">
        <v>12644</v>
      </c>
      <c r="F11" t="s">
        <v>12643</v>
      </c>
      <c r="G11" t="s">
        <v>15</v>
      </c>
      <c r="H11" t="s">
        <v>14</v>
      </c>
      <c r="I11" t="s">
        <v>12642</v>
      </c>
      <c r="N11">
        <v>2</v>
      </c>
      <c r="O11" t="s">
        <v>12641</v>
      </c>
      <c r="P11" t="s">
        <v>12640</v>
      </c>
      <c r="Q11" t="s">
        <v>1557</v>
      </c>
      <c r="R11" s="7">
        <v>34121</v>
      </c>
      <c r="S11" s="8">
        <f t="shared" si="0"/>
        <v>1993</v>
      </c>
      <c r="T11" s="8">
        <v>1993</v>
      </c>
      <c r="U11" s="8">
        <f t="shared" si="1"/>
        <v>29</v>
      </c>
      <c r="V11" s="7">
        <v>34121</v>
      </c>
      <c r="W11" t="s">
        <v>1769</v>
      </c>
      <c r="X11" s="2">
        <v>0.14099999999999999</v>
      </c>
      <c r="Y11" s="6">
        <f t="shared" si="2"/>
        <v>3.7639144710498915E-3</v>
      </c>
      <c r="AA11">
        <v>402508</v>
      </c>
      <c r="AB11">
        <v>20868</v>
      </c>
      <c r="AD11" t="s">
        <v>5</v>
      </c>
      <c r="AE11">
        <v>48</v>
      </c>
      <c r="AF11">
        <v>6</v>
      </c>
      <c r="AH11" t="s">
        <v>12401</v>
      </c>
      <c r="AI11" t="s">
        <v>12639</v>
      </c>
      <c r="AK11" t="s">
        <v>12638</v>
      </c>
      <c r="AL11">
        <v>0</v>
      </c>
      <c r="AM11" s="5">
        <f t="shared" si="3"/>
        <v>0</v>
      </c>
      <c r="AN11" s="4">
        <f t="shared" si="4"/>
        <v>0</v>
      </c>
      <c r="AO11" s="3"/>
      <c r="AP11">
        <v>0</v>
      </c>
      <c r="AR11" t="s">
        <v>1</v>
      </c>
      <c r="AT11" s="2" t="s">
        <v>0</v>
      </c>
      <c r="AU11" s="1">
        <f t="shared" si="5"/>
        <v>0.26347401297349238</v>
      </c>
      <c r="AV11" s="1">
        <f t="shared" si="6"/>
        <v>0.18819572355249459</v>
      </c>
      <c r="AW11" s="1">
        <f t="shared" si="7"/>
        <v>0.11291743413149673</v>
      </c>
    </row>
    <row r="12" spans="1:49" x14ac:dyDescent="0.2">
      <c r="A12">
        <v>10</v>
      </c>
      <c r="B12" t="s">
        <v>12637</v>
      </c>
      <c r="F12" t="s">
        <v>12636</v>
      </c>
      <c r="G12" t="s">
        <v>15</v>
      </c>
      <c r="H12" t="s">
        <v>14</v>
      </c>
      <c r="I12" t="s">
        <v>12635</v>
      </c>
      <c r="N12">
        <v>1</v>
      </c>
      <c r="O12" t="s">
        <v>12634</v>
      </c>
      <c r="P12">
        <v>6603312306</v>
      </c>
      <c r="R12" s="7">
        <v>34121</v>
      </c>
      <c r="S12" s="8">
        <f t="shared" si="0"/>
        <v>1993</v>
      </c>
      <c r="T12" s="8">
        <v>1993</v>
      </c>
      <c r="U12" s="8">
        <f t="shared" si="1"/>
        <v>29</v>
      </c>
      <c r="V12" s="7">
        <v>34121</v>
      </c>
      <c r="W12" t="s">
        <v>1769</v>
      </c>
      <c r="X12" s="2">
        <v>0.14099999999999999</v>
      </c>
      <c r="Y12" s="6">
        <f t="shared" si="2"/>
        <v>3.7639144710498915E-3</v>
      </c>
      <c r="AA12">
        <v>402508</v>
      </c>
      <c r="AB12">
        <v>20868</v>
      </c>
      <c r="AD12" t="s">
        <v>5</v>
      </c>
      <c r="AE12">
        <v>48</v>
      </c>
      <c r="AF12">
        <v>6</v>
      </c>
      <c r="AH12" t="s">
        <v>2740</v>
      </c>
      <c r="AI12" t="s">
        <v>12633</v>
      </c>
      <c r="AK12" t="s">
        <v>12632</v>
      </c>
      <c r="AL12">
        <v>0</v>
      </c>
      <c r="AM12" s="5">
        <f t="shared" si="3"/>
        <v>0</v>
      </c>
      <c r="AN12" s="4">
        <f t="shared" si="4"/>
        <v>0</v>
      </c>
      <c r="AO12" s="3"/>
      <c r="AP12">
        <v>0</v>
      </c>
      <c r="AR12" t="s">
        <v>1</v>
      </c>
      <c r="AT12" s="2" t="s">
        <v>0</v>
      </c>
      <c r="AU12" s="1">
        <f t="shared" si="5"/>
        <v>0.26347401297349238</v>
      </c>
      <c r="AV12" s="1">
        <f t="shared" si="6"/>
        <v>0.18819572355249459</v>
      </c>
      <c r="AW12" s="1">
        <f t="shared" si="7"/>
        <v>0.11291743413149673</v>
      </c>
    </row>
    <row r="13" spans="1:49" x14ac:dyDescent="0.2">
      <c r="A13">
        <v>11</v>
      </c>
      <c r="B13" t="s">
        <v>12631</v>
      </c>
      <c r="F13" t="s">
        <v>12630</v>
      </c>
      <c r="G13" t="s">
        <v>15</v>
      </c>
      <c r="H13" t="s">
        <v>14</v>
      </c>
      <c r="I13" t="s">
        <v>12412</v>
      </c>
      <c r="N13">
        <v>2</v>
      </c>
      <c r="O13" t="s">
        <v>12629</v>
      </c>
      <c r="P13" t="s">
        <v>12628</v>
      </c>
      <c r="Q13" t="s">
        <v>1557</v>
      </c>
      <c r="R13" s="7">
        <v>34121</v>
      </c>
      <c r="S13" s="8">
        <f t="shared" si="0"/>
        <v>1993</v>
      </c>
      <c r="T13" s="8">
        <v>1993</v>
      </c>
      <c r="U13" s="8">
        <f t="shared" si="1"/>
        <v>29</v>
      </c>
      <c r="V13" s="7">
        <v>34121</v>
      </c>
      <c r="W13" t="s">
        <v>1769</v>
      </c>
      <c r="X13" s="2">
        <v>0.14099999999999999</v>
      </c>
      <c r="Y13" s="6">
        <f t="shared" si="2"/>
        <v>3.7639144710498915E-3</v>
      </c>
      <c r="AA13">
        <v>402508</v>
      </c>
      <c r="AB13">
        <v>20868</v>
      </c>
      <c r="AD13" t="s">
        <v>5</v>
      </c>
      <c r="AE13">
        <v>48</v>
      </c>
      <c r="AF13">
        <v>6</v>
      </c>
      <c r="AH13" t="s">
        <v>12627</v>
      </c>
      <c r="AI13" t="s">
        <v>12626</v>
      </c>
      <c r="AK13" t="s">
        <v>12625</v>
      </c>
      <c r="AL13">
        <v>0</v>
      </c>
      <c r="AM13" s="5">
        <f t="shared" si="3"/>
        <v>0</v>
      </c>
      <c r="AN13" s="4">
        <f t="shared" si="4"/>
        <v>0</v>
      </c>
      <c r="AO13" s="3"/>
      <c r="AP13">
        <v>0</v>
      </c>
      <c r="AR13" t="s">
        <v>1</v>
      </c>
      <c r="AT13" s="2" t="s">
        <v>0</v>
      </c>
      <c r="AU13" s="1">
        <f t="shared" si="5"/>
        <v>0.26347401297349238</v>
      </c>
      <c r="AV13" s="1">
        <f t="shared" si="6"/>
        <v>0.18819572355249459</v>
      </c>
      <c r="AW13" s="1">
        <f t="shared" si="7"/>
        <v>0.11291743413149673</v>
      </c>
    </row>
    <row r="14" spans="1:49" x14ac:dyDescent="0.2">
      <c r="A14">
        <v>12</v>
      </c>
      <c r="B14" t="s">
        <v>12624</v>
      </c>
      <c r="F14" t="s">
        <v>12623</v>
      </c>
      <c r="G14" t="s">
        <v>15</v>
      </c>
      <c r="H14" t="s">
        <v>14</v>
      </c>
      <c r="I14" t="s">
        <v>9930</v>
      </c>
      <c r="J14">
        <v>60008809</v>
      </c>
      <c r="K14" t="s">
        <v>12622</v>
      </c>
      <c r="M14" t="s">
        <v>10</v>
      </c>
      <c r="N14">
        <v>4</v>
      </c>
      <c r="O14" t="s">
        <v>9926</v>
      </c>
      <c r="P14" t="s">
        <v>9925</v>
      </c>
      <c r="Q14" t="s">
        <v>12621</v>
      </c>
      <c r="R14" s="7">
        <v>34121</v>
      </c>
      <c r="S14" s="8">
        <f t="shared" si="0"/>
        <v>1993</v>
      </c>
      <c r="T14" s="8">
        <v>1993</v>
      </c>
      <c r="U14" s="8">
        <f t="shared" si="1"/>
        <v>29</v>
      </c>
      <c r="V14" s="7">
        <v>34121</v>
      </c>
      <c r="W14" t="s">
        <v>548</v>
      </c>
      <c r="X14" s="2">
        <v>1.3720000000000001</v>
      </c>
      <c r="Y14" s="6">
        <f t="shared" si="2"/>
        <v>3.662475641333654E-2</v>
      </c>
      <c r="AA14">
        <v>189480</v>
      </c>
      <c r="AB14">
        <v>17366</v>
      </c>
      <c r="AD14" t="s">
        <v>5</v>
      </c>
      <c r="AE14">
        <v>41</v>
      </c>
      <c r="AF14" s="9">
        <v>44383</v>
      </c>
      <c r="AH14" t="s">
        <v>12620</v>
      </c>
      <c r="AI14" t="s">
        <v>12619</v>
      </c>
      <c r="AK14" t="s">
        <v>12618</v>
      </c>
      <c r="AL14">
        <v>20</v>
      </c>
      <c r="AM14" s="5">
        <f t="shared" si="3"/>
        <v>0.68965517241379315</v>
      </c>
      <c r="AN14" s="4">
        <f t="shared" si="4"/>
        <v>1.0445364216793535E-3</v>
      </c>
      <c r="AO14" s="3"/>
      <c r="AP14">
        <v>0</v>
      </c>
      <c r="AR14" t="s">
        <v>1</v>
      </c>
      <c r="AT14" s="2" t="s">
        <v>0</v>
      </c>
      <c r="AU14" s="1">
        <f t="shared" si="5"/>
        <v>2.5950690415839381</v>
      </c>
      <c r="AV14" s="1">
        <f t="shared" si="6"/>
        <v>1.8834646417507948</v>
      </c>
      <c r="AW14" s="1">
        <f t="shared" si="7"/>
        <v>1.1718602419176509</v>
      </c>
    </row>
    <row r="15" spans="1:49" x14ac:dyDescent="0.2">
      <c r="A15">
        <v>13</v>
      </c>
      <c r="B15" t="s">
        <v>12617</v>
      </c>
      <c r="F15" t="s">
        <v>12616</v>
      </c>
      <c r="G15" t="s">
        <v>15</v>
      </c>
      <c r="H15" t="s">
        <v>14</v>
      </c>
      <c r="I15" t="s">
        <v>12615</v>
      </c>
      <c r="J15">
        <v>60014652</v>
      </c>
      <c r="K15" t="s">
        <v>1649</v>
      </c>
      <c r="L15" t="s">
        <v>1648</v>
      </c>
      <c r="M15" t="s">
        <v>150</v>
      </c>
      <c r="N15">
        <v>3</v>
      </c>
      <c r="O15" t="s">
        <v>12614</v>
      </c>
      <c r="P15" t="s">
        <v>12613</v>
      </c>
      <c r="Q15" t="s">
        <v>12612</v>
      </c>
      <c r="R15" s="7">
        <v>34121</v>
      </c>
      <c r="S15" s="8">
        <f t="shared" si="0"/>
        <v>1993</v>
      </c>
      <c r="T15" s="8">
        <v>1993</v>
      </c>
      <c r="U15" s="8">
        <f t="shared" si="1"/>
        <v>29</v>
      </c>
      <c r="V15" s="7">
        <v>34121</v>
      </c>
      <c r="W15" t="s">
        <v>1707</v>
      </c>
      <c r="X15" s="2">
        <v>0.21099999999999999</v>
      </c>
      <c r="Y15" s="6">
        <f t="shared" si="2"/>
        <v>5.6325244921384904E-3</v>
      </c>
      <c r="AA15">
        <v>9168516</v>
      </c>
      <c r="AB15">
        <v>18936</v>
      </c>
      <c r="AD15" t="s">
        <v>5</v>
      </c>
      <c r="AE15" t="s">
        <v>1706</v>
      </c>
      <c r="AF15">
        <v>6</v>
      </c>
      <c r="AH15" t="s">
        <v>12611</v>
      </c>
      <c r="AI15" t="s">
        <v>12610</v>
      </c>
      <c r="AK15" t="s">
        <v>12609</v>
      </c>
      <c r="AL15">
        <v>3</v>
      </c>
      <c r="AM15" s="5">
        <f t="shared" si="3"/>
        <v>0.10344827586206896</v>
      </c>
      <c r="AN15" s="4">
        <f t="shared" si="4"/>
        <v>1.5668046325190301E-4</v>
      </c>
      <c r="AO15" s="3"/>
      <c r="AP15">
        <v>0</v>
      </c>
      <c r="AR15" t="s">
        <v>1</v>
      </c>
      <c r="AT15" s="2">
        <v>0.52500000000000002</v>
      </c>
      <c r="AU15" s="1">
        <f t="shared" si="5"/>
        <v>0.39897712834725141</v>
      </c>
      <c r="AV15" s="1">
        <f t="shared" si="6"/>
        <v>0.28946024776951967</v>
      </c>
      <c r="AW15" s="1">
        <f t="shared" si="7"/>
        <v>0.17994336719178791</v>
      </c>
    </row>
    <row r="16" spans="1:49" x14ac:dyDescent="0.2">
      <c r="A16">
        <v>14</v>
      </c>
      <c r="B16" t="s">
        <v>12608</v>
      </c>
      <c r="F16" t="s">
        <v>12607</v>
      </c>
      <c r="G16" t="s">
        <v>15</v>
      </c>
      <c r="H16" t="s">
        <v>14</v>
      </c>
      <c r="I16" t="s">
        <v>12606</v>
      </c>
      <c r="J16">
        <v>100557654</v>
      </c>
      <c r="K16" t="s">
        <v>12605</v>
      </c>
      <c r="N16">
        <v>1</v>
      </c>
      <c r="O16" t="s">
        <v>12604</v>
      </c>
      <c r="P16">
        <v>55449017800</v>
      </c>
      <c r="Q16">
        <v>100557654</v>
      </c>
      <c r="R16" s="7">
        <v>34121</v>
      </c>
      <c r="S16" s="8">
        <f t="shared" si="0"/>
        <v>1993</v>
      </c>
      <c r="T16" s="8">
        <v>1993</v>
      </c>
      <c r="U16" s="8">
        <f t="shared" si="1"/>
        <v>29</v>
      </c>
      <c r="V16" s="7">
        <v>34121</v>
      </c>
      <c r="W16" t="s">
        <v>12603</v>
      </c>
      <c r="X16" s="2" t="s">
        <v>0</v>
      </c>
      <c r="Y16" s="6" t="e">
        <f t="shared" si="2"/>
        <v>#VALUE!</v>
      </c>
      <c r="AA16">
        <v>3854507</v>
      </c>
      <c r="AB16">
        <v>37257</v>
      </c>
      <c r="AD16" t="s">
        <v>5</v>
      </c>
      <c r="AE16">
        <v>30</v>
      </c>
      <c r="AF16">
        <v>318</v>
      </c>
      <c r="AH16" t="s">
        <v>12602</v>
      </c>
      <c r="AI16" t="s">
        <v>12601</v>
      </c>
      <c r="AK16" t="s">
        <v>12600</v>
      </c>
      <c r="AL16">
        <v>0</v>
      </c>
      <c r="AM16" s="5">
        <f t="shared" si="3"/>
        <v>0</v>
      </c>
      <c r="AN16" s="4">
        <f t="shared" si="4"/>
        <v>0</v>
      </c>
      <c r="AO16" s="3"/>
      <c r="AP16">
        <v>0</v>
      </c>
      <c r="AR16" t="s">
        <v>1</v>
      </c>
      <c r="AT16" s="2" t="s">
        <v>0</v>
      </c>
      <c r="AU16" s="1" t="e">
        <f t="shared" si="5"/>
        <v>#VALUE!</v>
      </c>
      <c r="AV16" s="1" t="e">
        <f t="shared" si="6"/>
        <v>#VALUE!</v>
      </c>
      <c r="AW16" s="1" t="e">
        <f t="shared" si="7"/>
        <v>#VALUE!</v>
      </c>
    </row>
    <row r="17" spans="1:49" x14ac:dyDescent="0.2">
      <c r="A17">
        <v>15</v>
      </c>
      <c r="B17" t="s">
        <v>12599</v>
      </c>
      <c r="C17" t="s">
        <v>12598</v>
      </c>
      <c r="F17" t="s">
        <v>12597</v>
      </c>
      <c r="G17" t="s">
        <v>15</v>
      </c>
      <c r="H17" t="s">
        <v>14</v>
      </c>
      <c r="I17" t="s">
        <v>4958</v>
      </c>
      <c r="J17">
        <v>60015457</v>
      </c>
      <c r="K17" t="s">
        <v>4957</v>
      </c>
      <c r="L17" t="s">
        <v>4956</v>
      </c>
      <c r="M17" t="s">
        <v>10</v>
      </c>
      <c r="N17">
        <v>2</v>
      </c>
      <c r="O17" t="s">
        <v>12596</v>
      </c>
      <c r="P17" t="s">
        <v>12595</v>
      </c>
      <c r="Q17" t="s">
        <v>12594</v>
      </c>
      <c r="R17" s="7">
        <v>34121</v>
      </c>
      <c r="S17" s="8">
        <f t="shared" si="0"/>
        <v>1993</v>
      </c>
      <c r="T17" s="8">
        <v>1993</v>
      </c>
      <c r="U17" s="8">
        <f t="shared" si="1"/>
        <v>29</v>
      </c>
      <c r="V17" s="7">
        <v>34121</v>
      </c>
      <c r="W17" t="s">
        <v>2367</v>
      </c>
      <c r="X17" s="2">
        <v>0.82</v>
      </c>
      <c r="Y17" s="6">
        <f t="shared" si="2"/>
        <v>2.1889431675609299E-2</v>
      </c>
      <c r="AA17">
        <v>189456</v>
      </c>
      <c r="AB17">
        <v>15361</v>
      </c>
      <c r="AD17" t="s">
        <v>5</v>
      </c>
      <c r="AE17">
        <v>42</v>
      </c>
      <c r="AF17">
        <v>3</v>
      </c>
      <c r="AH17" t="s">
        <v>12593</v>
      </c>
      <c r="AI17" t="s">
        <v>12592</v>
      </c>
      <c r="AK17" t="s">
        <v>12591</v>
      </c>
      <c r="AL17">
        <v>14</v>
      </c>
      <c r="AM17" s="5">
        <f t="shared" si="3"/>
        <v>0.48275862068965519</v>
      </c>
      <c r="AN17" s="4">
        <f t="shared" si="4"/>
        <v>7.3117549517554741E-4</v>
      </c>
      <c r="AO17" s="3"/>
      <c r="AP17">
        <v>0</v>
      </c>
      <c r="AR17" t="s">
        <v>1</v>
      </c>
      <c r="AT17" s="2" t="s">
        <v>0</v>
      </c>
      <c r="AU17" s="1">
        <f t="shared" si="5"/>
        <v>1.5541954821479171</v>
      </c>
      <c r="AV17" s="1">
        <f t="shared" si="6"/>
        <v>1.1310303585392423</v>
      </c>
      <c r="AW17" s="1">
        <f t="shared" si="7"/>
        <v>0.70786523493056719</v>
      </c>
    </row>
    <row r="18" spans="1:49" x14ac:dyDescent="0.2">
      <c r="A18">
        <v>16</v>
      </c>
      <c r="B18" t="s">
        <v>12590</v>
      </c>
      <c r="C18" t="s">
        <v>12589</v>
      </c>
      <c r="F18" t="s">
        <v>12588</v>
      </c>
      <c r="G18" t="s">
        <v>15</v>
      </c>
      <c r="H18" t="s">
        <v>14</v>
      </c>
      <c r="I18" t="s">
        <v>7217</v>
      </c>
      <c r="J18">
        <v>60032882</v>
      </c>
      <c r="K18" t="s">
        <v>4404</v>
      </c>
      <c r="L18" t="s">
        <v>4403</v>
      </c>
      <c r="M18" t="s">
        <v>721</v>
      </c>
      <c r="N18">
        <v>2</v>
      </c>
      <c r="O18" t="s">
        <v>12587</v>
      </c>
      <c r="P18" t="s">
        <v>12586</v>
      </c>
      <c r="Q18" t="s">
        <v>4400</v>
      </c>
      <c r="R18" s="7">
        <v>34121</v>
      </c>
      <c r="S18" s="8">
        <f t="shared" si="0"/>
        <v>1993</v>
      </c>
      <c r="T18" s="8">
        <v>1993</v>
      </c>
      <c r="U18" s="8">
        <f t="shared" si="1"/>
        <v>29</v>
      </c>
      <c r="V18" s="7">
        <v>34121</v>
      </c>
      <c r="W18" t="s">
        <v>2915</v>
      </c>
      <c r="X18" s="2">
        <v>0.61499999999999999</v>
      </c>
      <c r="Y18" s="6">
        <f t="shared" si="2"/>
        <v>1.6417073756706976E-2</v>
      </c>
      <c r="AA18">
        <v>1959271</v>
      </c>
      <c r="AB18">
        <v>12141</v>
      </c>
      <c r="AC18">
        <v>15729559</v>
      </c>
      <c r="AD18" t="s">
        <v>5</v>
      </c>
      <c r="AE18">
        <v>14</v>
      </c>
      <c r="AF18">
        <v>6</v>
      </c>
      <c r="AH18" t="s">
        <v>12585</v>
      </c>
      <c r="AI18" t="s">
        <v>12584</v>
      </c>
      <c r="AK18" t="s">
        <v>12583</v>
      </c>
      <c r="AL18">
        <v>25</v>
      </c>
      <c r="AM18" s="5">
        <f t="shared" si="3"/>
        <v>0.86206896551724133</v>
      </c>
      <c r="AN18" s="4">
        <f t="shared" si="4"/>
        <v>1.3056705270991916E-3</v>
      </c>
      <c r="AO18" s="3"/>
      <c r="AP18">
        <v>0</v>
      </c>
      <c r="AR18" t="s">
        <v>1</v>
      </c>
      <c r="AT18" s="2" t="s">
        <v>0</v>
      </c>
      <c r="AU18" s="1">
        <f t="shared" si="5"/>
        <v>1.1883652787824639</v>
      </c>
      <c r="AV18" s="1">
        <f t="shared" si="6"/>
        <v>0.88613721419030844</v>
      </c>
      <c r="AW18" s="1">
        <f t="shared" si="7"/>
        <v>0.58390914959815265</v>
      </c>
    </row>
    <row r="19" spans="1:49" x14ac:dyDescent="0.2">
      <c r="A19">
        <v>17</v>
      </c>
      <c r="B19" t="s">
        <v>12582</v>
      </c>
      <c r="C19" t="s">
        <v>12581</v>
      </c>
      <c r="F19" t="s">
        <v>12580</v>
      </c>
      <c r="G19" t="s">
        <v>15</v>
      </c>
      <c r="H19" t="s">
        <v>14</v>
      </c>
      <c r="I19" t="s">
        <v>12542</v>
      </c>
      <c r="J19">
        <v>60027550</v>
      </c>
      <c r="K19" t="s">
        <v>1833</v>
      </c>
      <c r="L19" t="s">
        <v>1832</v>
      </c>
      <c r="M19" t="s">
        <v>10</v>
      </c>
      <c r="N19">
        <v>5</v>
      </c>
      <c r="O19" t="s">
        <v>12579</v>
      </c>
      <c r="P19" t="s">
        <v>12578</v>
      </c>
      <c r="Q19" t="s">
        <v>12577</v>
      </c>
      <c r="R19" s="7">
        <v>34121</v>
      </c>
      <c r="S19" s="8">
        <f t="shared" si="0"/>
        <v>1993</v>
      </c>
      <c r="T19" s="8">
        <v>1993</v>
      </c>
      <c r="U19" s="8">
        <f t="shared" si="1"/>
        <v>29</v>
      </c>
      <c r="V19" s="7">
        <v>34121</v>
      </c>
      <c r="W19" t="s">
        <v>2915</v>
      </c>
      <c r="X19" s="2">
        <v>0.61499999999999999</v>
      </c>
      <c r="Y19" s="6">
        <f t="shared" si="2"/>
        <v>1.6417073756706976E-2</v>
      </c>
      <c r="AA19">
        <v>1959271</v>
      </c>
      <c r="AB19">
        <v>12141</v>
      </c>
      <c r="AC19">
        <v>15729559</v>
      </c>
      <c r="AD19" t="s">
        <v>5</v>
      </c>
      <c r="AE19">
        <v>14</v>
      </c>
      <c r="AF19">
        <v>6</v>
      </c>
      <c r="AH19" t="s">
        <v>12576</v>
      </c>
      <c r="AI19" t="s">
        <v>12575</v>
      </c>
      <c r="AK19" t="s">
        <v>12574</v>
      </c>
      <c r="AL19">
        <v>2</v>
      </c>
      <c r="AM19" s="5">
        <f t="shared" si="3"/>
        <v>6.8965517241379309E-2</v>
      </c>
      <c r="AN19" s="4">
        <f t="shared" si="4"/>
        <v>1.0445364216793535E-4</v>
      </c>
      <c r="AO19" s="3"/>
      <c r="AP19">
        <v>0</v>
      </c>
      <c r="AR19" t="s">
        <v>1</v>
      </c>
      <c r="AT19" s="2" t="s">
        <v>0</v>
      </c>
      <c r="AU19" s="1">
        <f t="shared" si="5"/>
        <v>1.1523287722345261</v>
      </c>
      <c r="AV19" s="1">
        <f t="shared" si="6"/>
        <v>0.82607636994374545</v>
      </c>
      <c r="AW19" s="1">
        <f t="shared" si="7"/>
        <v>0.49982396765296472</v>
      </c>
    </row>
    <row r="20" spans="1:49" x14ac:dyDescent="0.2">
      <c r="A20">
        <v>18</v>
      </c>
      <c r="B20" t="s">
        <v>12573</v>
      </c>
      <c r="C20" t="s">
        <v>12572</v>
      </c>
      <c r="F20" t="s">
        <v>12571</v>
      </c>
      <c r="G20" t="s">
        <v>15</v>
      </c>
      <c r="H20" t="s">
        <v>14</v>
      </c>
      <c r="I20" t="s">
        <v>9461</v>
      </c>
      <c r="J20">
        <v>60009037</v>
      </c>
      <c r="K20" t="s">
        <v>647</v>
      </c>
      <c r="L20" t="s">
        <v>646</v>
      </c>
      <c r="M20" t="s">
        <v>10</v>
      </c>
      <c r="N20">
        <v>2</v>
      </c>
      <c r="O20" t="s">
        <v>12570</v>
      </c>
      <c r="P20" t="s">
        <v>12569</v>
      </c>
      <c r="Q20" t="s">
        <v>6954</v>
      </c>
      <c r="R20" s="7">
        <v>34121</v>
      </c>
      <c r="S20" s="8">
        <f t="shared" si="0"/>
        <v>1993</v>
      </c>
      <c r="T20" s="8">
        <v>1993</v>
      </c>
      <c r="U20" s="8">
        <f t="shared" si="1"/>
        <v>29</v>
      </c>
      <c r="V20" s="7">
        <v>34121</v>
      </c>
      <c r="W20" t="s">
        <v>2915</v>
      </c>
      <c r="X20" s="2">
        <v>0.61499999999999999</v>
      </c>
      <c r="Y20" s="6">
        <f t="shared" si="2"/>
        <v>1.6417073756706976E-2</v>
      </c>
      <c r="AA20">
        <v>1959271</v>
      </c>
      <c r="AB20">
        <v>12141</v>
      </c>
      <c r="AC20">
        <v>15729559</v>
      </c>
      <c r="AD20" t="s">
        <v>5</v>
      </c>
      <c r="AE20">
        <v>14</v>
      </c>
      <c r="AF20">
        <v>6</v>
      </c>
      <c r="AH20" t="s">
        <v>12568</v>
      </c>
      <c r="AI20" t="s">
        <v>12567</v>
      </c>
      <c r="AK20" t="s">
        <v>12566</v>
      </c>
      <c r="AL20">
        <v>1</v>
      </c>
      <c r="AM20" s="5">
        <f t="shared" si="3"/>
        <v>3.4482758620689655E-2</v>
      </c>
      <c r="AN20" s="4">
        <f t="shared" si="4"/>
        <v>5.2226821083967674E-5</v>
      </c>
      <c r="AO20" s="3"/>
      <c r="AP20">
        <v>0</v>
      </c>
      <c r="AR20" t="s">
        <v>1</v>
      </c>
      <c r="AT20" s="2" t="s">
        <v>0</v>
      </c>
      <c r="AU20" s="1">
        <f t="shared" si="5"/>
        <v>1.1507619676020071</v>
      </c>
      <c r="AV20" s="1">
        <f t="shared" si="6"/>
        <v>0.82346502888954709</v>
      </c>
      <c r="AW20" s="1">
        <f t="shared" si="7"/>
        <v>0.49616809017708696</v>
      </c>
    </row>
    <row r="21" spans="1:49" x14ac:dyDescent="0.2">
      <c r="A21">
        <v>19</v>
      </c>
      <c r="B21" t="s">
        <v>12565</v>
      </c>
      <c r="F21" t="s">
        <v>12564</v>
      </c>
      <c r="G21" t="s">
        <v>15</v>
      </c>
      <c r="H21" t="s">
        <v>14</v>
      </c>
      <c r="I21" t="s">
        <v>12563</v>
      </c>
      <c r="J21">
        <v>60013738</v>
      </c>
      <c r="K21" t="s">
        <v>12562</v>
      </c>
      <c r="L21" t="s">
        <v>494</v>
      </c>
      <c r="M21" t="s">
        <v>508</v>
      </c>
      <c r="N21">
        <v>3</v>
      </c>
      <c r="O21" t="s">
        <v>12561</v>
      </c>
      <c r="P21" t="s">
        <v>12560</v>
      </c>
      <c r="Q21" t="s">
        <v>12559</v>
      </c>
      <c r="R21" s="7">
        <v>34121</v>
      </c>
      <c r="S21" s="8">
        <f t="shared" si="0"/>
        <v>1993</v>
      </c>
      <c r="T21" s="8">
        <v>1993</v>
      </c>
      <c r="U21" s="8">
        <f t="shared" si="1"/>
        <v>29</v>
      </c>
      <c r="V21" s="7">
        <v>34121</v>
      </c>
      <c r="W21" t="s">
        <v>12548</v>
      </c>
      <c r="X21" s="2" t="s">
        <v>0</v>
      </c>
      <c r="Y21" s="6" t="e">
        <f t="shared" si="2"/>
        <v>#VALUE!</v>
      </c>
      <c r="AA21">
        <v>82821</v>
      </c>
      <c r="AB21">
        <v>13808</v>
      </c>
      <c r="AD21" t="s">
        <v>5</v>
      </c>
      <c r="AE21">
        <v>39</v>
      </c>
      <c r="AF21">
        <v>2</v>
      </c>
      <c r="AH21" t="s">
        <v>11192</v>
      </c>
      <c r="AI21" t="s">
        <v>12558</v>
      </c>
      <c r="AK21" t="s">
        <v>12557</v>
      </c>
      <c r="AL21">
        <v>0</v>
      </c>
      <c r="AM21" s="5">
        <f t="shared" si="3"/>
        <v>0</v>
      </c>
      <c r="AN21" s="4">
        <f t="shared" si="4"/>
        <v>0</v>
      </c>
      <c r="AO21" s="3"/>
      <c r="AP21">
        <v>0</v>
      </c>
      <c r="AR21" t="s">
        <v>1</v>
      </c>
      <c r="AT21" s="2" t="s">
        <v>0</v>
      </c>
      <c r="AU21" s="1" t="e">
        <f t="shared" si="5"/>
        <v>#VALUE!</v>
      </c>
      <c r="AV21" s="1" t="e">
        <f t="shared" si="6"/>
        <v>#VALUE!</v>
      </c>
      <c r="AW21" s="1" t="e">
        <f t="shared" si="7"/>
        <v>#VALUE!</v>
      </c>
    </row>
    <row r="22" spans="1:49" x14ac:dyDescent="0.2">
      <c r="A22">
        <v>20</v>
      </c>
      <c r="B22" t="s">
        <v>12556</v>
      </c>
      <c r="F22" t="s">
        <v>12555</v>
      </c>
      <c r="G22" t="s">
        <v>15</v>
      </c>
      <c r="H22" t="s">
        <v>14</v>
      </c>
      <c r="I22" t="s">
        <v>12554</v>
      </c>
      <c r="J22">
        <v>60079059</v>
      </c>
      <c r="K22" t="s">
        <v>12553</v>
      </c>
      <c r="L22" t="s">
        <v>12552</v>
      </c>
      <c r="M22" t="s">
        <v>508</v>
      </c>
      <c r="N22">
        <v>2</v>
      </c>
      <c r="O22" t="s">
        <v>12551</v>
      </c>
      <c r="P22" t="s">
        <v>12550</v>
      </c>
      <c r="Q22" t="s">
        <v>12549</v>
      </c>
      <c r="R22" s="7">
        <v>34121</v>
      </c>
      <c r="S22" s="8">
        <f t="shared" si="0"/>
        <v>1993</v>
      </c>
      <c r="T22" s="8">
        <v>1993</v>
      </c>
      <c r="U22" s="8">
        <f t="shared" si="1"/>
        <v>29</v>
      </c>
      <c r="V22" s="7">
        <v>34121</v>
      </c>
      <c r="W22" t="s">
        <v>12548</v>
      </c>
      <c r="X22" s="2" t="s">
        <v>0</v>
      </c>
      <c r="Y22" s="6" t="e">
        <f t="shared" si="2"/>
        <v>#VALUE!</v>
      </c>
      <c r="AA22">
        <v>82821</v>
      </c>
      <c r="AB22">
        <v>13808</v>
      </c>
      <c r="AD22" t="s">
        <v>5</v>
      </c>
      <c r="AE22">
        <v>39</v>
      </c>
      <c r="AF22">
        <v>2</v>
      </c>
      <c r="AH22" t="s">
        <v>4752</v>
      </c>
      <c r="AI22" t="s">
        <v>12547</v>
      </c>
      <c r="AK22" t="s">
        <v>12546</v>
      </c>
      <c r="AL22">
        <v>1</v>
      </c>
      <c r="AM22" s="5">
        <f t="shared" si="3"/>
        <v>3.4482758620689655E-2</v>
      </c>
      <c r="AN22" s="4">
        <f t="shared" si="4"/>
        <v>5.2226821083967674E-5</v>
      </c>
      <c r="AO22" s="3"/>
      <c r="AP22">
        <v>0</v>
      </c>
      <c r="AR22" t="s">
        <v>1</v>
      </c>
      <c r="AT22" s="2" t="s">
        <v>0</v>
      </c>
      <c r="AU22" s="1" t="e">
        <f t="shared" si="5"/>
        <v>#VALUE!</v>
      </c>
      <c r="AV22" s="1" t="e">
        <f t="shared" si="6"/>
        <v>#VALUE!</v>
      </c>
      <c r="AW22" s="1" t="e">
        <f t="shared" si="7"/>
        <v>#VALUE!</v>
      </c>
    </row>
    <row r="23" spans="1:49" x14ac:dyDescent="0.2">
      <c r="A23">
        <v>21</v>
      </c>
      <c r="B23" t="s">
        <v>12545</v>
      </c>
      <c r="C23" t="s">
        <v>12544</v>
      </c>
      <c r="F23" t="s">
        <v>12543</v>
      </c>
      <c r="G23" t="s">
        <v>15</v>
      </c>
      <c r="H23" t="s">
        <v>14</v>
      </c>
      <c r="I23" t="s">
        <v>12542</v>
      </c>
      <c r="J23">
        <v>60027550</v>
      </c>
      <c r="K23" t="s">
        <v>1833</v>
      </c>
      <c r="L23" t="s">
        <v>1832</v>
      </c>
      <c r="M23" t="s">
        <v>10</v>
      </c>
      <c r="N23">
        <v>6</v>
      </c>
      <c r="O23" t="s">
        <v>12541</v>
      </c>
      <c r="P23" t="s">
        <v>12540</v>
      </c>
      <c r="Q23" t="s">
        <v>12539</v>
      </c>
      <c r="R23" s="7">
        <v>34121</v>
      </c>
      <c r="S23" s="8">
        <f t="shared" si="0"/>
        <v>1993</v>
      </c>
      <c r="T23" s="8">
        <v>1993</v>
      </c>
      <c r="U23" s="8">
        <f t="shared" si="1"/>
        <v>29</v>
      </c>
      <c r="V23" s="7">
        <v>34121</v>
      </c>
      <c r="W23" t="s">
        <v>2915</v>
      </c>
      <c r="X23" s="2">
        <v>0.61499999999999999</v>
      </c>
      <c r="Y23" s="6">
        <f t="shared" si="2"/>
        <v>1.6417073756706976E-2</v>
      </c>
      <c r="AA23">
        <v>1959271</v>
      </c>
      <c r="AB23">
        <v>12141</v>
      </c>
      <c r="AC23">
        <v>15729559</v>
      </c>
      <c r="AD23" t="s">
        <v>5</v>
      </c>
      <c r="AE23">
        <v>14</v>
      </c>
      <c r="AF23">
        <v>6</v>
      </c>
      <c r="AH23" t="s">
        <v>12538</v>
      </c>
      <c r="AI23" t="s">
        <v>12537</v>
      </c>
      <c r="AK23" t="s">
        <v>12536</v>
      </c>
      <c r="AL23">
        <v>1</v>
      </c>
      <c r="AM23" s="5">
        <f t="shared" si="3"/>
        <v>3.4482758620689655E-2</v>
      </c>
      <c r="AN23" s="4">
        <f t="shared" si="4"/>
        <v>5.2226821083967674E-5</v>
      </c>
      <c r="AO23" s="3"/>
      <c r="AP23">
        <v>0</v>
      </c>
      <c r="AR23" t="s">
        <v>1</v>
      </c>
      <c r="AT23" s="2" t="s">
        <v>0</v>
      </c>
      <c r="AU23" s="1">
        <f t="shared" si="5"/>
        <v>1.1507619676020071</v>
      </c>
      <c r="AV23" s="1">
        <f t="shared" si="6"/>
        <v>0.82346502888954709</v>
      </c>
      <c r="AW23" s="1">
        <f t="shared" si="7"/>
        <v>0.49616809017708696</v>
      </c>
    </row>
    <row r="24" spans="1:49" x14ac:dyDescent="0.2">
      <c r="A24">
        <v>22</v>
      </c>
      <c r="B24" t="s">
        <v>12535</v>
      </c>
      <c r="C24" t="s">
        <v>12534</v>
      </c>
      <c r="E24">
        <v>7689367</v>
      </c>
      <c r="F24" t="s">
        <v>12533</v>
      </c>
      <c r="G24" t="s">
        <v>15</v>
      </c>
      <c r="H24" t="s">
        <v>14</v>
      </c>
      <c r="I24" t="s">
        <v>12532</v>
      </c>
      <c r="J24" t="s">
        <v>12531</v>
      </c>
      <c r="K24" t="s">
        <v>12530</v>
      </c>
      <c r="L24" t="s">
        <v>12529</v>
      </c>
      <c r="M24" t="s">
        <v>12528</v>
      </c>
      <c r="N24">
        <v>7</v>
      </c>
      <c r="O24" t="s">
        <v>12527</v>
      </c>
      <c r="P24" t="s">
        <v>12526</v>
      </c>
      <c r="Q24" t="s">
        <v>12525</v>
      </c>
      <c r="R24" s="7">
        <v>34121</v>
      </c>
      <c r="S24" s="8">
        <f t="shared" si="0"/>
        <v>1993</v>
      </c>
      <c r="T24" s="8">
        <v>1993</v>
      </c>
      <c r="U24" s="8">
        <f t="shared" si="1"/>
        <v>29</v>
      </c>
      <c r="V24" s="7">
        <v>34121</v>
      </c>
      <c r="W24" t="s">
        <v>12524</v>
      </c>
      <c r="X24" s="2">
        <v>1.7569999999999999</v>
      </c>
      <c r="Y24" s="6">
        <f t="shared" si="2"/>
        <v>4.6902111529323831E-2</v>
      </c>
      <c r="AA24">
        <v>9596658</v>
      </c>
      <c r="AB24">
        <v>17511</v>
      </c>
      <c r="AD24" t="s">
        <v>5</v>
      </c>
      <c r="AE24">
        <v>3</v>
      </c>
      <c r="AF24">
        <v>3</v>
      </c>
      <c r="AH24" t="s">
        <v>12523</v>
      </c>
      <c r="AI24" t="s">
        <v>12522</v>
      </c>
      <c r="AJ24" t="s">
        <v>12521</v>
      </c>
      <c r="AK24" t="s">
        <v>12520</v>
      </c>
      <c r="AL24">
        <v>42</v>
      </c>
      <c r="AM24" s="5">
        <f t="shared" si="3"/>
        <v>1.4482758620689655</v>
      </c>
      <c r="AN24" s="4">
        <f t="shared" si="4"/>
        <v>2.1935264855266422E-3</v>
      </c>
      <c r="AO24" s="3"/>
      <c r="AP24">
        <v>0</v>
      </c>
      <c r="AQ24" t="s">
        <v>12519</v>
      </c>
      <c r="AR24">
        <v>30826</v>
      </c>
      <c r="AS24" t="s">
        <v>12518</v>
      </c>
      <c r="AT24" s="2">
        <v>4.3129999999999997</v>
      </c>
      <c r="AU24" s="1">
        <f t="shared" si="5"/>
        <v>3.3489536016184673</v>
      </c>
      <c r="AV24" s="1">
        <f t="shared" si="6"/>
        <v>2.4547819007425238</v>
      </c>
      <c r="AW24" s="1">
        <f t="shared" si="7"/>
        <v>1.5606101998665798</v>
      </c>
    </row>
    <row r="25" spans="1:49" x14ac:dyDescent="0.2">
      <c r="A25">
        <v>23</v>
      </c>
      <c r="B25" t="s">
        <v>12517</v>
      </c>
      <c r="F25" t="s">
        <v>12516</v>
      </c>
      <c r="G25" t="s">
        <v>15</v>
      </c>
      <c r="H25" t="s">
        <v>14</v>
      </c>
      <c r="I25" t="s">
        <v>12515</v>
      </c>
      <c r="J25">
        <v>60025272</v>
      </c>
      <c r="K25" t="s">
        <v>152</v>
      </c>
      <c r="L25" t="s">
        <v>151</v>
      </c>
      <c r="M25" t="s">
        <v>150</v>
      </c>
      <c r="N25">
        <v>2</v>
      </c>
      <c r="O25" t="s">
        <v>12514</v>
      </c>
      <c r="P25" t="s">
        <v>12513</v>
      </c>
      <c r="Q25" t="s">
        <v>12512</v>
      </c>
      <c r="R25" s="7">
        <v>34121</v>
      </c>
      <c r="S25" s="8">
        <f t="shared" si="0"/>
        <v>1993</v>
      </c>
      <c r="T25" s="8">
        <v>1993</v>
      </c>
      <c r="U25" s="8">
        <f t="shared" si="1"/>
        <v>29</v>
      </c>
      <c r="V25" s="7">
        <v>34121</v>
      </c>
      <c r="W25" t="s">
        <v>11386</v>
      </c>
      <c r="X25" s="2">
        <v>1.9750000000000001</v>
      </c>
      <c r="Y25" s="6">
        <f t="shared" si="2"/>
        <v>5.2721497023571186E-2</v>
      </c>
      <c r="AA25">
        <v>320781</v>
      </c>
      <c r="AB25">
        <v>19019</v>
      </c>
      <c r="AD25" t="s">
        <v>5</v>
      </c>
      <c r="AE25">
        <v>34</v>
      </c>
      <c r="AF25">
        <v>4</v>
      </c>
      <c r="AH25" t="s">
        <v>5080</v>
      </c>
      <c r="AI25" t="s">
        <v>12511</v>
      </c>
      <c r="AK25" t="s">
        <v>12510</v>
      </c>
      <c r="AL25">
        <v>38</v>
      </c>
      <c r="AM25" s="5">
        <f t="shared" si="3"/>
        <v>1.3103448275862069</v>
      </c>
      <c r="AN25" s="4">
        <f t="shared" si="4"/>
        <v>1.9846192011907715E-3</v>
      </c>
      <c r="AO25" s="3"/>
      <c r="AP25">
        <v>0</v>
      </c>
      <c r="AR25" t="s">
        <v>1</v>
      </c>
      <c r="AT25" s="2">
        <v>4.9269999999999996</v>
      </c>
      <c r="AU25" s="1">
        <f t="shared" si="5"/>
        <v>3.7500433676857061</v>
      </c>
      <c r="AV25" s="1">
        <f t="shared" si="6"/>
        <v>2.7353058112380979</v>
      </c>
      <c r="AW25" s="1">
        <f t="shared" si="7"/>
        <v>1.7205682547904895</v>
      </c>
    </row>
    <row r="26" spans="1:49" x14ac:dyDescent="0.2">
      <c r="A26">
        <v>24</v>
      </c>
      <c r="B26" t="s">
        <v>12509</v>
      </c>
      <c r="C26" t="s">
        <v>12508</v>
      </c>
      <c r="F26" t="s">
        <v>12507</v>
      </c>
      <c r="G26" t="s">
        <v>15</v>
      </c>
      <c r="H26" t="s">
        <v>14</v>
      </c>
      <c r="I26" t="s">
        <v>12506</v>
      </c>
      <c r="J26">
        <v>60000036</v>
      </c>
      <c r="K26" t="s">
        <v>9853</v>
      </c>
      <c r="L26" t="s">
        <v>9852</v>
      </c>
      <c r="M26" t="s">
        <v>391</v>
      </c>
      <c r="N26">
        <v>3</v>
      </c>
      <c r="O26" t="s">
        <v>12505</v>
      </c>
      <c r="P26" t="s">
        <v>12504</v>
      </c>
      <c r="Q26" t="s">
        <v>12503</v>
      </c>
      <c r="R26" s="7">
        <v>34121</v>
      </c>
      <c r="S26" s="8">
        <f t="shared" si="0"/>
        <v>1993</v>
      </c>
      <c r="T26" s="8">
        <v>1993</v>
      </c>
      <c r="U26" s="8">
        <f t="shared" si="1"/>
        <v>29</v>
      </c>
      <c r="V26" s="7">
        <v>34121</v>
      </c>
      <c r="W26" t="s">
        <v>11456</v>
      </c>
      <c r="X26" s="2">
        <v>0.84299999999999997</v>
      </c>
      <c r="Y26" s="6">
        <f t="shared" si="2"/>
        <v>2.250340353968127E-2</v>
      </c>
      <c r="AA26">
        <v>188158</v>
      </c>
      <c r="AB26">
        <v>15168</v>
      </c>
      <c r="AC26">
        <v>15735117</v>
      </c>
      <c r="AD26" t="s">
        <v>5</v>
      </c>
      <c r="AE26" t="s">
        <v>12502</v>
      </c>
      <c r="AF26">
        <v>1</v>
      </c>
      <c r="AH26" t="s">
        <v>9795</v>
      </c>
      <c r="AI26" t="s">
        <v>12501</v>
      </c>
      <c r="AJ26" t="s">
        <v>12500</v>
      </c>
      <c r="AK26" t="s">
        <v>12499</v>
      </c>
      <c r="AL26">
        <v>7</v>
      </c>
      <c r="AM26" s="5">
        <f t="shared" si="3"/>
        <v>0.2413793103448276</v>
      </c>
      <c r="AN26" s="4">
        <f t="shared" si="4"/>
        <v>3.655877475877737E-4</v>
      </c>
      <c r="AO26" s="3"/>
      <c r="AP26">
        <v>0</v>
      </c>
      <c r="AR26" t="s">
        <v>1</v>
      </c>
      <c r="AT26" s="2">
        <v>2.694</v>
      </c>
      <c r="AU26" s="1">
        <f t="shared" si="5"/>
        <v>1.586205880205322</v>
      </c>
      <c r="AV26" s="1">
        <f t="shared" si="6"/>
        <v>1.1434495643634521</v>
      </c>
      <c r="AW26" s="1">
        <f t="shared" si="7"/>
        <v>0.70069324852158232</v>
      </c>
    </row>
    <row r="27" spans="1:49" x14ac:dyDescent="0.2">
      <c r="A27">
        <v>25</v>
      </c>
      <c r="B27" t="s">
        <v>12498</v>
      </c>
      <c r="C27" t="s">
        <v>12497</v>
      </c>
      <c r="D27" t="s">
        <v>12496</v>
      </c>
      <c r="E27">
        <v>8495731</v>
      </c>
      <c r="F27" t="s">
        <v>12495</v>
      </c>
      <c r="G27" t="s">
        <v>15</v>
      </c>
      <c r="H27" t="s">
        <v>14</v>
      </c>
      <c r="I27" t="s">
        <v>12494</v>
      </c>
      <c r="J27" t="s">
        <v>12493</v>
      </c>
      <c r="K27" t="s">
        <v>12492</v>
      </c>
      <c r="L27" t="s">
        <v>12491</v>
      </c>
      <c r="M27" t="s">
        <v>12490</v>
      </c>
      <c r="N27">
        <v>2</v>
      </c>
      <c r="O27" t="s">
        <v>12489</v>
      </c>
      <c r="P27" t="s">
        <v>12488</v>
      </c>
      <c r="Q27" t="s">
        <v>12487</v>
      </c>
      <c r="R27" s="7">
        <v>34113</v>
      </c>
      <c r="S27" s="8">
        <f t="shared" si="0"/>
        <v>1993</v>
      </c>
      <c r="T27" s="8">
        <v>1993</v>
      </c>
      <c r="U27" s="8">
        <f t="shared" si="1"/>
        <v>29</v>
      </c>
      <c r="V27" s="7">
        <v>34113</v>
      </c>
      <c r="W27" t="s">
        <v>12486</v>
      </c>
      <c r="X27" s="2">
        <v>1.593</v>
      </c>
      <c r="Y27" s="6">
        <f t="shared" si="2"/>
        <v>4.2524225194201973E-2</v>
      </c>
      <c r="AA27">
        <v>145793</v>
      </c>
      <c r="AB27">
        <v>17481</v>
      </c>
      <c r="AD27" t="s">
        <v>5</v>
      </c>
      <c r="AE27">
        <v>323</v>
      </c>
      <c r="AF27" s="9">
        <v>44228</v>
      </c>
      <c r="AH27" t="s">
        <v>11297</v>
      </c>
      <c r="AI27" t="s">
        <v>12485</v>
      </c>
      <c r="AJ27" t="s">
        <v>12484</v>
      </c>
      <c r="AK27" t="s">
        <v>12483</v>
      </c>
      <c r="AL27">
        <v>28</v>
      </c>
      <c r="AM27" s="5">
        <f t="shared" si="3"/>
        <v>0.96551724137931039</v>
      </c>
      <c r="AN27" s="4">
        <f t="shared" si="4"/>
        <v>1.4623509903510948E-3</v>
      </c>
      <c r="AO27" s="3"/>
      <c r="AP27">
        <v>0</v>
      </c>
      <c r="AR27" t="s">
        <v>1</v>
      </c>
      <c r="AT27" s="2">
        <v>4.1239999999999997</v>
      </c>
      <c r="AU27" s="1">
        <f t="shared" si="5"/>
        <v>3.0205662933046709</v>
      </c>
      <c r="AV27" s="1">
        <f t="shared" si="6"/>
        <v>2.1993288092276533</v>
      </c>
      <c r="AW27" s="1">
        <f t="shared" si="7"/>
        <v>1.3780913251506357</v>
      </c>
    </row>
    <row r="28" spans="1:49" x14ac:dyDescent="0.2">
      <c r="A28">
        <v>26</v>
      </c>
      <c r="B28" t="s">
        <v>12482</v>
      </c>
      <c r="C28" t="s">
        <v>12481</v>
      </c>
      <c r="D28" t="s">
        <v>12480</v>
      </c>
      <c r="F28" t="s">
        <v>12479</v>
      </c>
      <c r="G28" t="s">
        <v>15</v>
      </c>
      <c r="H28" t="s">
        <v>14</v>
      </c>
      <c r="I28" t="s">
        <v>12478</v>
      </c>
      <c r="J28">
        <v>60022403</v>
      </c>
      <c r="K28" t="s">
        <v>4789</v>
      </c>
      <c r="L28" t="s">
        <v>4788</v>
      </c>
      <c r="M28" t="s">
        <v>1118</v>
      </c>
      <c r="N28">
        <v>3</v>
      </c>
      <c r="O28" t="s">
        <v>12477</v>
      </c>
      <c r="P28" t="s">
        <v>12476</v>
      </c>
      <c r="Q28" t="s">
        <v>4785</v>
      </c>
      <c r="R28" s="7">
        <v>34104</v>
      </c>
      <c r="S28" s="8">
        <f t="shared" si="0"/>
        <v>1993</v>
      </c>
      <c r="T28" s="8">
        <v>1993</v>
      </c>
      <c r="U28" s="8">
        <f t="shared" si="1"/>
        <v>29</v>
      </c>
      <c r="V28" s="7">
        <v>34104</v>
      </c>
      <c r="W28" t="s">
        <v>12475</v>
      </c>
      <c r="X28" s="2">
        <v>0.625</v>
      </c>
      <c r="Y28" s="6">
        <f t="shared" si="2"/>
        <v>1.6684018045433919E-2</v>
      </c>
      <c r="AA28">
        <v>304018</v>
      </c>
      <c r="AB28">
        <v>12352</v>
      </c>
      <c r="AD28" t="s">
        <v>5</v>
      </c>
      <c r="AE28">
        <v>99</v>
      </c>
      <c r="AF28" s="9">
        <v>44228</v>
      </c>
      <c r="AH28" t="s">
        <v>12474</v>
      </c>
      <c r="AI28" t="s">
        <v>12473</v>
      </c>
      <c r="AK28" t="s">
        <v>12472</v>
      </c>
      <c r="AL28">
        <v>2</v>
      </c>
      <c r="AM28" s="5">
        <f t="shared" si="3"/>
        <v>6.8965517241379309E-2</v>
      </c>
      <c r="AN28" s="4">
        <f t="shared" si="4"/>
        <v>1.0445364216793535E-4</v>
      </c>
      <c r="AO28" s="3"/>
      <c r="AP28">
        <v>0</v>
      </c>
      <c r="AR28" t="s">
        <v>1</v>
      </c>
      <c r="AS28" t="s">
        <v>12471</v>
      </c>
      <c r="AT28" s="2">
        <v>2.31</v>
      </c>
      <c r="AU28" s="1">
        <f t="shared" si="5"/>
        <v>1.1710148724454124</v>
      </c>
      <c r="AV28" s="1">
        <f t="shared" si="6"/>
        <v>0.83942358438009268</v>
      </c>
      <c r="AW28" s="1">
        <f t="shared" si="7"/>
        <v>0.507832296314773</v>
      </c>
    </row>
    <row r="29" spans="1:49" x14ac:dyDescent="0.2">
      <c r="A29">
        <v>27</v>
      </c>
      <c r="B29" t="s">
        <v>12470</v>
      </c>
      <c r="C29" t="s">
        <v>12469</v>
      </c>
      <c r="F29" t="s">
        <v>12468</v>
      </c>
      <c r="G29" t="s">
        <v>15</v>
      </c>
      <c r="H29" t="s">
        <v>14</v>
      </c>
      <c r="I29" t="s">
        <v>12467</v>
      </c>
      <c r="J29">
        <v>60031806</v>
      </c>
      <c r="K29" t="s">
        <v>12466</v>
      </c>
      <c r="L29" t="s">
        <v>4120</v>
      </c>
      <c r="M29" t="s">
        <v>818</v>
      </c>
      <c r="N29">
        <v>4</v>
      </c>
      <c r="O29" t="s">
        <v>12465</v>
      </c>
      <c r="P29" t="s">
        <v>12464</v>
      </c>
      <c r="Q29" t="s">
        <v>12463</v>
      </c>
      <c r="R29" s="7">
        <v>34103</v>
      </c>
      <c r="S29" s="8">
        <f t="shared" si="0"/>
        <v>1993</v>
      </c>
      <c r="T29" s="8">
        <v>1993</v>
      </c>
      <c r="U29" s="8">
        <f t="shared" si="1"/>
        <v>29</v>
      </c>
      <c r="V29" s="7">
        <v>34103</v>
      </c>
      <c r="W29" t="s">
        <v>12462</v>
      </c>
      <c r="X29" s="2">
        <v>0.85699999999999998</v>
      </c>
      <c r="Y29" s="6">
        <f t="shared" si="2"/>
        <v>2.287712554389899E-2</v>
      </c>
      <c r="AA29">
        <v>223727</v>
      </c>
      <c r="AB29">
        <v>28570</v>
      </c>
      <c r="AC29">
        <v>13616463</v>
      </c>
      <c r="AD29" t="s">
        <v>5</v>
      </c>
      <c r="AE29">
        <v>26</v>
      </c>
      <c r="AF29">
        <v>5</v>
      </c>
      <c r="AH29" t="s">
        <v>12461</v>
      </c>
      <c r="AI29" t="s">
        <v>12460</v>
      </c>
      <c r="AK29" t="s">
        <v>12459</v>
      </c>
      <c r="AL29">
        <v>4</v>
      </c>
      <c r="AM29" s="5">
        <f t="shared" si="3"/>
        <v>0.13793103448275862</v>
      </c>
      <c r="AN29" s="4">
        <f t="shared" si="4"/>
        <v>2.089072843358707E-4</v>
      </c>
      <c r="AO29" s="3"/>
      <c r="AP29">
        <v>0</v>
      </c>
      <c r="AR29" t="s">
        <v>1</v>
      </c>
      <c r="AT29" s="2" t="s">
        <v>0</v>
      </c>
      <c r="AU29" s="1">
        <f t="shared" si="5"/>
        <v>1.6076660066030053</v>
      </c>
      <c r="AV29" s="1">
        <f t="shared" si="6"/>
        <v>1.1543016414117431</v>
      </c>
      <c r="AW29" s="1">
        <f t="shared" si="7"/>
        <v>0.70093727622048074</v>
      </c>
    </row>
    <row r="30" spans="1:49" x14ac:dyDescent="0.2">
      <c r="A30">
        <v>28</v>
      </c>
      <c r="B30" t="s">
        <v>12458</v>
      </c>
      <c r="C30" t="s">
        <v>12457</v>
      </c>
      <c r="D30" t="s">
        <v>12456</v>
      </c>
      <c r="F30" t="s">
        <v>12455</v>
      </c>
      <c r="G30" t="s">
        <v>15</v>
      </c>
      <c r="H30" t="s">
        <v>14</v>
      </c>
      <c r="I30" t="s">
        <v>12454</v>
      </c>
      <c r="J30">
        <v>60020599</v>
      </c>
      <c r="K30" t="s">
        <v>12453</v>
      </c>
      <c r="L30" t="s">
        <v>12452</v>
      </c>
      <c r="M30" t="s">
        <v>721</v>
      </c>
      <c r="N30">
        <v>6</v>
      </c>
      <c r="O30" t="s">
        <v>12451</v>
      </c>
      <c r="P30" t="s">
        <v>12450</v>
      </c>
      <c r="Q30" t="s">
        <v>12449</v>
      </c>
      <c r="R30" s="7">
        <v>34099</v>
      </c>
      <c r="S30" s="8">
        <f t="shared" si="0"/>
        <v>1993</v>
      </c>
      <c r="T30" s="8">
        <v>1993</v>
      </c>
      <c r="U30" s="8">
        <f t="shared" si="1"/>
        <v>29</v>
      </c>
      <c r="V30" s="7">
        <v>34099</v>
      </c>
      <c r="W30" t="s">
        <v>12448</v>
      </c>
      <c r="X30" s="2">
        <v>1.1120000000000001</v>
      </c>
      <c r="Y30" s="6">
        <f t="shared" si="2"/>
        <v>2.9684204906436029E-2</v>
      </c>
      <c r="AA30">
        <v>9258388</v>
      </c>
      <c r="AB30">
        <v>12325</v>
      </c>
      <c r="AD30" t="s">
        <v>5</v>
      </c>
      <c r="AE30">
        <v>195</v>
      </c>
      <c r="AF30" t="s">
        <v>4857</v>
      </c>
      <c r="AH30" t="s">
        <v>12447</v>
      </c>
      <c r="AI30" t="s">
        <v>12446</v>
      </c>
      <c r="AK30" t="s">
        <v>12445</v>
      </c>
      <c r="AL30">
        <v>3</v>
      </c>
      <c r="AM30" s="5">
        <f t="shared" si="3"/>
        <v>0.10344827586206896</v>
      </c>
      <c r="AN30" s="4">
        <f t="shared" si="4"/>
        <v>1.5668046325190301E-4</v>
      </c>
      <c r="AO30" s="3"/>
      <c r="AP30">
        <v>0</v>
      </c>
      <c r="AQ30" t="s">
        <v>12444</v>
      </c>
      <c r="AR30" t="s">
        <v>1</v>
      </c>
      <c r="AS30" t="s">
        <v>12443</v>
      </c>
      <c r="AT30" s="2">
        <v>5.3159999999999998</v>
      </c>
      <c r="AU30" s="1">
        <f t="shared" si="5"/>
        <v>2.0825947573480788</v>
      </c>
      <c r="AV30" s="1">
        <f t="shared" si="6"/>
        <v>1.4920442684843964</v>
      </c>
      <c r="AW30" s="1">
        <f t="shared" si="7"/>
        <v>0.90149377962071409</v>
      </c>
    </row>
    <row r="31" spans="1:49" x14ac:dyDescent="0.2">
      <c r="A31">
        <v>29</v>
      </c>
      <c r="B31" t="s">
        <v>12442</v>
      </c>
      <c r="C31" t="s">
        <v>12441</v>
      </c>
      <c r="F31" t="s">
        <v>12440</v>
      </c>
      <c r="G31" t="s">
        <v>15</v>
      </c>
      <c r="H31" t="s">
        <v>14</v>
      </c>
      <c r="I31" t="s">
        <v>12439</v>
      </c>
      <c r="J31">
        <v>60007215</v>
      </c>
      <c r="K31" t="s">
        <v>12438</v>
      </c>
      <c r="L31" t="s">
        <v>12437</v>
      </c>
      <c r="M31" t="s">
        <v>1988</v>
      </c>
      <c r="N31">
        <v>1</v>
      </c>
      <c r="O31" t="s">
        <v>12436</v>
      </c>
      <c r="P31">
        <v>7201380184</v>
      </c>
      <c r="Q31">
        <v>60007215</v>
      </c>
      <c r="R31" s="7">
        <v>34090</v>
      </c>
      <c r="S31" s="8">
        <f t="shared" si="0"/>
        <v>1993</v>
      </c>
      <c r="T31" s="8">
        <v>1993</v>
      </c>
      <c r="U31" s="8">
        <f t="shared" si="1"/>
        <v>29</v>
      </c>
      <c r="V31" s="7">
        <v>34090</v>
      </c>
      <c r="W31" t="s">
        <v>11456</v>
      </c>
      <c r="X31" s="2">
        <v>0.84299999999999997</v>
      </c>
      <c r="Y31" s="6">
        <f t="shared" si="2"/>
        <v>2.250340353968127E-2</v>
      </c>
      <c r="AA31">
        <v>188158</v>
      </c>
      <c r="AB31">
        <v>15168</v>
      </c>
      <c r="AC31">
        <v>15735117</v>
      </c>
      <c r="AD31" t="s">
        <v>5</v>
      </c>
      <c r="AE31">
        <v>259</v>
      </c>
      <c r="AF31">
        <v>3</v>
      </c>
      <c r="AH31" t="s">
        <v>12435</v>
      </c>
      <c r="AI31" t="s">
        <v>12434</v>
      </c>
      <c r="AJ31" t="s">
        <v>12433</v>
      </c>
      <c r="AK31" t="s">
        <v>12432</v>
      </c>
      <c r="AL31">
        <v>2</v>
      </c>
      <c r="AM31" s="5">
        <f t="shared" si="3"/>
        <v>6.8965517241379309E-2</v>
      </c>
      <c r="AN31" s="4">
        <f t="shared" si="4"/>
        <v>1.0445364216793535E-4</v>
      </c>
      <c r="AO31" s="3"/>
      <c r="AP31">
        <v>0</v>
      </c>
      <c r="AR31" t="s">
        <v>1</v>
      </c>
      <c r="AT31" s="2">
        <v>2.694</v>
      </c>
      <c r="AU31" s="1">
        <f t="shared" si="5"/>
        <v>1.578371857042727</v>
      </c>
      <c r="AV31" s="1">
        <f t="shared" si="6"/>
        <v>1.1303928590924601</v>
      </c>
      <c r="AW31" s="1">
        <f t="shared" si="7"/>
        <v>0.6824138611421936</v>
      </c>
    </row>
    <row r="32" spans="1:49" x14ac:dyDescent="0.2">
      <c r="A32">
        <v>30</v>
      </c>
      <c r="B32" t="s">
        <v>12431</v>
      </c>
      <c r="C32" t="s">
        <v>12430</v>
      </c>
      <c r="F32" t="s">
        <v>12429</v>
      </c>
      <c r="G32" t="s">
        <v>15</v>
      </c>
      <c r="H32" t="s">
        <v>14</v>
      </c>
      <c r="I32" t="s">
        <v>12428</v>
      </c>
      <c r="J32">
        <v>60001881</v>
      </c>
      <c r="K32" t="s">
        <v>873</v>
      </c>
      <c r="L32" t="s">
        <v>872</v>
      </c>
      <c r="M32" t="s">
        <v>493</v>
      </c>
      <c r="N32">
        <v>2</v>
      </c>
      <c r="O32" t="s">
        <v>12427</v>
      </c>
      <c r="P32" t="s">
        <v>12426</v>
      </c>
      <c r="Q32" t="s">
        <v>869</v>
      </c>
      <c r="R32" s="7">
        <v>34090</v>
      </c>
      <c r="S32" s="8">
        <f t="shared" si="0"/>
        <v>1993</v>
      </c>
      <c r="T32" s="8">
        <v>1993</v>
      </c>
      <c r="U32" s="8">
        <f t="shared" si="1"/>
        <v>29</v>
      </c>
      <c r="V32" s="7">
        <v>34090</v>
      </c>
      <c r="W32" t="s">
        <v>263</v>
      </c>
      <c r="X32" s="2">
        <v>1.1579999999999999</v>
      </c>
      <c r="Y32" s="6">
        <f t="shared" si="2"/>
        <v>3.0912148634579962E-2</v>
      </c>
      <c r="AA32">
        <v>1668595</v>
      </c>
      <c r="AB32">
        <v>14223</v>
      </c>
      <c r="AC32">
        <v>15735079</v>
      </c>
      <c r="AD32" t="s">
        <v>5</v>
      </c>
      <c r="AE32">
        <v>36</v>
      </c>
      <c r="AF32">
        <v>2</v>
      </c>
      <c r="AH32" t="s">
        <v>12425</v>
      </c>
      <c r="AI32" t="s">
        <v>12424</v>
      </c>
      <c r="AJ32" t="s">
        <v>12423</v>
      </c>
      <c r="AK32" t="s">
        <v>12422</v>
      </c>
      <c r="AL32">
        <v>97</v>
      </c>
      <c r="AM32" s="5">
        <f t="shared" si="3"/>
        <v>3.3448275862068964</v>
      </c>
      <c r="AN32" s="4">
        <f t="shared" si="4"/>
        <v>5.0660016451448634E-3</v>
      </c>
      <c r="AO32" s="3"/>
      <c r="AP32">
        <v>0</v>
      </c>
      <c r="AR32" t="s">
        <v>1</v>
      </c>
      <c r="AT32" s="2">
        <v>3.573</v>
      </c>
      <c r="AU32" s="1">
        <f t="shared" si="5"/>
        <v>2.315830453774943</v>
      </c>
      <c r="AV32" s="1">
        <f t="shared" si="6"/>
        <v>1.7989075139862414</v>
      </c>
      <c r="AW32" s="1">
        <f t="shared" si="7"/>
        <v>1.2819845741975393</v>
      </c>
    </row>
    <row r="33" spans="1:49" x14ac:dyDescent="0.2">
      <c r="A33">
        <v>31</v>
      </c>
      <c r="B33" t="s">
        <v>12421</v>
      </c>
      <c r="F33" t="s">
        <v>12420</v>
      </c>
      <c r="G33" t="s">
        <v>15</v>
      </c>
      <c r="H33" t="s">
        <v>14</v>
      </c>
      <c r="I33" t="s">
        <v>11865</v>
      </c>
      <c r="N33">
        <v>2</v>
      </c>
      <c r="O33" t="s">
        <v>12419</v>
      </c>
      <c r="P33" t="s">
        <v>12418</v>
      </c>
      <c r="Q33" t="s">
        <v>1557</v>
      </c>
      <c r="R33" s="7">
        <v>34090</v>
      </c>
      <c r="S33" s="8">
        <f t="shared" si="0"/>
        <v>1993</v>
      </c>
      <c r="T33" s="8">
        <v>1993</v>
      </c>
      <c r="U33" s="8">
        <f t="shared" si="1"/>
        <v>29</v>
      </c>
      <c r="V33" s="7">
        <v>34090</v>
      </c>
      <c r="W33" t="s">
        <v>1769</v>
      </c>
      <c r="X33" s="2">
        <v>0.14099999999999999</v>
      </c>
      <c r="Y33" s="6">
        <f t="shared" si="2"/>
        <v>3.7639144710498915E-3</v>
      </c>
      <c r="AA33">
        <v>402508</v>
      </c>
      <c r="AB33">
        <v>20868</v>
      </c>
      <c r="AD33" t="s">
        <v>5</v>
      </c>
      <c r="AE33">
        <v>48</v>
      </c>
      <c r="AF33">
        <v>5</v>
      </c>
      <c r="AH33" t="s">
        <v>12417</v>
      </c>
      <c r="AI33" t="s">
        <v>12416</v>
      </c>
      <c r="AK33" t="s">
        <v>12415</v>
      </c>
      <c r="AL33">
        <v>0</v>
      </c>
      <c r="AM33" s="5">
        <f t="shared" si="3"/>
        <v>0</v>
      </c>
      <c r="AN33" s="4">
        <f t="shared" si="4"/>
        <v>0</v>
      </c>
      <c r="AO33" s="3"/>
      <c r="AP33">
        <v>0</v>
      </c>
      <c r="AR33" t="s">
        <v>1</v>
      </c>
      <c r="AT33" s="2" t="s">
        <v>0</v>
      </c>
      <c r="AU33" s="1">
        <f t="shared" si="5"/>
        <v>0.26347401297349238</v>
      </c>
      <c r="AV33" s="1">
        <f t="shared" si="6"/>
        <v>0.18819572355249459</v>
      </c>
      <c r="AW33" s="1">
        <f t="shared" si="7"/>
        <v>0.11291743413149673</v>
      </c>
    </row>
    <row r="34" spans="1:49" x14ac:dyDescent="0.2">
      <c r="A34">
        <v>32</v>
      </c>
      <c r="B34" t="s">
        <v>12414</v>
      </c>
      <c r="F34" t="s">
        <v>12413</v>
      </c>
      <c r="G34" t="s">
        <v>15</v>
      </c>
      <c r="H34" t="s">
        <v>14</v>
      </c>
      <c r="I34" t="s">
        <v>12412</v>
      </c>
      <c r="N34">
        <v>3</v>
      </c>
      <c r="O34" t="s">
        <v>12411</v>
      </c>
      <c r="P34" t="s">
        <v>12410</v>
      </c>
      <c r="Q34" t="s">
        <v>2929</v>
      </c>
      <c r="R34" s="7">
        <v>34090</v>
      </c>
      <c r="S34" s="8">
        <f t="shared" si="0"/>
        <v>1993</v>
      </c>
      <c r="T34" s="8">
        <v>1993</v>
      </c>
      <c r="U34" s="8">
        <f t="shared" si="1"/>
        <v>29</v>
      </c>
      <c r="V34" s="7">
        <v>34090</v>
      </c>
      <c r="W34" t="s">
        <v>1769</v>
      </c>
      <c r="X34" s="2">
        <v>0.14099999999999999</v>
      </c>
      <c r="Y34" s="6">
        <f t="shared" si="2"/>
        <v>3.7639144710498915E-3</v>
      </c>
      <c r="AA34">
        <v>402508</v>
      </c>
      <c r="AB34">
        <v>20868</v>
      </c>
      <c r="AD34" t="s">
        <v>5</v>
      </c>
      <c r="AE34">
        <v>48</v>
      </c>
      <c r="AF34">
        <v>5</v>
      </c>
      <c r="AH34" t="s">
        <v>12409</v>
      </c>
      <c r="AI34" t="s">
        <v>12408</v>
      </c>
      <c r="AK34" t="s">
        <v>12407</v>
      </c>
      <c r="AL34">
        <v>0</v>
      </c>
      <c r="AM34" s="5">
        <f t="shared" si="3"/>
        <v>0</v>
      </c>
      <c r="AN34" s="4">
        <f t="shared" si="4"/>
        <v>0</v>
      </c>
      <c r="AO34" s="3"/>
      <c r="AP34">
        <v>0</v>
      </c>
      <c r="AR34" t="s">
        <v>1</v>
      </c>
      <c r="AT34" s="2" t="s">
        <v>0</v>
      </c>
      <c r="AU34" s="1">
        <f t="shared" si="5"/>
        <v>0.26347401297349238</v>
      </c>
      <c r="AV34" s="1">
        <f t="shared" si="6"/>
        <v>0.18819572355249459</v>
      </c>
      <c r="AW34" s="1">
        <f t="shared" si="7"/>
        <v>0.11291743413149673</v>
      </c>
    </row>
    <row r="35" spans="1:49" x14ac:dyDescent="0.2">
      <c r="A35">
        <v>33</v>
      </c>
      <c r="B35" t="s">
        <v>12406</v>
      </c>
      <c r="F35" t="s">
        <v>12405</v>
      </c>
      <c r="G35" t="s">
        <v>15</v>
      </c>
      <c r="H35" t="s">
        <v>14</v>
      </c>
      <c r="I35" t="s">
        <v>12404</v>
      </c>
      <c r="N35">
        <v>2</v>
      </c>
      <c r="O35" t="s">
        <v>12403</v>
      </c>
      <c r="P35" t="s">
        <v>12402</v>
      </c>
      <c r="Q35" t="s">
        <v>1557</v>
      </c>
      <c r="R35" s="7">
        <v>34090</v>
      </c>
      <c r="S35" s="8">
        <f t="shared" si="0"/>
        <v>1993</v>
      </c>
      <c r="T35" s="8">
        <v>1993</v>
      </c>
      <c r="U35" s="8">
        <f t="shared" si="1"/>
        <v>29</v>
      </c>
      <c r="V35" s="7">
        <v>34090</v>
      </c>
      <c r="W35" t="s">
        <v>1769</v>
      </c>
      <c r="X35" s="2">
        <v>0.14099999999999999</v>
      </c>
      <c r="Y35" s="6">
        <f t="shared" si="2"/>
        <v>3.7639144710498915E-3</v>
      </c>
      <c r="AA35">
        <v>402508</v>
      </c>
      <c r="AB35">
        <v>20868</v>
      </c>
      <c r="AD35" t="s">
        <v>5</v>
      </c>
      <c r="AE35">
        <v>48</v>
      </c>
      <c r="AF35">
        <v>5</v>
      </c>
      <c r="AH35" t="s">
        <v>12401</v>
      </c>
      <c r="AI35" t="s">
        <v>12400</v>
      </c>
      <c r="AK35" t="s">
        <v>12399</v>
      </c>
      <c r="AL35">
        <v>0</v>
      </c>
      <c r="AM35" s="5">
        <f t="shared" si="3"/>
        <v>0</v>
      </c>
      <c r="AN35" s="4">
        <f t="shared" si="4"/>
        <v>0</v>
      </c>
      <c r="AO35" s="3"/>
      <c r="AP35">
        <v>0</v>
      </c>
      <c r="AR35" t="s">
        <v>1</v>
      </c>
      <c r="AT35" s="2" t="s">
        <v>0</v>
      </c>
      <c r="AU35" s="1">
        <f t="shared" si="5"/>
        <v>0.26347401297349238</v>
      </c>
      <c r="AV35" s="1">
        <f t="shared" si="6"/>
        <v>0.18819572355249459</v>
      </c>
      <c r="AW35" s="1">
        <f t="shared" si="7"/>
        <v>0.11291743413149673</v>
      </c>
    </row>
    <row r="36" spans="1:49" x14ac:dyDescent="0.2">
      <c r="A36">
        <v>34</v>
      </c>
      <c r="B36" t="s">
        <v>12398</v>
      </c>
      <c r="F36" t="s">
        <v>12397</v>
      </c>
      <c r="G36" t="s">
        <v>15</v>
      </c>
      <c r="H36" t="s">
        <v>14</v>
      </c>
      <c r="I36" t="s">
        <v>12396</v>
      </c>
      <c r="N36">
        <v>2</v>
      </c>
      <c r="O36" t="s">
        <v>12395</v>
      </c>
      <c r="P36" t="s">
        <v>12394</v>
      </c>
      <c r="Q36" t="s">
        <v>1557</v>
      </c>
      <c r="R36" s="7">
        <v>34090</v>
      </c>
      <c r="S36" s="8">
        <f t="shared" si="0"/>
        <v>1993</v>
      </c>
      <c r="T36" s="8">
        <v>1993</v>
      </c>
      <c r="U36" s="8">
        <f t="shared" si="1"/>
        <v>29</v>
      </c>
      <c r="V36" s="7">
        <v>34090</v>
      </c>
      <c r="W36" t="s">
        <v>1769</v>
      </c>
      <c r="X36" s="2">
        <v>0.14099999999999999</v>
      </c>
      <c r="Y36" s="6">
        <f t="shared" si="2"/>
        <v>3.7639144710498915E-3</v>
      </c>
      <c r="AA36">
        <v>402508</v>
      </c>
      <c r="AB36">
        <v>20868</v>
      </c>
      <c r="AD36" t="s">
        <v>5</v>
      </c>
      <c r="AE36">
        <v>48</v>
      </c>
      <c r="AF36">
        <v>5</v>
      </c>
      <c r="AH36" t="s">
        <v>12393</v>
      </c>
      <c r="AI36" t="s">
        <v>12392</v>
      </c>
      <c r="AK36" t="s">
        <v>12391</v>
      </c>
      <c r="AL36">
        <v>0</v>
      </c>
      <c r="AM36" s="5">
        <f t="shared" si="3"/>
        <v>0</v>
      </c>
      <c r="AN36" s="4">
        <f t="shared" si="4"/>
        <v>0</v>
      </c>
      <c r="AO36" s="3"/>
      <c r="AP36">
        <v>0</v>
      </c>
      <c r="AR36" t="s">
        <v>1</v>
      </c>
      <c r="AT36" s="2" t="s">
        <v>0</v>
      </c>
      <c r="AU36" s="1">
        <f t="shared" si="5"/>
        <v>0.26347401297349238</v>
      </c>
      <c r="AV36" s="1">
        <f t="shared" si="6"/>
        <v>0.18819572355249459</v>
      </c>
      <c r="AW36" s="1">
        <f t="shared" si="7"/>
        <v>0.11291743413149673</v>
      </c>
    </row>
    <row r="37" spans="1:49" x14ac:dyDescent="0.2">
      <c r="A37">
        <v>35</v>
      </c>
      <c r="B37" t="s">
        <v>12390</v>
      </c>
      <c r="F37" t="s">
        <v>12389</v>
      </c>
      <c r="G37" t="s">
        <v>15</v>
      </c>
      <c r="H37" t="s">
        <v>14</v>
      </c>
      <c r="I37" t="s">
        <v>12388</v>
      </c>
      <c r="N37">
        <v>3</v>
      </c>
      <c r="O37" t="s">
        <v>12387</v>
      </c>
      <c r="P37" t="s">
        <v>12386</v>
      </c>
      <c r="Q37" t="s">
        <v>2929</v>
      </c>
      <c r="R37" s="7">
        <v>34090</v>
      </c>
      <c r="S37" s="8">
        <f t="shared" si="0"/>
        <v>1993</v>
      </c>
      <c r="T37" s="8">
        <v>1993</v>
      </c>
      <c r="U37" s="8">
        <f t="shared" si="1"/>
        <v>29</v>
      </c>
      <c r="V37" s="7">
        <v>34090</v>
      </c>
      <c r="W37" t="s">
        <v>1769</v>
      </c>
      <c r="X37" s="2">
        <v>0.14099999999999999</v>
      </c>
      <c r="Y37" s="6">
        <f t="shared" si="2"/>
        <v>3.7639144710498915E-3</v>
      </c>
      <c r="AA37">
        <v>402508</v>
      </c>
      <c r="AB37">
        <v>20868</v>
      </c>
      <c r="AD37" t="s">
        <v>5</v>
      </c>
      <c r="AE37">
        <v>48</v>
      </c>
      <c r="AF37">
        <v>5</v>
      </c>
      <c r="AH37" t="s">
        <v>12385</v>
      </c>
      <c r="AI37" t="s">
        <v>12384</v>
      </c>
      <c r="AK37" t="s">
        <v>12383</v>
      </c>
      <c r="AL37">
        <v>0</v>
      </c>
      <c r="AM37" s="5">
        <f t="shared" si="3"/>
        <v>0</v>
      </c>
      <c r="AN37" s="4">
        <f t="shared" si="4"/>
        <v>0</v>
      </c>
      <c r="AO37" s="3"/>
      <c r="AP37">
        <v>0</v>
      </c>
      <c r="AR37" t="s">
        <v>1</v>
      </c>
      <c r="AT37" s="2" t="s">
        <v>0</v>
      </c>
      <c r="AU37" s="1">
        <f t="shared" si="5"/>
        <v>0.26347401297349238</v>
      </c>
      <c r="AV37" s="1">
        <f t="shared" si="6"/>
        <v>0.18819572355249459</v>
      </c>
      <c r="AW37" s="1">
        <f t="shared" si="7"/>
        <v>0.11291743413149673</v>
      </c>
    </row>
    <row r="38" spans="1:49" x14ac:dyDescent="0.2">
      <c r="A38">
        <v>36</v>
      </c>
      <c r="B38" t="s">
        <v>12382</v>
      </c>
      <c r="F38" t="s">
        <v>12381</v>
      </c>
      <c r="G38" t="s">
        <v>15</v>
      </c>
      <c r="H38" t="s">
        <v>14</v>
      </c>
      <c r="I38" t="s">
        <v>12380</v>
      </c>
      <c r="N38">
        <v>3</v>
      </c>
      <c r="O38" t="s">
        <v>12379</v>
      </c>
      <c r="P38" t="s">
        <v>12378</v>
      </c>
      <c r="Q38" t="s">
        <v>2929</v>
      </c>
      <c r="R38" s="7">
        <v>34090</v>
      </c>
      <c r="S38" s="8">
        <f t="shared" si="0"/>
        <v>1993</v>
      </c>
      <c r="T38" s="8">
        <v>1993</v>
      </c>
      <c r="U38" s="8">
        <f t="shared" si="1"/>
        <v>29</v>
      </c>
      <c r="V38" s="7">
        <v>34090</v>
      </c>
      <c r="W38" t="s">
        <v>1769</v>
      </c>
      <c r="X38" s="2">
        <v>0.14099999999999999</v>
      </c>
      <c r="Y38" s="6">
        <f t="shared" si="2"/>
        <v>3.7639144710498915E-3</v>
      </c>
      <c r="AA38">
        <v>402508</v>
      </c>
      <c r="AB38">
        <v>20868</v>
      </c>
      <c r="AD38" t="s">
        <v>5</v>
      </c>
      <c r="AE38">
        <v>48</v>
      </c>
      <c r="AF38">
        <v>5</v>
      </c>
      <c r="AH38" t="s">
        <v>12377</v>
      </c>
      <c r="AI38" t="s">
        <v>12376</v>
      </c>
      <c r="AK38" t="s">
        <v>12375</v>
      </c>
      <c r="AL38">
        <v>0</v>
      </c>
      <c r="AM38" s="5">
        <f t="shared" si="3"/>
        <v>0</v>
      </c>
      <c r="AN38" s="4">
        <f t="shared" si="4"/>
        <v>0</v>
      </c>
      <c r="AO38" s="3"/>
      <c r="AP38">
        <v>0</v>
      </c>
      <c r="AR38" t="s">
        <v>1</v>
      </c>
      <c r="AT38" s="2" t="s">
        <v>0</v>
      </c>
      <c r="AU38" s="1">
        <f t="shared" si="5"/>
        <v>0.26347401297349238</v>
      </c>
      <c r="AV38" s="1">
        <f t="shared" si="6"/>
        <v>0.18819572355249459</v>
      </c>
      <c r="AW38" s="1">
        <f t="shared" si="7"/>
        <v>0.11291743413149673</v>
      </c>
    </row>
    <row r="39" spans="1:49" x14ac:dyDescent="0.2">
      <c r="A39">
        <v>37</v>
      </c>
      <c r="B39" t="s">
        <v>12374</v>
      </c>
      <c r="F39" t="s">
        <v>12373</v>
      </c>
      <c r="G39" t="s">
        <v>15</v>
      </c>
      <c r="H39" t="s">
        <v>14</v>
      </c>
      <c r="I39" t="s">
        <v>12372</v>
      </c>
      <c r="N39">
        <v>1</v>
      </c>
      <c r="O39" t="s">
        <v>12371</v>
      </c>
      <c r="P39">
        <v>7004310335</v>
      </c>
      <c r="R39" s="7">
        <v>34090</v>
      </c>
      <c r="S39" s="8">
        <f t="shared" si="0"/>
        <v>1993</v>
      </c>
      <c r="T39" s="8">
        <v>1993</v>
      </c>
      <c r="U39" s="8">
        <f t="shared" si="1"/>
        <v>29</v>
      </c>
      <c r="V39" s="7">
        <v>34090</v>
      </c>
      <c r="W39" t="s">
        <v>1769</v>
      </c>
      <c r="X39" s="2">
        <v>0.14099999999999999</v>
      </c>
      <c r="Y39" s="6">
        <f t="shared" si="2"/>
        <v>3.7639144710498915E-3</v>
      </c>
      <c r="AA39">
        <v>402508</v>
      </c>
      <c r="AB39">
        <v>20868</v>
      </c>
      <c r="AD39" t="s">
        <v>5</v>
      </c>
      <c r="AE39">
        <v>48</v>
      </c>
      <c r="AF39">
        <v>5</v>
      </c>
      <c r="AH39" t="s">
        <v>12370</v>
      </c>
      <c r="AI39" t="s">
        <v>12369</v>
      </c>
      <c r="AK39" t="s">
        <v>12368</v>
      </c>
      <c r="AL39">
        <v>0</v>
      </c>
      <c r="AM39" s="5">
        <f t="shared" si="3"/>
        <v>0</v>
      </c>
      <c r="AN39" s="4">
        <f t="shared" si="4"/>
        <v>0</v>
      </c>
      <c r="AO39" s="3"/>
      <c r="AP39">
        <v>0</v>
      </c>
      <c r="AR39" t="s">
        <v>1</v>
      </c>
      <c r="AT39" s="2" t="s">
        <v>0</v>
      </c>
      <c r="AU39" s="1">
        <f t="shared" si="5"/>
        <v>0.26347401297349238</v>
      </c>
      <c r="AV39" s="1">
        <f t="shared" si="6"/>
        <v>0.18819572355249459</v>
      </c>
      <c r="AW39" s="1">
        <f t="shared" si="7"/>
        <v>0.11291743413149673</v>
      </c>
    </row>
    <row r="40" spans="1:49" x14ac:dyDescent="0.2">
      <c r="A40">
        <v>38</v>
      </c>
      <c r="B40" t="s">
        <v>12367</v>
      </c>
      <c r="F40" t="s">
        <v>12366</v>
      </c>
      <c r="G40" t="s">
        <v>15</v>
      </c>
      <c r="H40" t="s">
        <v>14</v>
      </c>
      <c r="I40" t="s">
        <v>12365</v>
      </c>
      <c r="N40">
        <v>1</v>
      </c>
      <c r="O40" t="s">
        <v>12364</v>
      </c>
      <c r="P40">
        <v>6602535091</v>
      </c>
      <c r="R40" s="7">
        <v>34090</v>
      </c>
      <c r="S40" s="8">
        <f t="shared" si="0"/>
        <v>1993</v>
      </c>
      <c r="T40" s="8">
        <v>1993</v>
      </c>
      <c r="U40" s="8">
        <f t="shared" si="1"/>
        <v>29</v>
      </c>
      <c r="V40" s="7">
        <v>34090</v>
      </c>
      <c r="W40" t="s">
        <v>1769</v>
      </c>
      <c r="X40" s="2">
        <v>0.14099999999999999</v>
      </c>
      <c r="Y40" s="6">
        <f t="shared" si="2"/>
        <v>3.7639144710498915E-3</v>
      </c>
      <c r="AA40">
        <v>402508</v>
      </c>
      <c r="AB40">
        <v>20868</v>
      </c>
      <c r="AD40" t="s">
        <v>5</v>
      </c>
      <c r="AE40">
        <v>48</v>
      </c>
      <c r="AF40">
        <v>5</v>
      </c>
      <c r="AH40" t="s">
        <v>12363</v>
      </c>
      <c r="AI40" t="s">
        <v>12362</v>
      </c>
      <c r="AK40" t="s">
        <v>12361</v>
      </c>
      <c r="AL40">
        <v>0</v>
      </c>
      <c r="AM40" s="5">
        <f t="shared" si="3"/>
        <v>0</v>
      </c>
      <c r="AN40" s="4">
        <f t="shared" si="4"/>
        <v>0</v>
      </c>
      <c r="AO40" s="3"/>
      <c r="AP40">
        <v>0</v>
      </c>
      <c r="AR40" t="s">
        <v>1</v>
      </c>
      <c r="AT40" s="2" t="s">
        <v>0</v>
      </c>
      <c r="AU40" s="1">
        <f t="shared" si="5"/>
        <v>0.26347401297349238</v>
      </c>
      <c r="AV40" s="1">
        <f t="shared" si="6"/>
        <v>0.18819572355249459</v>
      </c>
      <c r="AW40" s="1">
        <f t="shared" si="7"/>
        <v>0.11291743413149673</v>
      </c>
    </row>
    <row r="41" spans="1:49" x14ac:dyDescent="0.2">
      <c r="A41">
        <v>39</v>
      </c>
      <c r="B41" t="s">
        <v>12360</v>
      </c>
      <c r="F41" t="s">
        <v>12359</v>
      </c>
      <c r="G41" t="s">
        <v>15</v>
      </c>
      <c r="H41" t="s">
        <v>14</v>
      </c>
      <c r="I41" t="s">
        <v>12358</v>
      </c>
      <c r="N41">
        <v>7</v>
      </c>
      <c r="O41" t="s">
        <v>12357</v>
      </c>
      <c r="P41" t="s">
        <v>12356</v>
      </c>
      <c r="Q41" t="s">
        <v>4046</v>
      </c>
      <c r="R41" s="7">
        <v>34090</v>
      </c>
      <c r="S41" s="8">
        <f t="shared" si="0"/>
        <v>1993</v>
      </c>
      <c r="T41" s="8">
        <v>1993</v>
      </c>
      <c r="U41" s="8">
        <f t="shared" si="1"/>
        <v>29</v>
      </c>
      <c r="V41" s="7">
        <v>34090</v>
      </c>
      <c r="W41" t="s">
        <v>1769</v>
      </c>
      <c r="X41" s="2">
        <v>0.14099999999999999</v>
      </c>
      <c r="Y41" s="6">
        <f t="shared" si="2"/>
        <v>3.7639144710498915E-3</v>
      </c>
      <c r="AA41">
        <v>402508</v>
      </c>
      <c r="AB41">
        <v>20868</v>
      </c>
      <c r="AD41" t="s">
        <v>5</v>
      </c>
      <c r="AE41">
        <v>48</v>
      </c>
      <c r="AF41">
        <v>5</v>
      </c>
      <c r="AH41" t="s">
        <v>12355</v>
      </c>
      <c r="AI41" t="s">
        <v>12354</v>
      </c>
      <c r="AK41" t="s">
        <v>12353</v>
      </c>
      <c r="AL41">
        <v>0</v>
      </c>
      <c r="AM41" s="5">
        <f t="shared" si="3"/>
        <v>0</v>
      </c>
      <c r="AN41" s="4">
        <f t="shared" si="4"/>
        <v>0</v>
      </c>
      <c r="AO41" s="3"/>
      <c r="AP41">
        <v>0</v>
      </c>
      <c r="AR41" t="s">
        <v>1</v>
      </c>
      <c r="AT41" s="2" t="s">
        <v>0</v>
      </c>
      <c r="AU41" s="1">
        <f t="shared" si="5"/>
        <v>0.26347401297349238</v>
      </c>
      <c r="AV41" s="1">
        <f t="shared" si="6"/>
        <v>0.18819572355249459</v>
      </c>
      <c r="AW41" s="1">
        <f t="shared" si="7"/>
        <v>0.11291743413149673</v>
      </c>
    </row>
    <row r="42" spans="1:49" x14ac:dyDescent="0.2">
      <c r="A42">
        <v>40</v>
      </c>
      <c r="B42" t="s">
        <v>12352</v>
      </c>
      <c r="F42" t="s">
        <v>12351</v>
      </c>
      <c r="G42" t="s">
        <v>15</v>
      </c>
      <c r="H42" t="s">
        <v>14</v>
      </c>
      <c r="I42" t="s">
        <v>12350</v>
      </c>
      <c r="N42">
        <v>1</v>
      </c>
      <c r="O42" t="s">
        <v>12349</v>
      </c>
      <c r="P42">
        <v>6506164544</v>
      </c>
      <c r="R42" s="7">
        <v>34090</v>
      </c>
      <c r="S42" s="8">
        <f t="shared" si="0"/>
        <v>1993</v>
      </c>
      <c r="T42" s="8">
        <v>1993</v>
      </c>
      <c r="U42" s="8">
        <f t="shared" si="1"/>
        <v>29</v>
      </c>
      <c r="V42" s="7">
        <v>34090</v>
      </c>
      <c r="W42" t="s">
        <v>1769</v>
      </c>
      <c r="X42" s="2">
        <v>0.14099999999999999</v>
      </c>
      <c r="Y42" s="6">
        <f t="shared" si="2"/>
        <v>3.7639144710498915E-3</v>
      </c>
      <c r="AA42">
        <v>402508</v>
      </c>
      <c r="AB42">
        <v>20868</v>
      </c>
      <c r="AD42" t="s">
        <v>5</v>
      </c>
      <c r="AE42">
        <v>48</v>
      </c>
      <c r="AF42">
        <v>5</v>
      </c>
      <c r="AH42" t="s">
        <v>1232</v>
      </c>
      <c r="AI42" t="s">
        <v>12348</v>
      </c>
      <c r="AK42" t="s">
        <v>12347</v>
      </c>
      <c r="AL42">
        <v>0</v>
      </c>
      <c r="AM42" s="5">
        <f t="shared" si="3"/>
        <v>0</v>
      </c>
      <c r="AN42" s="4">
        <f t="shared" si="4"/>
        <v>0</v>
      </c>
      <c r="AO42" s="3"/>
      <c r="AP42">
        <v>0</v>
      </c>
      <c r="AR42" t="s">
        <v>1</v>
      </c>
      <c r="AT42" s="2" t="s">
        <v>0</v>
      </c>
      <c r="AU42" s="1">
        <f t="shared" si="5"/>
        <v>0.26347401297349238</v>
      </c>
      <c r="AV42" s="1">
        <f t="shared" si="6"/>
        <v>0.18819572355249459</v>
      </c>
      <c r="AW42" s="1">
        <f t="shared" si="7"/>
        <v>0.11291743413149673</v>
      </c>
    </row>
    <row r="43" spans="1:49" x14ac:dyDescent="0.2">
      <c r="A43">
        <v>41</v>
      </c>
      <c r="B43" t="s">
        <v>12346</v>
      </c>
      <c r="F43" t="s">
        <v>12345</v>
      </c>
      <c r="G43" t="s">
        <v>15</v>
      </c>
      <c r="H43" t="s">
        <v>14</v>
      </c>
      <c r="I43" t="s">
        <v>12344</v>
      </c>
      <c r="J43">
        <v>60008435</v>
      </c>
      <c r="K43" t="s">
        <v>4156</v>
      </c>
      <c r="L43" t="s">
        <v>4155</v>
      </c>
      <c r="M43" t="s">
        <v>150</v>
      </c>
      <c r="N43">
        <v>5</v>
      </c>
      <c r="O43" t="s">
        <v>12343</v>
      </c>
      <c r="P43" t="s">
        <v>12342</v>
      </c>
      <c r="Q43" t="s">
        <v>8358</v>
      </c>
      <c r="R43" s="7">
        <v>34090</v>
      </c>
      <c r="S43" s="8">
        <f t="shared" si="0"/>
        <v>1993</v>
      </c>
      <c r="T43" s="8">
        <v>1993</v>
      </c>
      <c r="U43" s="8">
        <f t="shared" si="1"/>
        <v>29</v>
      </c>
      <c r="V43" s="7">
        <v>34090</v>
      </c>
      <c r="W43" t="s">
        <v>1707</v>
      </c>
      <c r="X43" s="2">
        <v>0.21099999999999999</v>
      </c>
      <c r="Y43" s="6">
        <f t="shared" si="2"/>
        <v>5.6325244921384904E-3</v>
      </c>
      <c r="AA43">
        <v>9168516</v>
      </c>
      <c r="AB43">
        <v>18936</v>
      </c>
      <c r="AD43" t="s">
        <v>5</v>
      </c>
      <c r="AE43" t="s">
        <v>1706</v>
      </c>
      <c r="AF43">
        <v>5</v>
      </c>
      <c r="AH43" t="s">
        <v>12341</v>
      </c>
      <c r="AI43" t="s">
        <v>12340</v>
      </c>
      <c r="AK43" t="s">
        <v>12339</v>
      </c>
      <c r="AL43">
        <v>1</v>
      </c>
      <c r="AM43" s="5">
        <f t="shared" si="3"/>
        <v>3.4482758620689655E-2</v>
      </c>
      <c r="AN43" s="4">
        <f t="shared" si="4"/>
        <v>5.2226821083967674E-5</v>
      </c>
      <c r="AO43" s="3"/>
      <c r="AP43">
        <v>0</v>
      </c>
      <c r="AR43" t="s">
        <v>1</v>
      </c>
      <c r="AT43" s="2">
        <v>0.52500000000000002</v>
      </c>
      <c r="AU43" s="1">
        <f t="shared" si="5"/>
        <v>0.39584351908221332</v>
      </c>
      <c r="AV43" s="1">
        <f t="shared" si="6"/>
        <v>0.2842375656611229</v>
      </c>
      <c r="AW43" s="1">
        <f t="shared" si="7"/>
        <v>0.17263161224003246</v>
      </c>
    </row>
    <row r="44" spans="1:49" x14ac:dyDescent="0.2">
      <c r="A44">
        <v>42</v>
      </c>
      <c r="B44" t="s">
        <v>12338</v>
      </c>
      <c r="F44" t="s">
        <v>12337</v>
      </c>
      <c r="G44" t="s">
        <v>15</v>
      </c>
      <c r="H44" t="s">
        <v>14</v>
      </c>
      <c r="I44" t="s">
        <v>12336</v>
      </c>
      <c r="J44">
        <v>60068815</v>
      </c>
      <c r="K44" t="s">
        <v>2697</v>
      </c>
      <c r="L44" t="s">
        <v>2696</v>
      </c>
      <c r="M44" t="s">
        <v>2695</v>
      </c>
      <c r="N44">
        <v>1</v>
      </c>
      <c r="O44" t="s">
        <v>12335</v>
      </c>
      <c r="P44">
        <v>7801442561</v>
      </c>
      <c r="Q44">
        <v>60068815</v>
      </c>
      <c r="R44" s="7">
        <v>34090</v>
      </c>
      <c r="S44" s="8">
        <f t="shared" si="0"/>
        <v>1993</v>
      </c>
      <c r="T44" s="8">
        <v>1993</v>
      </c>
      <c r="U44" s="8">
        <f t="shared" si="1"/>
        <v>29</v>
      </c>
      <c r="V44" s="7">
        <v>34090</v>
      </c>
      <c r="W44" t="s">
        <v>777</v>
      </c>
      <c r="X44" s="2">
        <v>0.54700000000000004</v>
      </c>
      <c r="Y44" s="6">
        <f t="shared" si="2"/>
        <v>1.4601852593363766E-2</v>
      </c>
      <c r="AA44">
        <v>11096</v>
      </c>
      <c r="AB44">
        <v>31211</v>
      </c>
      <c r="AD44" t="s">
        <v>5</v>
      </c>
      <c r="AE44">
        <v>47</v>
      </c>
      <c r="AF44">
        <v>3</v>
      </c>
      <c r="AH44" t="s">
        <v>12334</v>
      </c>
      <c r="AI44" t="s">
        <v>12333</v>
      </c>
      <c r="AK44" t="s">
        <v>12332</v>
      </c>
      <c r="AL44">
        <v>2</v>
      </c>
      <c r="AM44" s="5">
        <f t="shared" si="3"/>
        <v>6.8965517241379309E-2</v>
      </c>
      <c r="AN44" s="4">
        <f t="shared" si="4"/>
        <v>1.0445364216793535E-4</v>
      </c>
      <c r="AO44" s="3"/>
      <c r="AP44">
        <v>0</v>
      </c>
      <c r="AR44" t="s">
        <v>1</v>
      </c>
      <c r="AT44" s="2" t="s">
        <v>0</v>
      </c>
      <c r="AU44" s="1">
        <f t="shared" si="5"/>
        <v>1.0252632908005017</v>
      </c>
      <c r="AV44" s="1">
        <f t="shared" si="6"/>
        <v>0.73531531177658516</v>
      </c>
      <c r="AW44" s="1">
        <f t="shared" si="7"/>
        <v>0.44536733275266849</v>
      </c>
    </row>
    <row r="45" spans="1:49" x14ac:dyDescent="0.2">
      <c r="A45">
        <v>43</v>
      </c>
      <c r="B45" t="s">
        <v>12331</v>
      </c>
      <c r="C45" t="s">
        <v>12330</v>
      </c>
      <c r="F45" t="s">
        <v>12329</v>
      </c>
      <c r="G45" t="s">
        <v>15</v>
      </c>
      <c r="H45" t="s">
        <v>14</v>
      </c>
      <c r="I45" t="s">
        <v>12328</v>
      </c>
      <c r="J45">
        <v>60070846</v>
      </c>
      <c r="K45" t="s">
        <v>12327</v>
      </c>
      <c r="L45" t="s">
        <v>12326</v>
      </c>
      <c r="M45" t="s">
        <v>12325</v>
      </c>
      <c r="N45">
        <v>2</v>
      </c>
      <c r="O45" t="s">
        <v>12324</v>
      </c>
      <c r="P45" t="s">
        <v>12323</v>
      </c>
      <c r="Q45" t="s">
        <v>12322</v>
      </c>
      <c r="R45" s="7">
        <v>34090</v>
      </c>
      <c r="S45" s="8">
        <f t="shared" si="0"/>
        <v>1993</v>
      </c>
      <c r="T45" s="8">
        <v>1993</v>
      </c>
      <c r="U45" s="8">
        <f t="shared" si="1"/>
        <v>29</v>
      </c>
      <c r="V45" s="7">
        <v>34090</v>
      </c>
      <c r="W45" t="s">
        <v>2915</v>
      </c>
      <c r="X45" s="2">
        <v>0.61499999999999999</v>
      </c>
      <c r="Y45" s="6">
        <f t="shared" si="2"/>
        <v>1.6417073756706976E-2</v>
      </c>
      <c r="AA45">
        <v>1959271</v>
      </c>
      <c r="AB45">
        <v>12141</v>
      </c>
      <c r="AC45">
        <v>15729559</v>
      </c>
      <c r="AD45" t="s">
        <v>5</v>
      </c>
      <c r="AE45">
        <v>14</v>
      </c>
      <c r="AF45">
        <v>5</v>
      </c>
      <c r="AH45" t="s">
        <v>12321</v>
      </c>
      <c r="AI45" t="s">
        <v>12320</v>
      </c>
      <c r="AK45" t="s">
        <v>12319</v>
      </c>
      <c r="AL45">
        <v>2</v>
      </c>
      <c r="AM45" s="5">
        <f t="shared" si="3"/>
        <v>6.8965517241379309E-2</v>
      </c>
      <c r="AN45" s="4">
        <f t="shared" si="4"/>
        <v>1.0445364216793535E-4</v>
      </c>
      <c r="AO45" s="3"/>
      <c r="AP45">
        <v>0</v>
      </c>
      <c r="AR45" t="s">
        <v>1</v>
      </c>
      <c r="AT45" s="2" t="s">
        <v>0</v>
      </c>
      <c r="AU45" s="1">
        <f t="shared" si="5"/>
        <v>1.1523287722345261</v>
      </c>
      <c r="AV45" s="1">
        <f t="shared" si="6"/>
        <v>0.82607636994374545</v>
      </c>
      <c r="AW45" s="1">
        <f t="shared" si="7"/>
        <v>0.49982396765296472</v>
      </c>
    </row>
    <row r="46" spans="1:49" x14ac:dyDescent="0.2">
      <c r="A46">
        <v>44</v>
      </c>
      <c r="B46" t="s">
        <v>12318</v>
      </c>
      <c r="C46" t="s">
        <v>12317</v>
      </c>
      <c r="F46" t="s">
        <v>12316</v>
      </c>
      <c r="G46" t="s">
        <v>15</v>
      </c>
      <c r="H46" t="s">
        <v>14</v>
      </c>
      <c r="I46" t="s">
        <v>9474</v>
      </c>
      <c r="J46">
        <v>60013650</v>
      </c>
      <c r="K46" t="s">
        <v>12315</v>
      </c>
      <c r="L46" t="s">
        <v>12314</v>
      </c>
      <c r="M46" t="s">
        <v>303</v>
      </c>
      <c r="N46">
        <v>1</v>
      </c>
      <c r="O46" t="s">
        <v>12313</v>
      </c>
      <c r="P46">
        <v>6701365631</v>
      </c>
      <c r="Q46">
        <v>60013650</v>
      </c>
      <c r="R46" s="7">
        <v>34090</v>
      </c>
      <c r="S46" s="8">
        <f t="shared" si="0"/>
        <v>1993</v>
      </c>
      <c r="T46" s="8">
        <v>1993</v>
      </c>
      <c r="U46" s="8">
        <f t="shared" si="1"/>
        <v>29</v>
      </c>
      <c r="V46" s="7">
        <v>34090</v>
      </c>
      <c r="W46" t="s">
        <v>9951</v>
      </c>
      <c r="X46" s="2">
        <v>0.33800000000000002</v>
      </c>
      <c r="Y46" s="6">
        <f t="shared" si="2"/>
        <v>9.0227169589706634E-3</v>
      </c>
      <c r="AA46">
        <v>34347</v>
      </c>
      <c r="AB46">
        <v>17722</v>
      </c>
      <c r="AC46">
        <v>19589395</v>
      </c>
      <c r="AD46" t="s">
        <v>5</v>
      </c>
      <c r="AE46">
        <v>48</v>
      </c>
      <c r="AF46" s="9">
        <v>44352</v>
      </c>
      <c r="AH46" t="s">
        <v>12312</v>
      </c>
      <c r="AI46" t="s">
        <v>12311</v>
      </c>
      <c r="AJ46" t="s">
        <v>12310</v>
      </c>
      <c r="AK46" t="s">
        <v>12309</v>
      </c>
      <c r="AL46">
        <v>3</v>
      </c>
      <c r="AM46" s="5">
        <f t="shared" si="3"/>
        <v>0.10344827586206896</v>
      </c>
      <c r="AN46" s="4">
        <f t="shared" si="4"/>
        <v>1.5668046325190301E-4</v>
      </c>
      <c r="AO46" s="3"/>
      <c r="AP46">
        <v>0</v>
      </c>
      <c r="AR46" t="s">
        <v>1</v>
      </c>
      <c r="AT46" s="2" t="s">
        <v>0</v>
      </c>
      <c r="AU46" s="1">
        <f t="shared" si="5"/>
        <v>0.6362906010255035</v>
      </c>
      <c r="AV46" s="1">
        <f t="shared" si="6"/>
        <v>0.4589698711111283</v>
      </c>
      <c r="AW46" s="1">
        <f t="shared" si="7"/>
        <v>0.28164914119675311</v>
      </c>
    </row>
    <row r="47" spans="1:49" x14ac:dyDescent="0.2">
      <c r="A47">
        <v>45</v>
      </c>
      <c r="B47" t="s">
        <v>12308</v>
      </c>
      <c r="C47" t="s">
        <v>12307</v>
      </c>
      <c r="F47" t="s">
        <v>12306</v>
      </c>
      <c r="G47" t="s">
        <v>15</v>
      </c>
      <c r="H47" t="s">
        <v>14</v>
      </c>
      <c r="I47" t="s">
        <v>12305</v>
      </c>
      <c r="J47">
        <v>60017536</v>
      </c>
      <c r="K47" t="s">
        <v>12001</v>
      </c>
      <c r="L47" t="s">
        <v>12000</v>
      </c>
      <c r="M47" t="s">
        <v>10</v>
      </c>
      <c r="N47">
        <v>5</v>
      </c>
      <c r="O47" t="s">
        <v>12304</v>
      </c>
      <c r="P47" t="s">
        <v>12303</v>
      </c>
      <c r="Q47" t="s">
        <v>11997</v>
      </c>
      <c r="R47" s="7">
        <v>34090</v>
      </c>
      <c r="S47" s="8">
        <f t="shared" si="0"/>
        <v>1993</v>
      </c>
      <c r="T47" s="8">
        <v>1993</v>
      </c>
      <c r="U47" s="8">
        <f t="shared" si="1"/>
        <v>29</v>
      </c>
      <c r="V47" s="7">
        <v>34090</v>
      </c>
      <c r="W47" t="s">
        <v>2915</v>
      </c>
      <c r="X47" s="2">
        <v>0.61499999999999999</v>
      </c>
      <c r="Y47" s="6">
        <f t="shared" si="2"/>
        <v>1.6417073756706976E-2</v>
      </c>
      <c r="AA47">
        <v>1959271</v>
      </c>
      <c r="AB47">
        <v>12141</v>
      </c>
      <c r="AC47">
        <v>15729559</v>
      </c>
      <c r="AD47" t="s">
        <v>5</v>
      </c>
      <c r="AE47">
        <v>14</v>
      </c>
      <c r="AF47">
        <v>5</v>
      </c>
      <c r="AH47" t="s">
        <v>12302</v>
      </c>
      <c r="AI47" t="s">
        <v>12301</v>
      </c>
      <c r="AK47" t="s">
        <v>12300</v>
      </c>
      <c r="AL47">
        <v>0</v>
      </c>
      <c r="AM47" s="5">
        <f t="shared" si="3"/>
        <v>0</v>
      </c>
      <c r="AN47" s="4">
        <f t="shared" si="4"/>
        <v>0</v>
      </c>
      <c r="AO47" s="3"/>
      <c r="AP47">
        <v>0</v>
      </c>
      <c r="AR47" t="s">
        <v>1</v>
      </c>
      <c r="AT47" s="2" t="s">
        <v>0</v>
      </c>
      <c r="AU47" s="1">
        <f t="shared" si="5"/>
        <v>1.1491951629694881</v>
      </c>
      <c r="AV47" s="1">
        <f t="shared" si="6"/>
        <v>0.82085368783534873</v>
      </c>
      <c r="AW47" s="1">
        <f t="shared" si="7"/>
        <v>0.49251221270120926</v>
      </c>
    </row>
    <row r="48" spans="1:49" x14ac:dyDescent="0.2">
      <c r="A48">
        <v>46</v>
      </c>
      <c r="B48" t="s">
        <v>12299</v>
      </c>
      <c r="C48" t="s">
        <v>12298</v>
      </c>
      <c r="F48" t="s">
        <v>12297</v>
      </c>
      <c r="G48" t="s">
        <v>15</v>
      </c>
      <c r="H48" t="s">
        <v>14</v>
      </c>
      <c r="I48" t="s">
        <v>12296</v>
      </c>
      <c r="J48">
        <v>60068815</v>
      </c>
      <c r="K48" t="s">
        <v>2697</v>
      </c>
      <c r="L48" t="s">
        <v>2696</v>
      </c>
      <c r="M48" t="s">
        <v>2695</v>
      </c>
      <c r="N48">
        <v>2</v>
      </c>
      <c r="O48" t="s">
        <v>12295</v>
      </c>
      <c r="P48" t="s">
        <v>12294</v>
      </c>
      <c r="Q48" t="s">
        <v>2692</v>
      </c>
      <c r="R48" s="7">
        <v>34090</v>
      </c>
      <c r="S48" s="8">
        <f t="shared" si="0"/>
        <v>1993</v>
      </c>
      <c r="T48" s="8">
        <v>1993</v>
      </c>
      <c r="U48" s="8">
        <f t="shared" si="1"/>
        <v>29</v>
      </c>
      <c r="V48" s="7">
        <v>34090</v>
      </c>
      <c r="W48" t="s">
        <v>2801</v>
      </c>
      <c r="X48" s="2">
        <v>0.65500000000000003</v>
      </c>
      <c r="Y48" s="6">
        <f t="shared" si="2"/>
        <v>1.7484850911614749E-2</v>
      </c>
      <c r="AA48">
        <v>189375</v>
      </c>
      <c r="AB48">
        <v>26051</v>
      </c>
      <c r="AD48" t="s">
        <v>5</v>
      </c>
      <c r="AE48">
        <v>35</v>
      </c>
      <c r="AF48" t="s">
        <v>12293</v>
      </c>
      <c r="AH48" t="s">
        <v>12292</v>
      </c>
      <c r="AI48" t="s">
        <v>12291</v>
      </c>
      <c r="AK48" t="s">
        <v>12290</v>
      </c>
      <c r="AL48">
        <v>43</v>
      </c>
      <c r="AM48" s="5">
        <f t="shared" si="3"/>
        <v>1.4827586206896552</v>
      </c>
      <c r="AN48" s="4">
        <f t="shared" si="4"/>
        <v>2.2457533066106098E-3</v>
      </c>
      <c r="AO48" s="3"/>
      <c r="AP48">
        <v>0</v>
      </c>
      <c r="AR48" t="s">
        <v>1</v>
      </c>
      <c r="AT48" s="2" t="s">
        <v>0</v>
      </c>
      <c r="AU48" s="1">
        <f t="shared" si="5"/>
        <v>1.2913121630113507</v>
      </c>
      <c r="AV48" s="1">
        <f t="shared" si="6"/>
        <v>0.98653021091126802</v>
      </c>
      <c r="AW48" s="1">
        <f t="shared" si="7"/>
        <v>0.68174825881118517</v>
      </c>
    </row>
    <row r="49" spans="1:49" x14ac:dyDescent="0.2">
      <c r="A49">
        <v>47</v>
      </c>
      <c r="B49" t="s">
        <v>12289</v>
      </c>
      <c r="F49" t="s">
        <v>12288</v>
      </c>
      <c r="G49" t="s">
        <v>15</v>
      </c>
      <c r="H49" t="s">
        <v>14</v>
      </c>
      <c r="I49" t="s">
        <v>10753</v>
      </c>
      <c r="J49">
        <v>60016653</v>
      </c>
      <c r="K49" t="s">
        <v>10752</v>
      </c>
      <c r="L49" t="s">
        <v>10751</v>
      </c>
      <c r="M49" t="s">
        <v>59</v>
      </c>
      <c r="N49">
        <v>2</v>
      </c>
      <c r="O49" t="s">
        <v>10750</v>
      </c>
      <c r="P49" t="s">
        <v>10749</v>
      </c>
      <c r="Q49" t="s">
        <v>10748</v>
      </c>
      <c r="R49" s="7">
        <v>34090</v>
      </c>
      <c r="S49" s="8">
        <f t="shared" si="0"/>
        <v>1993</v>
      </c>
      <c r="T49" s="8">
        <v>1993</v>
      </c>
      <c r="U49" s="8">
        <f t="shared" si="1"/>
        <v>29</v>
      </c>
      <c r="V49" s="7">
        <v>34090</v>
      </c>
      <c r="W49" t="s">
        <v>12287</v>
      </c>
      <c r="X49" s="2" t="s">
        <v>0</v>
      </c>
      <c r="Y49" s="6" t="e">
        <f t="shared" si="2"/>
        <v>#VALUE!</v>
      </c>
      <c r="AA49">
        <v>11203862</v>
      </c>
      <c r="AB49">
        <v>55306</v>
      </c>
      <c r="AD49" t="s">
        <v>5</v>
      </c>
      <c r="AE49">
        <v>4</v>
      </c>
      <c r="AF49">
        <v>3</v>
      </c>
      <c r="AH49" t="s">
        <v>12286</v>
      </c>
      <c r="AI49" t="s">
        <v>12285</v>
      </c>
      <c r="AK49" t="s">
        <v>12284</v>
      </c>
      <c r="AL49">
        <v>2</v>
      </c>
      <c r="AM49" s="5">
        <f t="shared" si="3"/>
        <v>6.8965517241379309E-2</v>
      </c>
      <c r="AN49" s="4">
        <f t="shared" si="4"/>
        <v>1.0445364216793535E-4</v>
      </c>
      <c r="AO49" s="3"/>
      <c r="AP49">
        <v>0</v>
      </c>
      <c r="AR49" t="s">
        <v>1</v>
      </c>
      <c r="AT49" s="2" t="s">
        <v>0</v>
      </c>
      <c r="AU49" s="1" t="e">
        <f t="shared" si="5"/>
        <v>#VALUE!</v>
      </c>
      <c r="AV49" s="1" t="e">
        <f t="shared" si="6"/>
        <v>#VALUE!</v>
      </c>
      <c r="AW49" s="1" t="e">
        <f t="shared" si="7"/>
        <v>#VALUE!</v>
      </c>
    </row>
    <row r="50" spans="1:49" x14ac:dyDescent="0.2">
      <c r="A50">
        <v>48</v>
      </c>
      <c r="B50" t="s">
        <v>12283</v>
      </c>
      <c r="F50" t="s">
        <v>12282</v>
      </c>
      <c r="G50" t="s">
        <v>15</v>
      </c>
      <c r="H50" t="s">
        <v>14</v>
      </c>
      <c r="I50" t="s">
        <v>7507</v>
      </c>
      <c r="J50">
        <v>60025063</v>
      </c>
      <c r="K50" t="s">
        <v>4415</v>
      </c>
      <c r="L50" t="s">
        <v>4414</v>
      </c>
      <c r="M50" t="s">
        <v>2519</v>
      </c>
      <c r="N50">
        <v>2</v>
      </c>
      <c r="O50" t="s">
        <v>12281</v>
      </c>
      <c r="P50" t="s">
        <v>12194</v>
      </c>
      <c r="Q50" t="s">
        <v>12193</v>
      </c>
      <c r="R50" s="7">
        <v>34090</v>
      </c>
      <c r="S50" s="8">
        <f t="shared" si="0"/>
        <v>1993</v>
      </c>
      <c r="T50" s="8">
        <v>1993</v>
      </c>
      <c r="U50" s="8">
        <f t="shared" si="1"/>
        <v>29</v>
      </c>
      <c r="V50" s="7">
        <v>34090</v>
      </c>
      <c r="W50" t="s">
        <v>777</v>
      </c>
      <c r="X50" s="2">
        <v>0.54700000000000004</v>
      </c>
      <c r="Y50" s="6">
        <f t="shared" si="2"/>
        <v>1.4601852593363766E-2</v>
      </c>
      <c r="AA50">
        <v>11096</v>
      </c>
      <c r="AB50">
        <v>31211</v>
      </c>
      <c r="AD50" t="s">
        <v>5</v>
      </c>
      <c r="AE50">
        <v>47</v>
      </c>
      <c r="AF50">
        <v>3</v>
      </c>
      <c r="AH50" t="s">
        <v>12280</v>
      </c>
      <c r="AI50" t="s">
        <v>12279</v>
      </c>
      <c r="AK50" t="s">
        <v>12278</v>
      </c>
      <c r="AL50">
        <v>0</v>
      </c>
      <c r="AM50" s="5">
        <f t="shared" si="3"/>
        <v>0</v>
      </c>
      <c r="AN50" s="4">
        <f t="shared" si="4"/>
        <v>0</v>
      </c>
      <c r="AO50" s="3"/>
      <c r="AP50">
        <v>0</v>
      </c>
      <c r="AR50" t="s">
        <v>1</v>
      </c>
      <c r="AT50" s="2" t="s">
        <v>0</v>
      </c>
      <c r="AU50" s="1">
        <f t="shared" si="5"/>
        <v>1.0221296815354637</v>
      </c>
      <c r="AV50" s="1">
        <f t="shared" si="6"/>
        <v>0.73009262966818833</v>
      </c>
      <c r="AW50" s="1">
        <f t="shared" si="7"/>
        <v>0.43805557780091298</v>
      </c>
    </row>
    <row r="51" spans="1:49" x14ac:dyDescent="0.2">
      <c r="A51">
        <v>49</v>
      </c>
      <c r="B51" t="s">
        <v>12277</v>
      </c>
      <c r="F51" t="s">
        <v>12276</v>
      </c>
      <c r="G51" t="s">
        <v>15</v>
      </c>
      <c r="H51" t="s">
        <v>14</v>
      </c>
      <c r="I51" t="s">
        <v>12275</v>
      </c>
      <c r="J51">
        <v>60068761</v>
      </c>
      <c r="K51" t="s">
        <v>12274</v>
      </c>
      <c r="L51" t="s">
        <v>12273</v>
      </c>
      <c r="M51" t="s">
        <v>12272</v>
      </c>
      <c r="N51">
        <v>3</v>
      </c>
      <c r="O51" t="s">
        <v>12271</v>
      </c>
      <c r="P51" t="s">
        <v>12270</v>
      </c>
      <c r="Q51" t="s">
        <v>12269</v>
      </c>
      <c r="R51" s="7">
        <v>34090</v>
      </c>
      <c r="S51" s="8">
        <f t="shared" si="0"/>
        <v>1993</v>
      </c>
      <c r="T51" s="8">
        <v>1993</v>
      </c>
      <c r="U51" s="8">
        <f t="shared" si="1"/>
        <v>29</v>
      </c>
      <c r="V51" s="7">
        <v>34090</v>
      </c>
      <c r="W51" t="s">
        <v>777</v>
      </c>
      <c r="X51" s="2">
        <v>0.54700000000000004</v>
      </c>
      <c r="Y51" s="6">
        <f t="shared" si="2"/>
        <v>1.4601852593363766E-2</v>
      </c>
      <c r="AA51">
        <v>11096</v>
      </c>
      <c r="AB51">
        <v>31211</v>
      </c>
      <c r="AD51" t="s">
        <v>5</v>
      </c>
      <c r="AE51">
        <v>47</v>
      </c>
      <c r="AF51">
        <v>3</v>
      </c>
      <c r="AH51" t="s">
        <v>12268</v>
      </c>
      <c r="AI51" t="s">
        <v>12267</v>
      </c>
      <c r="AK51" t="s">
        <v>12266</v>
      </c>
      <c r="AL51">
        <v>5</v>
      </c>
      <c r="AM51" s="5">
        <f t="shared" si="3"/>
        <v>0.17241379310344829</v>
      </c>
      <c r="AN51" s="4">
        <f t="shared" si="4"/>
        <v>2.6113410541983838E-4</v>
      </c>
      <c r="AO51" s="3"/>
      <c r="AP51">
        <v>0</v>
      </c>
      <c r="AR51" t="s">
        <v>1</v>
      </c>
      <c r="AT51" s="2" t="s">
        <v>0</v>
      </c>
      <c r="AU51" s="1">
        <f t="shared" si="5"/>
        <v>1.0299637046980585</v>
      </c>
      <c r="AV51" s="1">
        <f t="shared" si="6"/>
        <v>0.74314933493918023</v>
      </c>
      <c r="AW51" s="1">
        <f t="shared" si="7"/>
        <v>0.45633496518030164</v>
      </c>
    </row>
    <row r="52" spans="1:49" x14ac:dyDescent="0.2">
      <c r="A52">
        <v>50</v>
      </c>
      <c r="B52" t="s">
        <v>12265</v>
      </c>
      <c r="C52" t="s">
        <v>12264</v>
      </c>
      <c r="F52" t="s">
        <v>12263</v>
      </c>
      <c r="G52" t="s">
        <v>15</v>
      </c>
      <c r="H52" t="s">
        <v>14</v>
      </c>
      <c r="I52" t="s">
        <v>12262</v>
      </c>
      <c r="J52" t="s">
        <v>12261</v>
      </c>
      <c r="K52" t="s">
        <v>12260</v>
      </c>
      <c r="L52" t="s">
        <v>12259</v>
      </c>
      <c r="M52" t="s">
        <v>705</v>
      </c>
      <c r="N52">
        <v>4</v>
      </c>
      <c r="O52" t="s">
        <v>12258</v>
      </c>
      <c r="P52" t="s">
        <v>12257</v>
      </c>
      <c r="Q52" t="s">
        <v>12256</v>
      </c>
      <c r="R52" s="7">
        <v>34090</v>
      </c>
      <c r="S52" s="8">
        <f t="shared" si="0"/>
        <v>1993</v>
      </c>
      <c r="T52" s="8">
        <v>1993</v>
      </c>
      <c r="U52" s="8">
        <f t="shared" si="1"/>
        <v>29</v>
      </c>
      <c r="V52" s="7">
        <v>34090</v>
      </c>
      <c r="W52" t="s">
        <v>9951</v>
      </c>
      <c r="X52" s="2">
        <v>0.33800000000000002</v>
      </c>
      <c r="Y52" s="6">
        <f t="shared" si="2"/>
        <v>9.0227169589706634E-3</v>
      </c>
      <c r="AA52">
        <v>34347</v>
      </c>
      <c r="AB52">
        <v>17722</v>
      </c>
      <c r="AC52">
        <v>19589395</v>
      </c>
      <c r="AD52" t="s">
        <v>5</v>
      </c>
      <c r="AE52">
        <v>48</v>
      </c>
      <c r="AF52" s="9">
        <v>44352</v>
      </c>
      <c r="AH52" t="s">
        <v>12255</v>
      </c>
      <c r="AI52" t="s">
        <v>12254</v>
      </c>
      <c r="AJ52" t="s">
        <v>12253</v>
      </c>
      <c r="AK52" t="s">
        <v>12252</v>
      </c>
      <c r="AL52">
        <v>10</v>
      </c>
      <c r="AM52" s="5">
        <f t="shared" si="3"/>
        <v>0.34482758620689657</v>
      </c>
      <c r="AN52" s="4">
        <f t="shared" si="4"/>
        <v>5.2226821083967677E-4</v>
      </c>
      <c r="AO52" s="3"/>
      <c r="AP52">
        <v>0</v>
      </c>
      <c r="AR52" t="s">
        <v>1</v>
      </c>
      <c r="AT52" s="2" t="s">
        <v>0</v>
      </c>
      <c r="AU52" s="1">
        <f t="shared" si="5"/>
        <v>0.64725823345313671</v>
      </c>
      <c r="AV52" s="1">
        <f t="shared" si="6"/>
        <v>0.47724925849051703</v>
      </c>
      <c r="AW52" s="1">
        <f t="shared" si="7"/>
        <v>0.30724028352789728</v>
      </c>
    </row>
    <row r="53" spans="1:49" x14ac:dyDescent="0.2">
      <c r="A53">
        <v>51</v>
      </c>
      <c r="B53" t="s">
        <v>12251</v>
      </c>
      <c r="F53" t="s">
        <v>12250</v>
      </c>
      <c r="G53" t="s">
        <v>15</v>
      </c>
      <c r="H53" t="s">
        <v>14</v>
      </c>
      <c r="I53" t="s">
        <v>2438</v>
      </c>
      <c r="J53">
        <v>60011357</v>
      </c>
      <c r="K53" t="s">
        <v>2437</v>
      </c>
      <c r="L53" t="s">
        <v>2436</v>
      </c>
      <c r="M53" t="s">
        <v>1909</v>
      </c>
      <c r="N53">
        <v>2</v>
      </c>
      <c r="O53" t="s">
        <v>12249</v>
      </c>
      <c r="P53" t="s">
        <v>12248</v>
      </c>
      <c r="Q53" t="s">
        <v>2433</v>
      </c>
      <c r="R53" s="7">
        <v>34090</v>
      </c>
      <c r="S53" s="8">
        <f t="shared" si="0"/>
        <v>1993</v>
      </c>
      <c r="T53" s="8">
        <v>1993</v>
      </c>
      <c r="U53" s="8">
        <f t="shared" si="1"/>
        <v>29</v>
      </c>
      <c r="V53" s="7">
        <v>34090</v>
      </c>
      <c r="W53" t="s">
        <v>12247</v>
      </c>
      <c r="X53" s="2" t="s">
        <v>0</v>
      </c>
      <c r="Y53" s="6" t="e">
        <f t="shared" si="2"/>
        <v>#VALUE!</v>
      </c>
      <c r="AA53">
        <v>2556588</v>
      </c>
      <c r="AB53">
        <v>62659</v>
      </c>
      <c r="AD53" t="s">
        <v>5</v>
      </c>
      <c r="AE53">
        <v>17</v>
      </c>
      <c r="AF53">
        <v>3</v>
      </c>
      <c r="AH53" t="s">
        <v>12246</v>
      </c>
      <c r="AI53" t="s">
        <v>12245</v>
      </c>
      <c r="AK53" t="s">
        <v>12244</v>
      </c>
      <c r="AL53">
        <v>1</v>
      </c>
      <c r="AM53" s="5">
        <f t="shared" si="3"/>
        <v>3.4482758620689655E-2</v>
      </c>
      <c r="AN53" s="4">
        <f t="shared" si="4"/>
        <v>5.2226821083967674E-5</v>
      </c>
      <c r="AO53" s="3"/>
      <c r="AP53">
        <v>0</v>
      </c>
      <c r="AR53" t="s">
        <v>1</v>
      </c>
      <c r="AT53" s="2" t="s">
        <v>0</v>
      </c>
      <c r="AU53" s="1" t="e">
        <f t="shared" si="5"/>
        <v>#VALUE!</v>
      </c>
      <c r="AV53" s="1" t="e">
        <f t="shared" si="6"/>
        <v>#VALUE!</v>
      </c>
      <c r="AW53" s="1" t="e">
        <f t="shared" si="7"/>
        <v>#VALUE!</v>
      </c>
    </row>
    <row r="54" spans="1:49" x14ac:dyDescent="0.2">
      <c r="A54">
        <v>52</v>
      </c>
      <c r="B54" t="s">
        <v>12243</v>
      </c>
      <c r="C54" t="s">
        <v>12242</v>
      </c>
      <c r="F54" t="s">
        <v>12241</v>
      </c>
      <c r="G54" t="s">
        <v>15</v>
      </c>
      <c r="H54" t="s">
        <v>14</v>
      </c>
      <c r="I54" t="s">
        <v>12240</v>
      </c>
      <c r="J54">
        <v>60021199</v>
      </c>
      <c r="K54" t="s">
        <v>12239</v>
      </c>
      <c r="L54" t="s">
        <v>3158</v>
      </c>
      <c r="M54" t="s">
        <v>2423</v>
      </c>
      <c r="N54">
        <v>1</v>
      </c>
      <c r="O54" t="s">
        <v>12238</v>
      </c>
      <c r="P54">
        <v>6701819125</v>
      </c>
      <c r="Q54">
        <v>60021199</v>
      </c>
      <c r="R54" s="7">
        <v>34090</v>
      </c>
      <c r="S54" s="8">
        <f t="shared" si="0"/>
        <v>1993</v>
      </c>
      <c r="T54" s="8">
        <v>1993</v>
      </c>
      <c r="U54" s="8">
        <f t="shared" si="1"/>
        <v>29</v>
      </c>
      <c r="V54" s="7">
        <v>34090</v>
      </c>
      <c r="W54" t="s">
        <v>11742</v>
      </c>
      <c r="X54" s="2">
        <v>1.2529999999999999</v>
      </c>
      <c r="Y54" s="6">
        <f t="shared" si="2"/>
        <v>3.3448119377485916E-2</v>
      </c>
      <c r="AA54">
        <v>320935</v>
      </c>
      <c r="AB54">
        <v>16646</v>
      </c>
      <c r="AC54">
        <v>14322048</v>
      </c>
      <c r="AD54" t="s">
        <v>5</v>
      </c>
      <c r="AE54">
        <v>190</v>
      </c>
      <c r="AF54">
        <v>1</v>
      </c>
      <c r="AH54" t="s">
        <v>10631</v>
      </c>
      <c r="AI54" t="s">
        <v>12237</v>
      </c>
      <c r="AJ54" t="s">
        <v>12236</v>
      </c>
      <c r="AK54" t="s">
        <v>12235</v>
      </c>
      <c r="AL54">
        <v>25</v>
      </c>
      <c r="AM54" s="5">
        <f t="shared" si="3"/>
        <v>0.86206896551724133</v>
      </c>
      <c r="AN54" s="4">
        <f t="shared" si="4"/>
        <v>1.3056705270991916E-3</v>
      </c>
      <c r="AO54" s="3"/>
      <c r="AP54">
        <v>0</v>
      </c>
      <c r="AR54" t="s">
        <v>1</v>
      </c>
      <c r="AT54" s="2">
        <v>4.1159999999999997</v>
      </c>
      <c r="AU54" s="1">
        <f t="shared" si="5"/>
        <v>2.3805384722369896</v>
      </c>
      <c r="AV54" s="1">
        <f t="shared" si="6"/>
        <v>1.7376894952292554</v>
      </c>
      <c r="AW54" s="1">
        <f t="shared" si="7"/>
        <v>1.0948405182215208</v>
      </c>
    </row>
    <row r="55" spans="1:49" x14ac:dyDescent="0.2">
      <c r="A55">
        <v>53</v>
      </c>
      <c r="B55" t="s">
        <v>12234</v>
      </c>
      <c r="C55" t="s">
        <v>12233</v>
      </c>
      <c r="F55" t="s">
        <v>12232</v>
      </c>
      <c r="G55" t="s">
        <v>15</v>
      </c>
      <c r="H55" t="s">
        <v>14</v>
      </c>
      <c r="I55" t="s">
        <v>12231</v>
      </c>
      <c r="J55">
        <v>60011520</v>
      </c>
      <c r="K55" t="s">
        <v>6172</v>
      </c>
      <c r="L55" t="s">
        <v>3718</v>
      </c>
      <c r="M55" t="s">
        <v>493</v>
      </c>
      <c r="N55">
        <v>1</v>
      </c>
      <c r="O55" t="s">
        <v>12230</v>
      </c>
      <c r="P55">
        <v>57203106162</v>
      </c>
      <c r="Q55">
        <v>60011520</v>
      </c>
      <c r="R55" s="7">
        <v>34088</v>
      </c>
      <c r="S55" s="8">
        <f t="shared" si="0"/>
        <v>1993</v>
      </c>
      <c r="T55" s="8">
        <v>1993</v>
      </c>
      <c r="U55" s="8">
        <f t="shared" si="1"/>
        <v>29</v>
      </c>
      <c r="V55" s="7">
        <v>34088</v>
      </c>
      <c r="W55" t="s">
        <v>868</v>
      </c>
      <c r="X55" s="2">
        <v>0.375</v>
      </c>
      <c r="Y55" s="6">
        <f t="shared" si="2"/>
        <v>1.0010410827260351E-2</v>
      </c>
      <c r="AA55">
        <v>135194</v>
      </c>
      <c r="AB55">
        <v>24918</v>
      </c>
      <c r="AD55" t="s">
        <v>5</v>
      </c>
      <c r="AE55">
        <v>29</v>
      </c>
      <c r="AF55">
        <v>9</v>
      </c>
      <c r="AH55" t="s">
        <v>12229</v>
      </c>
      <c r="AI55" t="s">
        <v>12228</v>
      </c>
      <c r="AJ55" t="s">
        <v>12227</v>
      </c>
      <c r="AK55" t="s">
        <v>12226</v>
      </c>
      <c r="AL55">
        <v>1</v>
      </c>
      <c r="AM55" s="5">
        <f t="shared" si="3"/>
        <v>3.4482758620689655E-2</v>
      </c>
      <c r="AN55" s="4">
        <f t="shared" si="4"/>
        <v>5.2226821083967674E-5</v>
      </c>
      <c r="AO55" s="3"/>
      <c r="AP55">
        <v>0</v>
      </c>
      <c r="AR55" t="s">
        <v>1</v>
      </c>
      <c r="AT55" s="2">
        <v>1.3140000000000001</v>
      </c>
      <c r="AU55" s="1">
        <f t="shared" si="5"/>
        <v>0.70229556254074355</v>
      </c>
      <c r="AV55" s="1">
        <f t="shared" si="6"/>
        <v>0.50313188241721596</v>
      </c>
      <c r="AW55" s="1">
        <f t="shared" si="7"/>
        <v>0.30396820229368826</v>
      </c>
    </row>
    <row r="56" spans="1:49" x14ac:dyDescent="0.2">
      <c r="A56">
        <v>54</v>
      </c>
      <c r="B56" t="s">
        <v>12225</v>
      </c>
      <c r="C56" t="s">
        <v>12224</v>
      </c>
      <c r="D56" t="s">
        <v>12223</v>
      </c>
      <c r="F56" t="s">
        <v>12222</v>
      </c>
      <c r="G56" t="s">
        <v>15</v>
      </c>
      <c r="H56" t="s">
        <v>14</v>
      </c>
      <c r="I56" t="s">
        <v>12221</v>
      </c>
      <c r="J56" t="s">
        <v>12217</v>
      </c>
      <c r="K56" t="s">
        <v>12220</v>
      </c>
      <c r="L56" t="s">
        <v>6014</v>
      </c>
      <c r="M56" t="s">
        <v>3183</v>
      </c>
      <c r="N56">
        <v>2</v>
      </c>
      <c r="O56" t="s">
        <v>12219</v>
      </c>
      <c r="P56" t="s">
        <v>12218</v>
      </c>
      <c r="Q56" t="s">
        <v>12217</v>
      </c>
      <c r="R56" s="7">
        <v>34081</v>
      </c>
      <c r="S56" s="8">
        <f t="shared" si="0"/>
        <v>1993</v>
      </c>
      <c r="T56" s="8">
        <v>1993</v>
      </c>
      <c r="U56" s="8">
        <f t="shared" si="1"/>
        <v>29</v>
      </c>
      <c r="V56" s="7">
        <v>34081</v>
      </c>
      <c r="W56" t="s">
        <v>12216</v>
      </c>
      <c r="X56" s="2">
        <v>1.3149999999999999</v>
      </c>
      <c r="Y56" s="6">
        <f t="shared" si="2"/>
        <v>3.5103173967592965E-2</v>
      </c>
      <c r="AA56" t="s">
        <v>12215</v>
      </c>
      <c r="AB56">
        <v>13030</v>
      </c>
      <c r="AC56">
        <v>10958568</v>
      </c>
      <c r="AD56" t="s">
        <v>5</v>
      </c>
      <c r="AE56">
        <v>162</v>
      </c>
      <c r="AF56">
        <v>3</v>
      </c>
      <c r="AH56" t="s">
        <v>12214</v>
      </c>
      <c r="AI56" t="s">
        <v>12213</v>
      </c>
      <c r="AK56" t="s">
        <v>12212</v>
      </c>
      <c r="AL56">
        <v>24</v>
      </c>
      <c r="AM56" s="5">
        <f t="shared" si="3"/>
        <v>0.82758620689655171</v>
      </c>
      <c r="AN56" s="4">
        <f t="shared" si="4"/>
        <v>1.2534437060152241E-3</v>
      </c>
      <c r="AO56" s="3"/>
      <c r="AP56">
        <v>0</v>
      </c>
      <c r="AR56" t="s">
        <v>1</v>
      </c>
      <c r="AT56" s="2">
        <v>3.6549999999999998</v>
      </c>
      <c r="AU56" s="1">
        <f t="shared" si="5"/>
        <v>2.4948254889119643</v>
      </c>
      <c r="AV56" s="1">
        <f t="shared" si="6"/>
        <v>1.8178308836804096</v>
      </c>
      <c r="AW56" s="1">
        <f t="shared" si="7"/>
        <v>1.1408362784488546</v>
      </c>
    </row>
    <row r="57" spans="1:49" x14ac:dyDescent="0.2">
      <c r="A57">
        <v>55</v>
      </c>
      <c r="B57" t="s">
        <v>12211</v>
      </c>
      <c r="C57" t="s">
        <v>12210</v>
      </c>
      <c r="F57" t="s">
        <v>12209</v>
      </c>
      <c r="G57" t="s">
        <v>15</v>
      </c>
      <c r="H57" t="s">
        <v>14</v>
      </c>
      <c r="I57" t="s">
        <v>3006</v>
      </c>
      <c r="J57" t="s">
        <v>12208</v>
      </c>
      <c r="K57" t="s">
        <v>12207</v>
      </c>
      <c r="L57" t="s">
        <v>12206</v>
      </c>
      <c r="M57" t="s">
        <v>235</v>
      </c>
      <c r="N57">
        <v>2</v>
      </c>
      <c r="O57" t="s">
        <v>12205</v>
      </c>
      <c r="P57" t="s">
        <v>12204</v>
      </c>
      <c r="Q57" t="s">
        <v>12203</v>
      </c>
      <c r="R57" s="7">
        <v>34074</v>
      </c>
      <c r="S57" s="8">
        <f t="shared" si="0"/>
        <v>1993</v>
      </c>
      <c r="T57" s="8">
        <v>1993</v>
      </c>
      <c r="U57" s="8">
        <f t="shared" si="1"/>
        <v>29</v>
      </c>
      <c r="V57" s="7">
        <v>34074</v>
      </c>
      <c r="W57" t="s">
        <v>868</v>
      </c>
      <c r="X57" s="2">
        <v>0.375</v>
      </c>
      <c r="Y57" s="6">
        <f t="shared" si="2"/>
        <v>1.0010410827260351E-2</v>
      </c>
      <c r="AA57">
        <v>135194</v>
      </c>
      <c r="AB57">
        <v>24918</v>
      </c>
      <c r="AD57" t="s">
        <v>5</v>
      </c>
      <c r="AE57">
        <v>29</v>
      </c>
      <c r="AF57">
        <v>8</v>
      </c>
      <c r="AH57" t="s">
        <v>12202</v>
      </c>
      <c r="AI57" t="s">
        <v>12201</v>
      </c>
      <c r="AJ57" t="s">
        <v>12200</v>
      </c>
      <c r="AK57" t="s">
        <v>12199</v>
      </c>
      <c r="AL57">
        <v>355</v>
      </c>
      <c r="AM57" s="5">
        <f t="shared" si="3"/>
        <v>12.241379310344827</v>
      </c>
      <c r="AN57" s="4">
        <f t="shared" si="4"/>
        <v>1.8540521484808524E-2</v>
      </c>
      <c r="AO57" s="3"/>
      <c r="AP57">
        <v>0</v>
      </c>
      <c r="AR57" t="s">
        <v>1</v>
      </c>
      <c r="AT57" s="2">
        <v>1.3140000000000001</v>
      </c>
      <c r="AU57" s="1">
        <f t="shared" si="5"/>
        <v>1.2569444024524803</v>
      </c>
      <c r="AV57" s="1">
        <f t="shared" si="6"/>
        <v>1.4275466156034438</v>
      </c>
      <c r="AW57" s="1">
        <f t="shared" si="7"/>
        <v>1.598148828754407</v>
      </c>
    </row>
    <row r="58" spans="1:49" x14ac:dyDescent="0.2">
      <c r="A58">
        <v>56</v>
      </c>
      <c r="B58" t="s">
        <v>12198</v>
      </c>
      <c r="C58" t="s">
        <v>12197</v>
      </c>
      <c r="F58" t="s">
        <v>12196</v>
      </c>
      <c r="G58" t="s">
        <v>15</v>
      </c>
      <c r="H58" t="s">
        <v>14</v>
      </c>
      <c r="I58" t="s">
        <v>7507</v>
      </c>
      <c r="J58">
        <v>60025063</v>
      </c>
      <c r="K58" t="s">
        <v>4415</v>
      </c>
      <c r="L58" t="s">
        <v>4414</v>
      </c>
      <c r="M58" t="s">
        <v>2519</v>
      </c>
      <c r="N58">
        <v>2</v>
      </c>
      <c r="O58" t="s">
        <v>12195</v>
      </c>
      <c r="P58" t="s">
        <v>12194</v>
      </c>
      <c r="Q58" t="s">
        <v>12193</v>
      </c>
      <c r="R58" s="7">
        <v>34074</v>
      </c>
      <c r="S58" s="8">
        <f t="shared" si="0"/>
        <v>1993</v>
      </c>
      <c r="T58" s="8">
        <v>1993</v>
      </c>
      <c r="U58" s="8">
        <f t="shared" si="1"/>
        <v>29</v>
      </c>
      <c r="V58" s="7">
        <v>34074</v>
      </c>
      <c r="W58" t="s">
        <v>868</v>
      </c>
      <c r="X58" s="2">
        <v>0.375</v>
      </c>
      <c r="Y58" s="6">
        <f t="shared" si="2"/>
        <v>1.0010410827260351E-2</v>
      </c>
      <c r="AA58">
        <v>135194</v>
      </c>
      <c r="AB58">
        <v>24918</v>
      </c>
      <c r="AD58" t="s">
        <v>5</v>
      </c>
      <c r="AE58">
        <v>29</v>
      </c>
      <c r="AF58">
        <v>8</v>
      </c>
      <c r="AH58" t="s">
        <v>12192</v>
      </c>
      <c r="AI58" t="s">
        <v>12191</v>
      </c>
      <c r="AJ58" t="s">
        <v>12190</v>
      </c>
      <c r="AK58" t="s">
        <v>12189</v>
      </c>
      <c r="AL58">
        <v>0</v>
      </c>
      <c r="AM58" s="5">
        <f t="shared" si="3"/>
        <v>0</v>
      </c>
      <c r="AN58" s="4">
        <f t="shared" si="4"/>
        <v>0</v>
      </c>
      <c r="AO58" s="3"/>
      <c r="AP58">
        <v>0</v>
      </c>
      <c r="AR58" t="s">
        <v>1</v>
      </c>
      <c r="AT58" s="2">
        <v>1.3140000000000001</v>
      </c>
      <c r="AU58" s="1">
        <f t="shared" si="5"/>
        <v>0.70072875790822453</v>
      </c>
      <c r="AV58" s="1">
        <f t="shared" si="6"/>
        <v>0.5005205413630176</v>
      </c>
      <c r="AW58" s="1">
        <f t="shared" si="7"/>
        <v>0.30031232481781051</v>
      </c>
    </row>
    <row r="59" spans="1:49" x14ac:dyDescent="0.2">
      <c r="A59">
        <v>57</v>
      </c>
      <c r="B59" t="s">
        <v>12188</v>
      </c>
      <c r="C59" t="s">
        <v>12187</v>
      </c>
      <c r="F59" t="s">
        <v>12186</v>
      </c>
      <c r="G59" t="s">
        <v>15</v>
      </c>
      <c r="H59" t="s">
        <v>14</v>
      </c>
      <c r="I59" t="s">
        <v>12185</v>
      </c>
      <c r="J59">
        <v>100311743</v>
      </c>
      <c r="K59" t="s">
        <v>7640</v>
      </c>
      <c r="L59" t="s">
        <v>3425</v>
      </c>
      <c r="M59" t="s">
        <v>493</v>
      </c>
      <c r="N59">
        <v>2</v>
      </c>
      <c r="O59" t="s">
        <v>12184</v>
      </c>
      <c r="P59" t="s">
        <v>12183</v>
      </c>
      <c r="Q59" t="s">
        <v>12182</v>
      </c>
      <c r="R59" s="7">
        <v>34074</v>
      </c>
      <c r="S59" s="8">
        <f t="shared" si="0"/>
        <v>1993</v>
      </c>
      <c r="T59" s="8">
        <v>1993</v>
      </c>
      <c r="U59" s="8">
        <f t="shared" si="1"/>
        <v>29</v>
      </c>
      <c r="V59" s="7">
        <v>34074</v>
      </c>
      <c r="W59" t="s">
        <v>868</v>
      </c>
      <c r="X59" s="2">
        <v>0.375</v>
      </c>
      <c r="Y59" s="6">
        <f t="shared" si="2"/>
        <v>1.0010410827260351E-2</v>
      </c>
      <c r="AA59">
        <v>135194</v>
      </c>
      <c r="AB59">
        <v>24918</v>
      </c>
      <c r="AD59" t="s">
        <v>5</v>
      </c>
      <c r="AE59">
        <v>29</v>
      </c>
      <c r="AF59">
        <v>8</v>
      </c>
      <c r="AH59" t="s">
        <v>12181</v>
      </c>
      <c r="AI59" t="s">
        <v>12180</v>
      </c>
      <c r="AJ59" t="s">
        <v>12179</v>
      </c>
      <c r="AK59" t="s">
        <v>12178</v>
      </c>
      <c r="AL59">
        <v>7</v>
      </c>
      <c r="AM59" s="5">
        <f t="shared" si="3"/>
        <v>0.2413793103448276</v>
      </c>
      <c r="AN59" s="4">
        <f t="shared" si="4"/>
        <v>3.655877475877737E-4</v>
      </c>
      <c r="AO59" s="3"/>
      <c r="AP59">
        <v>0</v>
      </c>
      <c r="AR59" t="s">
        <v>1</v>
      </c>
      <c r="AT59" s="2">
        <v>1.3140000000000001</v>
      </c>
      <c r="AU59" s="1">
        <f t="shared" si="5"/>
        <v>0.71169639033585774</v>
      </c>
      <c r="AV59" s="1">
        <f t="shared" si="6"/>
        <v>0.51879992874240621</v>
      </c>
      <c r="AW59" s="1">
        <f t="shared" si="7"/>
        <v>0.32590346714895468</v>
      </c>
    </row>
    <row r="60" spans="1:49" x14ac:dyDescent="0.2">
      <c r="A60">
        <v>58</v>
      </c>
      <c r="B60" t="s">
        <v>12177</v>
      </c>
      <c r="C60" t="s">
        <v>12176</v>
      </c>
      <c r="F60" t="s">
        <v>12175</v>
      </c>
      <c r="G60" t="s">
        <v>15</v>
      </c>
      <c r="H60" t="s">
        <v>14</v>
      </c>
      <c r="I60" t="s">
        <v>3061</v>
      </c>
      <c r="N60">
        <v>1</v>
      </c>
      <c r="O60" t="s">
        <v>6265</v>
      </c>
      <c r="P60">
        <v>7005207070</v>
      </c>
      <c r="R60" s="7">
        <v>34074</v>
      </c>
      <c r="S60" s="8">
        <f t="shared" si="0"/>
        <v>1993</v>
      </c>
      <c r="T60" s="8">
        <v>1993</v>
      </c>
      <c r="U60" s="8">
        <f t="shared" si="1"/>
        <v>29</v>
      </c>
      <c r="V60" s="7">
        <v>34074</v>
      </c>
      <c r="W60" t="s">
        <v>868</v>
      </c>
      <c r="X60" s="2">
        <v>0.375</v>
      </c>
      <c r="Y60" s="6">
        <f t="shared" si="2"/>
        <v>1.0010410827260351E-2</v>
      </c>
      <c r="AA60">
        <v>135194</v>
      </c>
      <c r="AB60">
        <v>24918</v>
      </c>
      <c r="AD60" t="s">
        <v>5</v>
      </c>
      <c r="AE60">
        <v>29</v>
      </c>
      <c r="AF60">
        <v>8</v>
      </c>
      <c r="AH60" t="s">
        <v>12174</v>
      </c>
      <c r="AI60" t="s">
        <v>12173</v>
      </c>
      <c r="AJ60" t="s">
        <v>12172</v>
      </c>
      <c r="AK60" t="s">
        <v>12171</v>
      </c>
      <c r="AL60">
        <v>9</v>
      </c>
      <c r="AM60" s="5">
        <f t="shared" si="3"/>
        <v>0.31034482758620691</v>
      </c>
      <c r="AN60" s="4">
        <f t="shared" si="4"/>
        <v>4.7004138975570908E-4</v>
      </c>
      <c r="AO60" s="3"/>
      <c r="AP60">
        <v>0</v>
      </c>
      <c r="AR60" t="s">
        <v>1</v>
      </c>
      <c r="AT60" s="2">
        <v>1.3140000000000001</v>
      </c>
      <c r="AU60" s="1">
        <f t="shared" si="5"/>
        <v>0.71482999960089588</v>
      </c>
      <c r="AV60" s="1">
        <f t="shared" si="6"/>
        <v>0.52402261085080304</v>
      </c>
      <c r="AW60" s="1">
        <f t="shared" si="7"/>
        <v>0.33321522210071014</v>
      </c>
    </row>
    <row r="61" spans="1:49" x14ac:dyDescent="0.2">
      <c r="A61">
        <v>59</v>
      </c>
      <c r="B61" t="s">
        <v>12170</v>
      </c>
      <c r="C61" t="s">
        <v>12169</v>
      </c>
      <c r="D61" t="s">
        <v>12168</v>
      </c>
      <c r="E61">
        <v>7682531</v>
      </c>
      <c r="F61" t="s">
        <v>12167</v>
      </c>
      <c r="G61" t="s">
        <v>15</v>
      </c>
      <c r="H61" t="s">
        <v>14</v>
      </c>
      <c r="I61" t="s">
        <v>12166</v>
      </c>
      <c r="J61">
        <v>60031040</v>
      </c>
      <c r="K61" t="s">
        <v>12165</v>
      </c>
      <c r="L61" t="s">
        <v>12164</v>
      </c>
      <c r="M61" t="s">
        <v>120</v>
      </c>
      <c r="N61">
        <v>3</v>
      </c>
      <c r="O61" t="s">
        <v>12163</v>
      </c>
      <c r="P61" t="s">
        <v>12162</v>
      </c>
      <c r="Q61" t="s">
        <v>12161</v>
      </c>
      <c r="R61" s="7">
        <v>34074</v>
      </c>
      <c r="S61" s="8">
        <f t="shared" si="0"/>
        <v>1993</v>
      </c>
      <c r="T61" s="8">
        <v>1993</v>
      </c>
      <c r="U61" s="8">
        <f t="shared" si="1"/>
        <v>29</v>
      </c>
      <c r="V61" s="7">
        <v>34074</v>
      </c>
      <c r="W61" t="s">
        <v>12160</v>
      </c>
      <c r="X61" s="2">
        <v>0.91600000000000004</v>
      </c>
      <c r="Y61" s="6">
        <f t="shared" si="2"/>
        <v>2.4452096847387951E-2</v>
      </c>
      <c r="AA61">
        <v>3781119</v>
      </c>
      <c r="AB61">
        <v>15636</v>
      </c>
      <c r="AD61" t="s">
        <v>5</v>
      </c>
      <c r="AE61">
        <v>126</v>
      </c>
      <c r="AF61">
        <v>1</v>
      </c>
      <c r="AH61" t="s">
        <v>12159</v>
      </c>
      <c r="AI61" t="s">
        <v>12158</v>
      </c>
      <c r="AJ61" t="s">
        <v>12157</v>
      </c>
      <c r="AK61" t="s">
        <v>12156</v>
      </c>
      <c r="AL61">
        <v>7</v>
      </c>
      <c r="AM61" s="5">
        <f t="shared" si="3"/>
        <v>0.2413793103448276</v>
      </c>
      <c r="AN61" s="4">
        <f t="shared" si="4"/>
        <v>3.655877475877737E-4</v>
      </c>
      <c r="AO61" s="3"/>
      <c r="AP61">
        <v>0</v>
      </c>
      <c r="AQ61" t="s">
        <v>11439</v>
      </c>
      <c r="AR61" t="s">
        <v>1</v>
      </c>
      <c r="AS61" t="s">
        <v>11438</v>
      </c>
      <c r="AT61" s="2">
        <v>3.6880000000000002</v>
      </c>
      <c r="AU61" s="1">
        <f t="shared" si="5"/>
        <v>1.7226144117447895</v>
      </c>
      <c r="AV61" s="1">
        <f t="shared" si="6"/>
        <v>1.2408842297487863</v>
      </c>
      <c r="AW61" s="1">
        <f t="shared" si="7"/>
        <v>0.75915404775278261</v>
      </c>
    </row>
    <row r="62" spans="1:49" x14ac:dyDescent="0.2">
      <c r="A62">
        <v>60</v>
      </c>
      <c r="B62" t="s">
        <v>12155</v>
      </c>
      <c r="C62" t="s">
        <v>12154</v>
      </c>
      <c r="D62" t="s">
        <v>12153</v>
      </c>
      <c r="F62" t="s">
        <v>12152</v>
      </c>
      <c r="G62" t="s">
        <v>15</v>
      </c>
      <c r="H62" t="s">
        <v>14</v>
      </c>
      <c r="I62" t="s">
        <v>12151</v>
      </c>
      <c r="J62" t="s">
        <v>12150</v>
      </c>
      <c r="K62" t="s">
        <v>12149</v>
      </c>
      <c r="L62" t="s">
        <v>12148</v>
      </c>
      <c r="M62" t="s">
        <v>2030</v>
      </c>
      <c r="N62">
        <v>5</v>
      </c>
      <c r="O62" t="s">
        <v>12147</v>
      </c>
      <c r="P62" t="s">
        <v>12146</v>
      </c>
      <c r="Q62" t="s">
        <v>12145</v>
      </c>
      <c r="R62" s="7">
        <v>34074</v>
      </c>
      <c r="S62" s="8">
        <f t="shared" si="0"/>
        <v>1993</v>
      </c>
      <c r="T62" s="8">
        <v>1993</v>
      </c>
      <c r="U62" s="8">
        <f t="shared" si="1"/>
        <v>29</v>
      </c>
      <c r="V62" s="7">
        <v>34074</v>
      </c>
      <c r="W62" t="s">
        <v>12144</v>
      </c>
      <c r="X62" s="2">
        <v>0.96499999999999997</v>
      </c>
      <c r="Y62" s="6">
        <f t="shared" si="2"/>
        <v>2.5760123862149969E-2</v>
      </c>
      <c r="AA62">
        <v>220981</v>
      </c>
      <c r="AB62">
        <v>29606</v>
      </c>
      <c r="AD62" t="s">
        <v>5</v>
      </c>
      <c r="AE62">
        <v>167</v>
      </c>
      <c r="AF62">
        <v>2</v>
      </c>
      <c r="AH62" t="s">
        <v>12143</v>
      </c>
      <c r="AI62" t="s">
        <v>12142</v>
      </c>
      <c r="AJ62" t="s">
        <v>12141</v>
      </c>
      <c r="AK62" t="s">
        <v>12140</v>
      </c>
      <c r="AL62">
        <v>34</v>
      </c>
      <c r="AM62" s="5">
        <f t="shared" si="3"/>
        <v>1.1724137931034482</v>
      </c>
      <c r="AN62" s="4">
        <f t="shared" si="4"/>
        <v>1.7757119168549007E-3</v>
      </c>
      <c r="AO62" s="3"/>
      <c r="AP62">
        <v>0</v>
      </c>
      <c r="AQ62" t="s">
        <v>761</v>
      </c>
      <c r="AR62" t="s">
        <v>12139</v>
      </c>
      <c r="AS62" t="s">
        <v>759</v>
      </c>
      <c r="AT62" s="2" t="s">
        <v>0</v>
      </c>
      <c r="AU62" s="1">
        <f t="shared" si="5"/>
        <v>1.8564800278561449</v>
      </c>
      <c r="AV62" s="1">
        <f t="shared" si="6"/>
        <v>1.3767917889502435</v>
      </c>
      <c r="AW62" s="1">
        <f t="shared" si="7"/>
        <v>0.89710355004434217</v>
      </c>
    </row>
    <row r="63" spans="1:49" x14ac:dyDescent="0.2">
      <c r="A63">
        <v>61</v>
      </c>
      <c r="B63" t="s">
        <v>12138</v>
      </c>
      <c r="C63" t="s">
        <v>12137</v>
      </c>
      <c r="F63" t="s">
        <v>12136</v>
      </c>
      <c r="G63" t="s">
        <v>15</v>
      </c>
      <c r="H63" t="s">
        <v>14</v>
      </c>
      <c r="I63" t="s">
        <v>12135</v>
      </c>
      <c r="J63">
        <v>60021211</v>
      </c>
      <c r="K63" t="s">
        <v>12134</v>
      </c>
      <c r="L63" t="s">
        <v>12133</v>
      </c>
      <c r="M63" t="s">
        <v>10</v>
      </c>
      <c r="N63">
        <v>1</v>
      </c>
      <c r="O63" t="s">
        <v>12132</v>
      </c>
      <c r="P63">
        <v>7103231658</v>
      </c>
      <c r="Q63">
        <v>60021211</v>
      </c>
      <c r="R63" s="7">
        <v>34069</v>
      </c>
      <c r="S63" s="8">
        <f t="shared" si="0"/>
        <v>1993</v>
      </c>
      <c r="T63" s="8">
        <v>1993</v>
      </c>
      <c r="U63" s="8">
        <f t="shared" si="1"/>
        <v>29</v>
      </c>
      <c r="V63" s="7">
        <v>34069</v>
      </c>
      <c r="W63" t="s">
        <v>12131</v>
      </c>
      <c r="X63" s="2">
        <v>0.66800000000000004</v>
      </c>
      <c r="Y63" s="6">
        <f t="shared" si="2"/>
        <v>1.7831878486959774E-2</v>
      </c>
      <c r="AA63" t="s">
        <v>12130</v>
      </c>
      <c r="AB63">
        <v>29593</v>
      </c>
      <c r="AC63">
        <v>21553165</v>
      </c>
      <c r="AD63" t="s">
        <v>5</v>
      </c>
      <c r="AE63">
        <v>32</v>
      </c>
      <c r="AF63">
        <v>11</v>
      </c>
      <c r="AH63" t="s">
        <v>12129</v>
      </c>
      <c r="AI63" t="s">
        <v>12128</v>
      </c>
      <c r="AJ63" t="s">
        <v>12127</v>
      </c>
      <c r="AK63" t="s">
        <v>12126</v>
      </c>
      <c r="AL63">
        <v>4</v>
      </c>
      <c r="AM63" s="5">
        <f t="shared" si="3"/>
        <v>0.13793103448275862</v>
      </c>
      <c r="AN63" s="4">
        <f t="shared" si="4"/>
        <v>2.089072843358707E-4</v>
      </c>
      <c r="AO63" s="3"/>
      <c r="AP63">
        <v>0</v>
      </c>
      <c r="AR63" t="s">
        <v>1</v>
      </c>
      <c r="AT63" s="2">
        <v>1.98</v>
      </c>
      <c r="AU63" s="1">
        <f t="shared" si="5"/>
        <v>1.25449871261726</v>
      </c>
      <c r="AV63" s="1">
        <f t="shared" si="6"/>
        <v>0.90203928856478233</v>
      </c>
      <c r="AW63" s="1">
        <f t="shared" si="7"/>
        <v>0.54957986451230412</v>
      </c>
    </row>
    <row r="64" spans="1:49" x14ac:dyDescent="0.2">
      <c r="A64">
        <v>62</v>
      </c>
      <c r="B64" t="s">
        <v>12125</v>
      </c>
      <c r="C64" t="s">
        <v>12124</v>
      </c>
      <c r="D64" t="s">
        <v>12123</v>
      </c>
      <c r="F64" t="s">
        <v>12122</v>
      </c>
      <c r="G64" t="s">
        <v>15</v>
      </c>
      <c r="H64" t="s">
        <v>14</v>
      </c>
      <c r="I64" t="s">
        <v>12121</v>
      </c>
      <c r="J64" t="s">
        <v>12120</v>
      </c>
      <c r="K64" t="s">
        <v>12119</v>
      </c>
      <c r="L64" t="s">
        <v>12118</v>
      </c>
      <c r="M64" t="s">
        <v>12117</v>
      </c>
      <c r="N64">
        <v>3</v>
      </c>
      <c r="O64" t="s">
        <v>12116</v>
      </c>
      <c r="P64" t="s">
        <v>12115</v>
      </c>
      <c r="Q64" t="s">
        <v>12114</v>
      </c>
      <c r="R64" s="7">
        <v>34064</v>
      </c>
      <c r="S64" s="8">
        <f t="shared" si="0"/>
        <v>1993</v>
      </c>
      <c r="T64" s="8">
        <v>1993</v>
      </c>
      <c r="U64" s="8">
        <f t="shared" si="1"/>
        <v>29</v>
      </c>
      <c r="V64" s="7">
        <v>34064</v>
      </c>
      <c r="W64" t="s">
        <v>11315</v>
      </c>
      <c r="X64" s="2">
        <v>1.59</v>
      </c>
      <c r="Y64" s="6">
        <f t="shared" si="2"/>
        <v>4.2444141907583888E-2</v>
      </c>
      <c r="AA64">
        <v>52728</v>
      </c>
      <c r="AB64">
        <v>16791</v>
      </c>
      <c r="AD64" t="s">
        <v>5</v>
      </c>
      <c r="AE64">
        <v>1142</v>
      </c>
      <c r="AF64" s="9">
        <v>44228</v>
      </c>
      <c r="AH64" t="s">
        <v>12113</v>
      </c>
      <c r="AI64" t="s">
        <v>12112</v>
      </c>
      <c r="AJ64" t="s">
        <v>12111</v>
      </c>
      <c r="AK64" t="s">
        <v>12110</v>
      </c>
      <c r="AL64">
        <v>18</v>
      </c>
      <c r="AM64" s="5">
        <f t="shared" si="3"/>
        <v>0.62068965517241381</v>
      </c>
      <c r="AN64" s="4">
        <f t="shared" si="4"/>
        <v>9.4008277951141816E-4</v>
      </c>
      <c r="AO64" s="3"/>
      <c r="AP64">
        <v>0</v>
      </c>
      <c r="AR64" t="s">
        <v>1</v>
      </c>
      <c r="AT64" s="2" t="s">
        <v>0</v>
      </c>
      <c r="AU64" s="1">
        <f t="shared" si="5"/>
        <v>2.9992924169162145</v>
      </c>
      <c r="AV64" s="1">
        <f t="shared" si="6"/>
        <v>2.1692112343547651</v>
      </c>
      <c r="AW64" s="1">
        <f t="shared" si="7"/>
        <v>1.3391300517933158</v>
      </c>
    </row>
    <row r="65" spans="1:49" x14ac:dyDescent="0.2">
      <c r="A65">
        <v>63</v>
      </c>
      <c r="B65" t="s">
        <v>12109</v>
      </c>
      <c r="C65" t="s">
        <v>12108</v>
      </c>
      <c r="D65" t="s">
        <v>12107</v>
      </c>
      <c r="F65" t="s">
        <v>12106</v>
      </c>
      <c r="G65" t="s">
        <v>15</v>
      </c>
      <c r="H65" t="s">
        <v>14</v>
      </c>
      <c r="I65" t="s">
        <v>12105</v>
      </c>
      <c r="J65" t="s">
        <v>12104</v>
      </c>
      <c r="K65" t="s">
        <v>12103</v>
      </c>
      <c r="L65" t="s">
        <v>12102</v>
      </c>
      <c r="M65" t="s">
        <v>12101</v>
      </c>
      <c r="N65">
        <v>5</v>
      </c>
      <c r="O65" t="s">
        <v>12100</v>
      </c>
      <c r="P65" t="s">
        <v>12099</v>
      </c>
      <c r="Q65" t="s">
        <v>12098</v>
      </c>
      <c r="R65" s="7">
        <v>34064</v>
      </c>
      <c r="S65" s="8">
        <f t="shared" ref="S65:S128" si="8">YEAR(R65)</f>
        <v>1993</v>
      </c>
      <c r="T65" s="8">
        <v>1993</v>
      </c>
      <c r="U65" s="8">
        <f t="shared" ref="U65:U128" si="9">2022-T65</f>
        <v>29</v>
      </c>
      <c r="V65" s="7">
        <v>34064</v>
      </c>
      <c r="W65" t="s">
        <v>11315</v>
      </c>
      <c r="X65" s="2">
        <v>1.59</v>
      </c>
      <c r="Y65" s="6">
        <f t="shared" si="2"/>
        <v>4.2444141907583888E-2</v>
      </c>
      <c r="AA65">
        <v>52728</v>
      </c>
      <c r="AB65">
        <v>16791</v>
      </c>
      <c r="AD65" t="s">
        <v>5</v>
      </c>
      <c r="AE65">
        <v>1142</v>
      </c>
      <c r="AF65" s="9">
        <v>44228</v>
      </c>
      <c r="AH65" t="s">
        <v>12097</v>
      </c>
      <c r="AI65" t="s">
        <v>12096</v>
      </c>
      <c r="AJ65" t="s">
        <v>12095</v>
      </c>
      <c r="AK65" t="s">
        <v>12094</v>
      </c>
      <c r="AL65">
        <v>51</v>
      </c>
      <c r="AM65" s="5">
        <f t="shared" ref="AM65:AM128" si="10">AL65/U65</f>
        <v>1.7586206896551724</v>
      </c>
      <c r="AN65" s="4">
        <f t="shared" si="4"/>
        <v>2.6635678752823513E-3</v>
      </c>
      <c r="AO65" s="3"/>
      <c r="AP65">
        <v>0</v>
      </c>
      <c r="AQ65" t="s">
        <v>12093</v>
      </c>
      <c r="AR65" t="s">
        <v>1</v>
      </c>
      <c r="AS65" t="s">
        <v>12092</v>
      </c>
      <c r="AT65" s="2" t="s">
        <v>0</v>
      </c>
      <c r="AU65" s="1">
        <f t="shared" ref="AU65:AU128" si="11">(Y65*0.7+AN65*0.3)*100</f>
        <v>3.0509969697893426</v>
      </c>
      <c r="AV65" s="1">
        <f t="shared" ref="AV65:AV128" si="12">(Y65*0.5+AN65*0.5)*100</f>
        <v>2.255385489143312</v>
      </c>
      <c r="AW65" s="1">
        <f t="shared" ref="AW65:AW128" si="13">(Y65*0.3+AN65*0.7)*100</f>
        <v>1.4597740084972812</v>
      </c>
    </row>
    <row r="66" spans="1:49" x14ac:dyDescent="0.2">
      <c r="A66">
        <v>64</v>
      </c>
      <c r="B66" t="s">
        <v>12091</v>
      </c>
      <c r="C66" t="s">
        <v>12090</v>
      </c>
      <c r="D66" t="s">
        <v>12089</v>
      </c>
      <c r="F66" t="s">
        <v>12088</v>
      </c>
      <c r="G66" t="s">
        <v>15</v>
      </c>
      <c r="H66" t="s">
        <v>14</v>
      </c>
      <c r="I66" t="s">
        <v>12087</v>
      </c>
      <c r="J66" t="s">
        <v>12086</v>
      </c>
      <c r="K66" t="s">
        <v>12085</v>
      </c>
      <c r="L66" t="s">
        <v>12084</v>
      </c>
      <c r="M66" t="s">
        <v>12083</v>
      </c>
      <c r="N66">
        <v>4</v>
      </c>
      <c r="O66" t="s">
        <v>12082</v>
      </c>
      <c r="P66" t="s">
        <v>12081</v>
      </c>
      <c r="Q66" t="s">
        <v>12080</v>
      </c>
      <c r="R66" s="7">
        <v>34064</v>
      </c>
      <c r="S66" s="8">
        <f t="shared" si="8"/>
        <v>1993</v>
      </c>
      <c r="T66" s="8">
        <v>1993</v>
      </c>
      <c r="U66" s="8">
        <f t="shared" si="9"/>
        <v>29</v>
      </c>
      <c r="V66" s="7">
        <v>34064</v>
      </c>
      <c r="W66" t="s">
        <v>11315</v>
      </c>
      <c r="X66" s="2">
        <v>1.59</v>
      </c>
      <c r="Y66" s="6">
        <f t="shared" ref="Y66:Y129" si="14">(X66-$Z$4)/($Z$3-$Z$4)</f>
        <v>4.2444141907583888E-2</v>
      </c>
      <c r="AA66">
        <v>52728</v>
      </c>
      <c r="AB66">
        <v>16791</v>
      </c>
      <c r="AD66" t="s">
        <v>5</v>
      </c>
      <c r="AE66">
        <v>1142</v>
      </c>
      <c r="AF66" s="9">
        <v>44228</v>
      </c>
      <c r="AH66" t="s">
        <v>12079</v>
      </c>
      <c r="AI66" t="s">
        <v>12078</v>
      </c>
      <c r="AJ66" t="s">
        <v>12077</v>
      </c>
      <c r="AK66" t="s">
        <v>12076</v>
      </c>
      <c r="AL66">
        <v>18</v>
      </c>
      <c r="AM66" s="5">
        <f t="shared" si="10"/>
        <v>0.62068965517241381</v>
      </c>
      <c r="AN66" s="4">
        <f t="shared" ref="AN66:AN129" si="15">(AM66-$AO$4)/($AO$3-$AO$4)</f>
        <v>9.4008277951141816E-4</v>
      </c>
      <c r="AO66" s="3"/>
      <c r="AP66">
        <v>0</v>
      </c>
      <c r="AQ66" t="s">
        <v>12075</v>
      </c>
      <c r="AR66" t="s">
        <v>1</v>
      </c>
      <c r="AS66" t="s">
        <v>12074</v>
      </c>
      <c r="AT66" s="2" t="s">
        <v>0</v>
      </c>
      <c r="AU66" s="1">
        <f t="shared" si="11"/>
        <v>2.9992924169162145</v>
      </c>
      <c r="AV66" s="1">
        <f t="shared" si="12"/>
        <v>2.1692112343547651</v>
      </c>
      <c r="AW66" s="1">
        <f t="shared" si="13"/>
        <v>1.3391300517933158</v>
      </c>
    </row>
    <row r="67" spans="1:49" x14ac:dyDescent="0.2">
      <c r="A67">
        <v>65</v>
      </c>
      <c r="B67" t="s">
        <v>12073</v>
      </c>
      <c r="C67" t="s">
        <v>12072</v>
      </c>
      <c r="D67" t="s">
        <v>12071</v>
      </c>
      <c r="F67" t="s">
        <v>12070</v>
      </c>
      <c r="G67" t="s">
        <v>15</v>
      </c>
      <c r="H67" t="s">
        <v>14</v>
      </c>
      <c r="I67" t="s">
        <v>12069</v>
      </c>
      <c r="J67" t="s">
        <v>12068</v>
      </c>
      <c r="K67" t="s">
        <v>12067</v>
      </c>
      <c r="L67" t="s">
        <v>12066</v>
      </c>
      <c r="M67" t="s">
        <v>751</v>
      </c>
      <c r="N67">
        <v>3</v>
      </c>
      <c r="O67" t="s">
        <v>12065</v>
      </c>
      <c r="P67" t="s">
        <v>12064</v>
      </c>
      <c r="Q67" t="s">
        <v>12063</v>
      </c>
      <c r="R67" s="7">
        <v>34064</v>
      </c>
      <c r="S67" s="8">
        <f t="shared" si="8"/>
        <v>1993</v>
      </c>
      <c r="T67" s="8">
        <v>1993</v>
      </c>
      <c r="U67" s="8">
        <f t="shared" si="9"/>
        <v>29</v>
      </c>
      <c r="V67" s="7">
        <v>34064</v>
      </c>
      <c r="W67" t="s">
        <v>11315</v>
      </c>
      <c r="X67" s="2">
        <v>1.59</v>
      </c>
      <c r="Y67" s="6">
        <f t="shared" si="14"/>
        <v>4.2444141907583888E-2</v>
      </c>
      <c r="AA67">
        <v>52728</v>
      </c>
      <c r="AB67">
        <v>16791</v>
      </c>
      <c r="AD67" t="s">
        <v>5</v>
      </c>
      <c r="AE67">
        <v>1142</v>
      </c>
      <c r="AF67" s="9">
        <v>44228</v>
      </c>
      <c r="AH67" t="s">
        <v>12062</v>
      </c>
      <c r="AI67" t="s">
        <v>12061</v>
      </c>
      <c r="AJ67" t="s">
        <v>12060</v>
      </c>
      <c r="AK67" t="s">
        <v>12059</v>
      </c>
      <c r="AL67">
        <v>23</v>
      </c>
      <c r="AM67" s="5">
        <f t="shared" si="10"/>
        <v>0.7931034482758621</v>
      </c>
      <c r="AN67" s="4">
        <f t="shared" si="15"/>
        <v>1.2012168849312565E-3</v>
      </c>
      <c r="AO67" s="3"/>
      <c r="AP67">
        <v>0</v>
      </c>
      <c r="AQ67" t="s">
        <v>172</v>
      </c>
      <c r="AR67" t="s">
        <v>1</v>
      </c>
      <c r="AS67" t="s">
        <v>170</v>
      </c>
      <c r="AT67" s="2" t="s">
        <v>0</v>
      </c>
      <c r="AU67" s="1">
        <f t="shared" si="11"/>
        <v>3.0071264400788098</v>
      </c>
      <c r="AV67" s="1">
        <f t="shared" si="12"/>
        <v>2.1822679396257572</v>
      </c>
      <c r="AW67" s="1">
        <f t="shared" si="13"/>
        <v>1.3574094391727045</v>
      </c>
    </row>
    <row r="68" spans="1:49" x14ac:dyDescent="0.2">
      <c r="A68">
        <v>66</v>
      </c>
      <c r="B68" t="s">
        <v>12058</v>
      </c>
      <c r="C68" t="s">
        <v>12057</v>
      </c>
      <c r="D68" t="s">
        <v>12056</v>
      </c>
      <c r="F68" t="s">
        <v>12055</v>
      </c>
      <c r="G68" t="s">
        <v>15</v>
      </c>
      <c r="H68" t="s">
        <v>14</v>
      </c>
      <c r="I68" t="s">
        <v>12054</v>
      </c>
      <c r="J68" t="s">
        <v>12053</v>
      </c>
      <c r="K68" t="s">
        <v>12052</v>
      </c>
      <c r="L68" t="s">
        <v>12051</v>
      </c>
      <c r="M68" t="s">
        <v>104</v>
      </c>
      <c r="N68">
        <v>6</v>
      </c>
      <c r="O68" t="s">
        <v>12050</v>
      </c>
      <c r="P68" t="s">
        <v>12049</v>
      </c>
      <c r="Q68" t="s">
        <v>12048</v>
      </c>
      <c r="R68" s="7">
        <v>34064</v>
      </c>
      <c r="S68" s="8">
        <f t="shared" si="8"/>
        <v>1993</v>
      </c>
      <c r="T68" s="8">
        <v>1993</v>
      </c>
      <c r="U68" s="8">
        <f t="shared" si="9"/>
        <v>29</v>
      </c>
      <c r="V68" s="7">
        <v>34064</v>
      </c>
      <c r="W68" t="s">
        <v>11315</v>
      </c>
      <c r="X68" s="2">
        <v>1.59</v>
      </c>
      <c r="Y68" s="6">
        <f t="shared" si="14"/>
        <v>4.2444141907583888E-2</v>
      </c>
      <c r="AA68">
        <v>52728</v>
      </c>
      <c r="AB68">
        <v>16791</v>
      </c>
      <c r="AD68" t="s">
        <v>5</v>
      </c>
      <c r="AE68">
        <v>1142</v>
      </c>
      <c r="AF68" s="9">
        <v>44228</v>
      </c>
      <c r="AH68" t="s">
        <v>12047</v>
      </c>
      <c r="AI68" t="s">
        <v>12046</v>
      </c>
      <c r="AJ68" t="s">
        <v>12045</v>
      </c>
      <c r="AK68" t="s">
        <v>12044</v>
      </c>
      <c r="AL68">
        <v>40</v>
      </c>
      <c r="AM68" s="5">
        <f t="shared" si="10"/>
        <v>1.3793103448275863</v>
      </c>
      <c r="AN68" s="4">
        <f t="shared" si="15"/>
        <v>2.0890728433587071E-3</v>
      </c>
      <c r="AO68" s="3"/>
      <c r="AP68">
        <v>0</v>
      </c>
      <c r="AQ68" t="s">
        <v>12043</v>
      </c>
      <c r="AR68" t="s">
        <v>12042</v>
      </c>
      <c r="AS68" t="s">
        <v>12041</v>
      </c>
      <c r="AT68" s="2" t="s">
        <v>0</v>
      </c>
      <c r="AU68" s="1">
        <f t="shared" si="11"/>
        <v>3.0337621188316333</v>
      </c>
      <c r="AV68" s="1">
        <f t="shared" si="12"/>
        <v>2.2266607375471299</v>
      </c>
      <c r="AW68" s="1">
        <f t="shared" si="13"/>
        <v>1.4195593562626261</v>
      </c>
    </row>
    <row r="69" spans="1:49" x14ac:dyDescent="0.2">
      <c r="A69">
        <v>67</v>
      </c>
      <c r="B69" t="s">
        <v>12040</v>
      </c>
      <c r="C69" t="s">
        <v>12039</v>
      </c>
      <c r="D69" t="s">
        <v>12038</v>
      </c>
      <c r="F69" t="s">
        <v>12037</v>
      </c>
      <c r="G69" t="s">
        <v>15</v>
      </c>
      <c r="H69" t="s">
        <v>14</v>
      </c>
      <c r="I69" t="s">
        <v>12036</v>
      </c>
      <c r="J69">
        <v>60001881</v>
      </c>
      <c r="K69" t="s">
        <v>873</v>
      </c>
      <c r="L69" t="s">
        <v>872</v>
      </c>
      <c r="M69" t="s">
        <v>493</v>
      </c>
      <c r="N69">
        <v>2</v>
      </c>
      <c r="O69" t="s">
        <v>12035</v>
      </c>
      <c r="P69" t="s">
        <v>12034</v>
      </c>
      <c r="Q69" t="s">
        <v>869</v>
      </c>
      <c r="R69" s="7">
        <v>34064</v>
      </c>
      <c r="S69" s="8">
        <f t="shared" si="8"/>
        <v>1993</v>
      </c>
      <c r="T69" s="8">
        <v>1993</v>
      </c>
      <c r="U69" s="8">
        <f t="shared" si="9"/>
        <v>29</v>
      </c>
      <c r="V69" s="7">
        <v>34064</v>
      </c>
      <c r="W69" t="s">
        <v>11315</v>
      </c>
      <c r="X69" s="2">
        <v>1.59</v>
      </c>
      <c r="Y69" s="6">
        <f t="shared" si="14"/>
        <v>4.2444141907583888E-2</v>
      </c>
      <c r="AA69">
        <v>52728</v>
      </c>
      <c r="AB69">
        <v>16791</v>
      </c>
      <c r="AD69" t="s">
        <v>5</v>
      </c>
      <c r="AE69">
        <v>1142</v>
      </c>
      <c r="AF69" s="9">
        <v>44228</v>
      </c>
      <c r="AH69" t="s">
        <v>12033</v>
      </c>
      <c r="AI69" t="s">
        <v>12032</v>
      </c>
      <c r="AJ69" t="s">
        <v>12031</v>
      </c>
      <c r="AK69" t="s">
        <v>12030</v>
      </c>
      <c r="AL69">
        <v>20</v>
      </c>
      <c r="AM69" s="5">
        <f t="shared" si="10"/>
        <v>0.68965517241379315</v>
      </c>
      <c r="AN69" s="4">
        <f t="shared" si="15"/>
        <v>1.0445364216793535E-3</v>
      </c>
      <c r="AO69" s="3"/>
      <c r="AP69">
        <v>0</v>
      </c>
      <c r="AR69" t="s">
        <v>1</v>
      </c>
      <c r="AT69" s="2" t="s">
        <v>0</v>
      </c>
      <c r="AU69" s="1">
        <f t="shared" si="11"/>
        <v>3.0024260261812525</v>
      </c>
      <c r="AV69" s="1">
        <f t="shared" si="12"/>
        <v>2.1744339164631623</v>
      </c>
      <c r="AW69" s="1">
        <f t="shared" si="13"/>
        <v>1.3464418067450712</v>
      </c>
    </row>
    <row r="70" spans="1:49" x14ac:dyDescent="0.2">
      <c r="A70">
        <v>68</v>
      </c>
      <c r="B70" t="s">
        <v>12029</v>
      </c>
      <c r="C70" t="s">
        <v>12028</v>
      </c>
      <c r="D70" t="s">
        <v>12027</v>
      </c>
      <c r="F70" t="s">
        <v>12026</v>
      </c>
      <c r="G70" t="s">
        <v>15</v>
      </c>
      <c r="H70" t="s">
        <v>14</v>
      </c>
      <c r="I70" t="s">
        <v>12025</v>
      </c>
      <c r="J70">
        <v>60007457</v>
      </c>
      <c r="K70" t="s">
        <v>10279</v>
      </c>
      <c r="L70" t="s">
        <v>3639</v>
      </c>
      <c r="M70" t="s">
        <v>521</v>
      </c>
      <c r="N70">
        <v>3</v>
      </c>
      <c r="O70" t="s">
        <v>12024</v>
      </c>
      <c r="P70" t="s">
        <v>12023</v>
      </c>
      <c r="Q70" t="s">
        <v>12022</v>
      </c>
      <c r="R70" s="7">
        <v>34064</v>
      </c>
      <c r="S70" s="8">
        <f t="shared" si="8"/>
        <v>1993</v>
      </c>
      <c r="T70" s="8">
        <v>1993</v>
      </c>
      <c r="U70" s="8">
        <f t="shared" si="9"/>
        <v>29</v>
      </c>
      <c r="V70" s="7">
        <v>34064</v>
      </c>
      <c r="W70" t="s">
        <v>11330</v>
      </c>
      <c r="X70" s="2">
        <v>0.499</v>
      </c>
      <c r="Y70" s="6">
        <f t="shared" si="14"/>
        <v>1.332052000747444E-2</v>
      </c>
      <c r="AA70">
        <v>3759601</v>
      </c>
      <c r="AB70">
        <v>29464</v>
      </c>
      <c r="AD70" t="s">
        <v>5</v>
      </c>
      <c r="AE70">
        <v>175</v>
      </c>
      <c r="AF70">
        <v>2</v>
      </c>
      <c r="AH70" t="s">
        <v>12021</v>
      </c>
      <c r="AI70" t="s">
        <v>12020</v>
      </c>
      <c r="AK70" t="s">
        <v>12019</v>
      </c>
      <c r="AL70">
        <v>35</v>
      </c>
      <c r="AM70" s="5">
        <f t="shared" si="10"/>
        <v>1.2068965517241379</v>
      </c>
      <c r="AN70" s="4">
        <f t="shared" si="15"/>
        <v>1.8279387379388685E-3</v>
      </c>
      <c r="AO70" s="3"/>
      <c r="AP70">
        <v>0</v>
      </c>
      <c r="AR70" t="s">
        <v>1</v>
      </c>
      <c r="AT70" s="2">
        <v>2.6539999999999999</v>
      </c>
      <c r="AU70" s="1">
        <f t="shared" si="11"/>
        <v>0.98727456266137681</v>
      </c>
      <c r="AV70" s="1">
        <f t="shared" si="12"/>
        <v>0.75742293727066545</v>
      </c>
      <c r="AW70" s="1">
        <f t="shared" si="13"/>
        <v>0.52757131187995399</v>
      </c>
    </row>
    <row r="71" spans="1:49" x14ac:dyDescent="0.2">
      <c r="A71">
        <v>69</v>
      </c>
      <c r="B71" t="s">
        <v>12018</v>
      </c>
      <c r="C71" t="s">
        <v>12017</v>
      </c>
      <c r="F71" t="s">
        <v>12016</v>
      </c>
      <c r="G71" t="s">
        <v>15</v>
      </c>
      <c r="H71" t="s">
        <v>14</v>
      </c>
      <c r="I71" t="s">
        <v>12015</v>
      </c>
      <c r="J71">
        <v>60000635</v>
      </c>
      <c r="K71" t="s">
        <v>12014</v>
      </c>
      <c r="L71" t="s">
        <v>12013</v>
      </c>
      <c r="M71" t="s">
        <v>10</v>
      </c>
      <c r="N71">
        <v>2</v>
      </c>
      <c r="O71" t="s">
        <v>12012</v>
      </c>
      <c r="P71" t="s">
        <v>12011</v>
      </c>
      <c r="Q71" t="s">
        <v>12010</v>
      </c>
      <c r="R71" s="7">
        <v>34060</v>
      </c>
      <c r="S71" s="8">
        <f t="shared" si="8"/>
        <v>1993</v>
      </c>
      <c r="T71" s="8">
        <v>1993</v>
      </c>
      <c r="U71" s="8">
        <f t="shared" si="9"/>
        <v>29</v>
      </c>
      <c r="V71" s="7">
        <v>34060</v>
      </c>
      <c r="W71" t="s">
        <v>11794</v>
      </c>
      <c r="X71" s="2">
        <v>0.85499999999999998</v>
      </c>
      <c r="Y71" s="6">
        <f t="shared" si="14"/>
        <v>2.28237366861536E-2</v>
      </c>
      <c r="AA71">
        <v>980331</v>
      </c>
      <c r="AB71">
        <v>23342</v>
      </c>
      <c r="AC71">
        <v>15731561</v>
      </c>
      <c r="AD71" t="s">
        <v>5</v>
      </c>
      <c r="AE71">
        <v>19</v>
      </c>
      <c r="AF71">
        <v>4</v>
      </c>
      <c r="AH71" t="s">
        <v>12009</v>
      </c>
      <c r="AI71" t="s">
        <v>12008</v>
      </c>
      <c r="AJ71" t="s">
        <v>12007</v>
      </c>
      <c r="AK71" t="s">
        <v>12006</v>
      </c>
      <c r="AL71">
        <v>3</v>
      </c>
      <c r="AM71" s="5">
        <f t="shared" si="10"/>
        <v>0.10344827586206896</v>
      </c>
      <c r="AN71" s="4">
        <f t="shared" si="15"/>
        <v>1.5668046325190301E-4</v>
      </c>
      <c r="AO71" s="3"/>
      <c r="AP71">
        <v>0</v>
      </c>
      <c r="AR71" t="s">
        <v>1</v>
      </c>
      <c r="AT71" s="2">
        <v>2.6259999999999999</v>
      </c>
      <c r="AU71" s="1">
        <f t="shared" si="11"/>
        <v>1.6023619819283088</v>
      </c>
      <c r="AV71" s="1">
        <f t="shared" si="12"/>
        <v>1.1490208574702752</v>
      </c>
      <c r="AW71" s="1">
        <f t="shared" si="13"/>
        <v>0.69567973301224117</v>
      </c>
    </row>
    <row r="72" spans="1:49" x14ac:dyDescent="0.2">
      <c r="A72">
        <v>70</v>
      </c>
      <c r="B72" t="s">
        <v>12005</v>
      </c>
      <c r="C72" t="s">
        <v>12004</v>
      </c>
      <c r="F72" t="s">
        <v>12003</v>
      </c>
      <c r="G72" t="s">
        <v>15</v>
      </c>
      <c r="H72" t="s">
        <v>14</v>
      </c>
      <c r="I72" t="s">
        <v>12002</v>
      </c>
      <c r="J72">
        <v>60017536</v>
      </c>
      <c r="K72" t="s">
        <v>12001</v>
      </c>
      <c r="L72" t="s">
        <v>12000</v>
      </c>
      <c r="M72" t="s">
        <v>10</v>
      </c>
      <c r="N72">
        <v>5</v>
      </c>
      <c r="O72" t="s">
        <v>11999</v>
      </c>
      <c r="P72" t="s">
        <v>11998</v>
      </c>
      <c r="Q72" t="s">
        <v>11997</v>
      </c>
      <c r="R72" s="7">
        <v>34060</v>
      </c>
      <c r="S72" s="8">
        <f t="shared" si="8"/>
        <v>1993</v>
      </c>
      <c r="T72" s="8">
        <v>1993</v>
      </c>
      <c r="U72" s="8">
        <f t="shared" si="9"/>
        <v>29</v>
      </c>
      <c r="V72" s="7">
        <v>34060</v>
      </c>
      <c r="W72" t="s">
        <v>2915</v>
      </c>
      <c r="X72" s="2">
        <v>0.61499999999999999</v>
      </c>
      <c r="Y72" s="6">
        <f t="shared" si="14"/>
        <v>1.6417073756706976E-2</v>
      </c>
      <c r="AA72">
        <v>1959271</v>
      </c>
      <c r="AB72">
        <v>12141</v>
      </c>
      <c r="AC72">
        <v>15729559</v>
      </c>
      <c r="AD72" t="s">
        <v>5</v>
      </c>
      <c r="AE72">
        <v>14</v>
      </c>
      <c r="AF72">
        <v>4</v>
      </c>
      <c r="AH72" t="s">
        <v>11996</v>
      </c>
      <c r="AI72" t="s">
        <v>11995</v>
      </c>
      <c r="AK72" t="s">
        <v>11994</v>
      </c>
      <c r="AL72">
        <v>0</v>
      </c>
      <c r="AM72" s="5">
        <f t="shared" si="10"/>
        <v>0</v>
      </c>
      <c r="AN72" s="4">
        <f t="shared" si="15"/>
        <v>0</v>
      </c>
      <c r="AO72" s="3"/>
      <c r="AP72">
        <v>0</v>
      </c>
      <c r="AR72" t="s">
        <v>1</v>
      </c>
      <c r="AT72" s="2" t="s">
        <v>0</v>
      </c>
      <c r="AU72" s="1">
        <f t="shared" si="11"/>
        <v>1.1491951629694881</v>
      </c>
      <c r="AV72" s="1">
        <f t="shared" si="12"/>
        <v>0.82085368783534873</v>
      </c>
      <c r="AW72" s="1">
        <f t="shared" si="13"/>
        <v>0.49251221270120926</v>
      </c>
    </row>
    <row r="73" spans="1:49" x14ac:dyDescent="0.2">
      <c r="A73">
        <v>71</v>
      </c>
      <c r="B73" t="s">
        <v>11993</v>
      </c>
      <c r="C73" t="s">
        <v>11992</v>
      </c>
      <c r="F73" t="s">
        <v>11991</v>
      </c>
      <c r="G73" t="s">
        <v>15</v>
      </c>
      <c r="H73" t="s">
        <v>14</v>
      </c>
      <c r="I73" t="s">
        <v>11990</v>
      </c>
      <c r="J73">
        <v>60018308</v>
      </c>
      <c r="K73" t="s">
        <v>2961</v>
      </c>
      <c r="L73" t="s">
        <v>2960</v>
      </c>
      <c r="M73" t="s">
        <v>463</v>
      </c>
      <c r="N73">
        <v>2</v>
      </c>
      <c r="O73" t="s">
        <v>11989</v>
      </c>
      <c r="P73" t="s">
        <v>11988</v>
      </c>
      <c r="Q73" t="s">
        <v>2958</v>
      </c>
      <c r="R73" s="7">
        <v>34060</v>
      </c>
      <c r="S73" s="8">
        <f t="shared" si="8"/>
        <v>1993</v>
      </c>
      <c r="T73" s="8">
        <v>1993</v>
      </c>
      <c r="U73" s="8">
        <f t="shared" si="9"/>
        <v>29</v>
      </c>
      <c r="V73" s="7">
        <v>34060</v>
      </c>
      <c r="W73" t="s">
        <v>2915</v>
      </c>
      <c r="X73" s="2">
        <v>0.61499999999999999</v>
      </c>
      <c r="Y73" s="6">
        <f t="shared" si="14"/>
        <v>1.6417073756706976E-2</v>
      </c>
      <c r="AA73">
        <v>1959271</v>
      </c>
      <c r="AB73">
        <v>12141</v>
      </c>
      <c r="AC73">
        <v>15729559</v>
      </c>
      <c r="AD73" t="s">
        <v>5</v>
      </c>
      <c r="AE73">
        <v>14</v>
      </c>
      <c r="AF73">
        <v>4</v>
      </c>
      <c r="AH73" t="s">
        <v>11987</v>
      </c>
      <c r="AI73" t="s">
        <v>11986</v>
      </c>
      <c r="AJ73" t="s">
        <v>11985</v>
      </c>
      <c r="AK73" t="s">
        <v>11984</v>
      </c>
      <c r="AL73">
        <v>1</v>
      </c>
      <c r="AM73" s="5">
        <f t="shared" si="10"/>
        <v>3.4482758620689655E-2</v>
      </c>
      <c r="AN73" s="4">
        <f t="shared" si="15"/>
        <v>5.2226821083967674E-5</v>
      </c>
      <c r="AO73" s="3"/>
      <c r="AP73">
        <v>0</v>
      </c>
      <c r="AR73" t="s">
        <v>1</v>
      </c>
      <c r="AT73" s="2" t="s">
        <v>0</v>
      </c>
      <c r="AU73" s="1">
        <f t="shared" si="11"/>
        <v>1.1507619676020071</v>
      </c>
      <c r="AV73" s="1">
        <f t="shared" si="12"/>
        <v>0.82346502888954709</v>
      </c>
      <c r="AW73" s="1">
        <f t="shared" si="13"/>
        <v>0.49616809017708696</v>
      </c>
    </row>
    <row r="74" spans="1:49" x14ac:dyDescent="0.2">
      <c r="A74">
        <v>72</v>
      </c>
      <c r="B74" t="s">
        <v>11983</v>
      </c>
      <c r="C74" t="s">
        <v>11982</v>
      </c>
      <c r="F74" t="s">
        <v>11981</v>
      </c>
      <c r="G74" t="s">
        <v>15</v>
      </c>
      <c r="H74" t="s">
        <v>14</v>
      </c>
      <c r="I74" t="s">
        <v>11980</v>
      </c>
      <c r="J74" t="s">
        <v>3257</v>
      </c>
      <c r="K74" t="s">
        <v>3256</v>
      </c>
      <c r="L74" t="s">
        <v>3255</v>
      </c>
      <c r="M74" t="s">
        <v>235</v>
      </c>
      <c r="N74">
        <v>4</v>
      </c>
      <c r="O74" t="s">
        <v>11979</v>
      </c>
      <c r="P74" t="s">
        <v>11978</v>
      </c>
      <c r="Q74" t="s">
        <v>11977</v>
      </c>
      <c r="R74" s="7">
        <v>34060</v>
      </c>
      <c r="S74" s="8">
        <f t="shared" si="8"/>
        <v>1993</v>
      </c>
      <c r="T74" s="8">
        <v>1993</v>
      </c>
      <c r="U74" s="8">
        <f t="shared" si="9"/>
        <v>29</v>
      </c>
      <c r="V74" s="7">
        <v>34060</v>
      </c>
      <c r="W74" t="s">
        <v>2915</v>
      </c>
      <c r="X74" s="2">
        <v>0.61499999999999999</v>
      </c>
      <c r="Y74" s="6">
        <f t="shared" si="14"/>
        <v>1.6417073756706976E-2</v>
      </c>
      <c r="AA74">
        <v>1959271</v>
      </c>
      <c r="AB74">
        <v>12141</v>
      </c>
      <c r="AC74">
        <v>15729559</v>
      </c>
      <c r="AD74" t="s">
        <v>5</v>
      </c>
      <c r="AE74">
        <v>14</v>
      </c>
      <c r="AF74">
        <v>4</v>
      </c>
      <c r="AH74" t="s">
        <v>11976</v>
      </c>
      <c r="AI74" t="s">
        <v>11975</v>
      </c>
      <c r="AK74" t="s">
        <v>11974</v>
      </c>
      <c r="AL74">
        <v>2</v>
      </c>
      <c r="AM74" s="5">
        <f t="shared" si="10"/>
        <v>6.8965517241379309E-2</v>
      </c>
      <c r="AN74" s="4">
        <f t="shared" si="15"/>
        <v>1.0445364216793535E-4</v>
      </c>
      <c r="AO74" s="3"/>
      <c r="AP74">
        <v>0</v>
      </c>
      <c r="AR74" t="s">
        <v>1</v>
      </c>
      <c r="AT74" s="2" t="s">
        <v>0</v>
      </c>
      <c r="AU74" s="1">
        <f t="shared" si="11"/>
        <v>1.1523287722345261</v>
      </c>
      <c r="AV74" s="1">
        <f t="shared" si="12"/>
        <v>0.82607636994374545</v>
      </c>
      <c r="AW74" s="1">
        <f t="shared" si="13"/>
        <v>0.49982396765296472</v>
      </c>
    </row>
    <row r="75" spans="1:49" x14ac:dyDescent="0.2">
      <c r="A75">
        <v>73</v>
      </c>
      <c r="B75" t="s">
        <v>11973</v>
      </c>
      <c r="C75" t="s">
        <v>11972</v>
      </c>
      <c r="F75" t="s">
        <v>11971</v>
      </c>
      <c r="G75" t="s">
        <v>15</v>
      </c>
      <c r="H75" t="s">
        <v>14</v>
      </c>
      <c r="I75" t="s">
        <v>11970</v>
      </c>
      <c r="N75">
        <v>1</v>
      </c>
      <c r="O75" t="s">
        <v>11969</v>
      </c>
      <c r="P75">
        <v>6602096691</v>
      </c>
      <c r="R75" s="7">
        <v>34060</v>
      </c>
      <c r="S75" s="8">
        <f t="shared" si="8"/>
        <v>1993</v>
      </c>
      <c r="T75" s="8">
        <v>1993</v>
      </c>
      <c r="U75" s="8">
        <f t="shared" si="9"/>
        <v>29</v>
      </c>
      <c r="V75" s="7">
        <v>34060</v>
      </c>
      <c r="W75" t="s">
        <v>11968</v>
      </c>
      <c r="X75" s="2">
        <v>0.22600000000000001</v>
      </c>
      <c r="Y75" s="6">
        <f t="shared" si="14"/>
        <v>6.0329409252289053E-3</v>
      </c>
      <c r="AA75" t="s">
        <v>11967</v>
      </c>
      <c r="AB75">
        <v>144954</v>
      </c>
      <c r="AC75" t="s">
        <v>11966</v>
      </c>
      <c r="AD75" t="s">
        <v>5</v>
      </c>
      <c r="AE75">
        <v>4</v>
      </c>
      <c r="AF75">
        <v>2</v>
      </c>
      <c r="AH75" t="s">
        <v>11965</v>
      </c>
      <c r="AL75">
        <v>0</v>
      </c>
      <c r="AM75" s="5">
        <f t="shared" si="10"/>
        <v>0</v>
      </c>
      <c r="AN75" s="4">
        <f t="shared" si="15"/>
        <v>0</v>
      </c>
      <c r="AO75" s="3"/>
      <c r="AP75">
        <v>0</v>
      </c>
      <c r="AR75" t="s">
        <v>1</v>
      </c>
      <c r="AT75" s="2" t="s">
        <v>0</v>
      </c>
      <c r="AU75" s="1">
        <f t="shared" si="11"/>
        <v>0.42230586476602339</v>
      </c>
      <c r="AV75" s="1">
        <f t="shared" si="12"/>
        <v>0.30164704626144528</v>
      </c>
      <c r="AW75" s="1">
        <f t="shared" si="13"/>
        <v>0.18098822775686715</v>
      </c>
    </row>
    <row r="76" spans="1:49" x14ac:dyDescent="0.2">
      <c r="A76">
        <v>74</v>
      </c>
      <c r="B76" t="s">
        <v>11964</v>
      </c>
      <c r="F76" t="s">
        <v>11963</v>
      </c>
      <c r="G76" t="s">
        <v>15</v>
      </c>
      <c r="H76" t="s">
        <v>14</v>
      </c>
      <c r="I76" t="s">
        <v>11962</v>
      </c>
      <c r="N76">
        <v>4</v>
      </c>
      <c r="O76" t="s">
        <v>11961</v>
      </c>
      <c r="P76" t="s">
        <v>11960</v>
      </c>
      <c r="Q76" t="s">
        <v>6458</v>
      </c>
      <c r="R76" s="7">
        <v>34060</v>
      </c>
      <c r="S76" s="8">
        <f t="shared" si="8"/>
        <v>1993</v>
      </c>
      <c r="T76" s="8">
        <v>1993</v>
      </c>
      <c r="U76" s="8">
        <f t="shared" si="9"/>
        <v>29</v>
      </c>
      <c r="V76" s="7">
        <v>34060</v>
      </c>
      <c r="W76" t="s">
        <v>11959</v>
      </c>
      <c r="X76" s="2" t="s">
        <v>0</v>
      </c>
      <c r="Y76" s="6" t="e">
        <f t="shared" si="14"/>
        <v>#VALUE!</v>
      </c>
      <c r="AA76">
        <v>2650193</v>
      </c>
      <c r="AB76">
        <v>35207</v>
      </c>
      <c r="AD76" t="s">
        <v>5</v>
      </c>
      <c r="AE76">
        <v>11</v>
      </c>
      <c r="AF76">
        <v>2</v>
      </c>
      <c r="AH76" t="s">
        <v>11958</v>
      </c>
      <c r="AI76" t="s">
        <v>11957</v>
      </c>
      <c r="AK76" t="s">
        <v>11956</v>
      </c>
      <c r="AL76">
        <v>29</v>
      </c>
      <c r="AM76" s="5">
        <f t="shared" si="10"/>
        <v>1</v>
      </c>
      <c r="AN76" s="4">
        <f t="shared" si="15"/>
        <v>1.5145778114350624E-3</v>
      </c>
      <c r="AO76" s="3"/>
      <c r="AP76">
        <v>0</v>
      </c>
      <c r="AR76" t="s">
        <v>1</v>
      </c>
      <c r="AT76" s="2" t="s">
        <v>0</v>
      </c>
      <c r="AU76" s="1" t="e">
        <f t="shared" si="11"/>
        <v>#VALUE!</v>
      </c>
      <c r="AV76" s="1" t="e">
        <f t="shared" si="12"/>
        <v>#VALUE!</v>
      </c>
      <c r="AW76" s="1" t="e">
        <f t="shared" si="13"/>
        <v>#VALUE!</v>
      </c>
    </row>
    <row r="77" spans="1:49" x14ac:dyDescent="0.2">
      <c r="A77">
        <v>75</v>
      </c>
      <c r="B77" t="s">
        <v>11955</v>
      </c>
      <c r="C77" t="s">
        <v>11954</v>
      </c>
      <c r="F77" t="s">
        <v>11953</v>
      </c>
      <c r="G77" t="s">
        <v>15</v>
      </c>
      <c r="H77" t="s">
        <v>14</v>
      </c>
      <c r="I77" t="s">
        <v>11952</v>
      </c>
      <c r="J77">
        <v>60022195</v>
      </c>
      <c r="K77" t="s">
        <v>11951</v>
      </c>
      <c r="L77" t="s">
        <v>494</v>
      </c>
      <c r="M77" t="s">
        <v>10</v>
      </c>
      <c r="N77">
        <v>1</v>
      </c>
      <c r="O77" t="s">
        <v>11950</v>
      </c>
      <c r="P77">
        <v>7005959318</v>
      </c>
      <c r="Q77">
        <v>60022195</v>
      </c>
      <c r="R77" s="7">
        <v>34060</v>
      </c>
      <c r="S77" s="8">
        <f t="shared" si="8"/>
        <v>1993</v>
      </c>
      <c r="T77" s="8">
        <v>1993</v>
      </c>
      <c r="U77" s="8">
        <f t="shared" si="9"/>
        <v>29</v>
      </c>
      <c r="V77" s="7">
        <v>34060</v>
      </c>
      <c r="W77" t="s">
        <v>11949</v>
      </c>
      <c r="X77" s="2">
        <v>0.498</v>
      </c>
      <c r="Y77" s="6">
        <f t="shared" si="14"/>
        <v>1.3293825578601747E-2</v>
      </c>
      <c r="AA77">
        <v>10599495</v>
      </c>
      <c r="AB77">
        <v>21160</v>
      </c>
      <c r="AC77">
        <v>15441024</v>
      </c>
      <c r="AD77" t="s">
        <v>5</v>
      </c>
      <c r="AE77">
        <v>2</v>
      </c>
      <c r="AF77">
        <v>2</v>
      </c>
      <c r="AH77" t="s">
        <v>11948</v>
      </c>
      <c r="AI77" t="s">
        <v>11947</v>
      </c>
      <c r="AJ77" t="s">
        <v>11946</v>
      </c>
      <c r="AK77" t="s">
        <v>11945</v>
      </c>
      <c r="AL77">
        <v>17</v>
      </c>
      <c r="AM77" s="5">
        <f t="shared" si="10"/>
        <v>0.58620689655172409</v>
      </c>
      <c r="AN77" s="4">
        <f t="shared" si="15"/>
        <v>8.8785595842745036E-4</v>
      </c>
      <c r="AO77" s="3"/>
      <c r="AP77">
        <v>0</v>
      </c>
      <c r="AR77" t="s">
        <v>1</v>
      </c>
      <c r="AT77" s="2" t="s">
        <v>0</v>
      </c>
      <c r="AU77" s="1">
        <f t="shared" si="11"/>
        <v>0.95720346925494593</v>
      </c>
      <c r="AV77" s="1">
        <f t="shared" si="12"/>
        <v>0.7090840768514598</v>
      </c>
      <c r="AW77" s="1">
        <f t="shared" si="13"/>
        <v>0.46096468444797389</v>
      </c>
    </row>
    <row r="78" spans="1:49" x14ac:dyDescent="0.2">
      <c r="A78">
        <v>76</v>
      </c>
      <c r="B78" t="s">
        <v>11944</v>
      </c>
      <c r="F78" t="s">
        <v>11943</v>
      </c>
      <c r="G78" t="s">
        <v>15</v>
      </c>
      <c r="H78" t="s">
        <v>14</v>
      </c>
      <c r="I78" t="s">
        <v>10705</v>
      </c>
      <c r="J78">
        <v>60002561</v>
      </c>
      <c r="K78" t="s">
        <v>10704</v>
      </c>
      <c r="L78" t="s">
        <v>151</v>
      </c>
      <c r="M78" t="s">
        <v>150</v>
      </c>
      <c r="N78">
        <v>2</v>
      </c>
      <c r="O78" t="s">
        <v>10703</v>
      </c>
      <c r="P78" t="s">
        <v>10702</v>
      </c>
      <c r="Q78" t="s">
        <v>10701</v>
      </c>
      <c r="R78" s="7">
        <v>34060</v>
      </c>
      <c r="S78" s="8">
        <f t="shared" si="8"/>
        <v>1993</v>
      </c>
      <c r="T78" s="8">
        <v>1993</v>
      </c>
      <c r="U78" s="8">
        <f t="shared" si="9"/>
        <v>29</v>
      </c>
      <c r="V78" s="7">
        <v>34060</v>
      </c>
      <c r="W78" t="s">
        <v>11915</v>
      </c>
      <c r="X78" s="2">
        <v>0.111</v>
      </c>
      <c r="Y78" s="6">
        <f t="shared" si="14"/>
        <v>2.9630816048690639E-3</v>
      </c>
      <c r="AA78">
        <v>87566621</v>
      </c>
      <c r="AB78">
        <v>24890</v>
      </c>
      <c r="AD78" t="s">
        <v>5</v>
      </c>
      <c r="AE78">
        <v>76</v>
      </c>
      <c r="AF78">
        <v>4</v>
      </c>
      <c r="AH78" t="s">
        <v>11942</v>
      </c>
      <c r="AI78" t="s">
        <v>11941</v>
      </c>
      <c r="AK78" t="s">
        <v>11940</v>
      </c>
      <c r="AL78">
        <v>0</v>
      </c>
      <c r="AM78" s="5">
        <f t="shared" si="10"/>
        <v>0</v>
      </c>
      <c r="AN78" s="4">
        <f t="shared" si="15"/>
        <v>0</v>
      </c>
      <c r="AO78" s="3"/>
      <c r="AP78">
        <v>0</v>
      </c>
      <c r="AR78" t="s">
        <v>1</v>
      </c>
      <c r="AT78" s="2" t="s">
        <v>0</v>
      </c>
      <c r="AU78" s="1">
        <f t="shared" si="11"/>
        <v>0.20741571234083445</v>
      </c>
      <c r="AV78" s="1">
        <f t="shared" si="12"/>
        <v>0.1481540802434532</v>
      </c>
      <c r="AW78" s="1">
        <f t="shared" si="13"/>
        <v>8.8892448146071903E-2</v>
      </c>
    </row>
    <row r="79" spans="1:49" x14ac:dyDescent="0.2">
      <c r="A79">
        <v>77</v>
      </c>
      <c r="B79" t="s">
        <v>11939</v>
      </c>
      <c r="F79" t="s">
        <v>10731</v>
      </c>
      <c r="G79" t="s">
        <v>15</v>
      </c>
      <c r="H79" t="s">
        <v>14</v>
      </c>
      <c r="I79" t="s">
        <v>10730</v>
      </c>
      <c r="J79">
        <v>60000809</v>
      </c>
      <c r="K79" t="s">
        <v>9215</v>
      </c>
      <c r="L79" t="s">
        <v>9214</v>
      </c>
      <c r="M79" t="s">
        <v>150</v>
      </c>
      <c r="N79">
        <v>2</v>
      </c>
      <c r="O79" t="s">
        <v>10729</v>
      </c>
      <c r="P79" t="s">
        <v>10728</v>
      </c>
      <c r="Q79" t="s">
        <v>10727</v>
      </c>
      <c r="R79" s="7">
        <v>34060</v>
      </c>
      <c r="S79" s="8">
        <f t="shared" si="8"/>
        <v>1993</v>
      </c>
      <c r="T79" s="8">
        <v>1993</v>
      </c>
      <c r="U79" s="8">
        <f t="shared" si="9"/>
        <v>29</v>
      </c>
      <c r="V79" s="7">
        <v>34060</v>
      </c>
      <c r="W79" t="s">
        <v>11915</v>
      </c>
      <c r="X79" s="2">
        <v>0.111</v>
      </c>
      <c r="Y79" s="6">
        <f t="shared" si="14"/>
        <v>2.9630816048690639E-3</v>
      </c>
      <c r="AA79">
        <v>87566621</v>
      </c>
      <c r="AB79">
        <v>24890</v>
      </c>
      <c r="AD79" t="s">
        <v>5</v>
      </c>
      <c r="AE79">
        <v>76</v>
      </c>
      <c r="AF79">
        <v>4</v>
      </c>
      <c r="AH79" t="s">
        <v>11938</v>
      </c>
      <c r="AI79" t="s">
        <v>11937</v>
      </c>
      <c r="AK79" t="s">
        <v>11936</v>
      </c>
      <c r="AL79">
        <v>0</v>
      </c>
      <c r="AM79" s="5">
        <f t="shared" si="10"/>
        <v>0</v>
      </c>
      <c r="AN79" s="4">
        <f t="shared" si="15"/>
        <v>0</v>
      </c>
      <c r="AO79" s="3"/>
      <c r="AP79">
        <v>0</v>
      </c>
      <c r="AR79" t="s">
        <v>1</v>
      </c>
      <c r="AT79" s="2" t="s">
        <v>0</v>
      </c>
      <c r="AU79" s="1">
        <f t="shared" si="11"/>
        <v>0.20741571234083445</v>
      </c>
      <c r="AV79" s="1">
        <f t="shared" si="12"/>
        <v>0.1481540802434532</v>
      </c>
      <c r="AW79" s="1">
        <f t="shared" si="13"/>
        <v>8.8892448146071903E-2</v>
      </c>
    </row>
    <row r="80" spans="1:49" x14ac:dyDescent="0.2">
      <c r="A80">
        <v>78</v>
      </c>
      <c r="B80" t="s">
        <v>11935</v>
      </c>
      <c r="F80" t="s">
        <v>11934</v>
      </c>
      <c r="G80" t="s">
        <v>15</v>
      </c>
      <c r="H80" t="s">
        <v>14</v>
      </c>
      <c r="I80" t="s">
        <v>11933</v>
      </c>
      <c r="J80">
        <v>60020822</v>
      </c>
      <c r="K80" t="s">
        <v>11932</v>
      </c>
      <c r="L80" t="s">
        <v>2919</v>
      </c>
      <c r="M80" t="s">
        <v>10</v>
      </c>
      <c r="N80">
        <v>3</v>
      </c>
      <c r="O80" t="s">
        <v>11931</v>
      </c>
      <c r="P80" t="s">
        <v>11930</v>
      </c>
      <c r="Q80" t="s">
        <v>11929</v>
      </c>
      <c r="R80" s="7">
        <v>34060</v>
      </c>
      <c r="S80" s="8">
        <f t="shared" si="8"/>
        <v>1993</v>
      </c>
      <c r="T80" s="8">
        <v>1993</v>
      </c>
      <c r="U80" s="8">
        <f t="shared" si="9"/>
        <v>29</v>
      </c>
      <c r="V80" s="7">
        <v>34060</v>
      </c>
      <c r="W80" t="s">
        <v>11928</v>
      </c>
      <c r="X80" s="2">
        <v>0.153</v>
      </c>
      <c r="Y80" s="6">
        <f t="shared" si="14"/>
        <v>4.0842476175222235E-3</v>
      </c>
      <c r="AA80">
        <v>8887462</v>
      </c>
      <c r="AB80">
        <v>59651</v>
      </c>
      <c r="AD80" t="s">
        <v>5</v>
      </c>
      <c r="AE80">
        <v>29</v>
      </c>
      <c r="AF80">
        <v>2</v>
      </c>
      <c r="AH80" t="s">
        <v>11927</v>
      </c>
      <c r="AI80" t="s">
        <v>11926</v>
      </c>
      <c r="AK80" t="s">
        <v>11925</v>
      </c>
      <c r="AL80">
        <v>6</v>
      </c>
      <c r="AM80" s="5">
        <f t="shared" si="10"/>
        <v>0.20689655172413793</v>
      </c>
      <c r="AN80" s="4">
        <f t="shared" si="15"/>
        <v>3.1336092650380602E-4</v>
      </c>
      <c r="AO80" s="3"/>
      <c r="AP80">
        <v>0</v>
      </c>
      <c r="AR80" t="s">
        <v>1</v>
      </c>
      <c r="AT80" s="2" t="s">
        <v>0</v>
      </c>
      <c r="AU80" s="1">
        <f t="shared" si="11"/>
        <v>0.29529816102166978</v>
      </c>
      <c r="AV80" s="1">
        <f t="shared" si="12"/>
        <v>0.21988042720130149</v>
      </c>
      <c r="AW80" s="1">
        <f t="shared" si="13"/>
        <v>0.14446269338093312</v>
      </c>
    </row>
    <row r="81" spans="1:49" x14ac:dyDescent="0.2">
      <c r="A81">
        <v>79</v>
      </c>
      <c r="B81" t="s">
        <v>11924</v>
      </c>
      <c r="F81" t="s">
        <v>11923</v>
      </c>
      <c r="G81" t="s">
        <v>15</v>
      </c>
      <c r="H81" t="s">
        <v>14</v>
      </c>
      <c r="I81" t="s">
        <v>8361</v>
      </c>
      <c r="J81">
        <v>60008435</v>
      </c>
      <c r="K81" t="s">
        <v>4156</v>
      </c>
      <c r="L81" t="s">
        <v>4155</v>
      </c>
      <c r="M81" t="s">
        <v>150</v>
      </c>
      <c r="N81">
        <v>3</v>
      </c>
      <c r="O81" t="s">
        <v>11922</v>
      </c>
      <c r="P81" t="s">
        <v>11921</v>
      </c>
      <c r="Q81" t="s">
        <v>4152</v>
      </c>
      <c r="R81" s="7">
        <v>34060</v>
      </c>
      <c r="S81" s="8">
        <f t="shared" si="8"/>
        <v>1993</v>
      </c>
      <c r="T81" s="8">
        <v>1993</v>
      </c>
      <c r="U81" s="8">
        <f t="shared" si="9"/>
        <v>29</v>
      </c>
      <c r="V81" s="7">
        <v>34060</v>
      </c>
      <c r="W81" t="s">
        <v>11915</v>
      </c>
      <c r="X81" s="2">
        <v>0.111</v>
      </c>
      <c r="Y81" s="6">
        <f t="shared" si="14"/>
        <v>2.9630816048690639E-3</v>
      </c>
      <c r="AA81">
        <v>87566621</v>
      </c>
      <c r="AB81">
        <v>24890</v>
      </c>
      <c r="AD81" t="s">
        <v>5</v>
      </c>
      <c r="AE81">
        <v>76</v>
      </c>
      <c r="AF81">
        <v>4</v>
      </c>
      <c r="AH81" t="s">
        <v>11920</v>
      </c>
      <c r="AI81" t="s">
        <v>11919</v>
      </c>
      <c r="AK81" t="s">
        <v>11918</v>
      </c>
      <c r="AL81">
        <v>0</v>
      </c>
      <c r="AM81" s="5">
        <f t="shared" si="10"/>
        <v>0</v>
      </c>
      <c r="AN81" s="4">
        <f t="shared" si="15"/>
        <v>0</v>
      </c>
      <c r="AO81" s="3"/>
      <c r="AP81">
        <v>0</v>
      </c>
      <c r="AR81" t="s">
        <v>1</v>
      </c>
      <c r="AT81" s="2" t="s">
        <v>0</v>
      </c>
      <c r="AU81" s="1">
        <f t="shared" si="11"/>
        <v>0.20741571234083445</v>
      </c>
      <c r="AV81" s="1">
        <f t="shared" si="12"/>
        <v>0.1481540802434532</v>
      </c>
      <c r="AW81" s="1">
        <f t="shared" si="13"/>
        <v>8.8892448146071903E-2</v>
      </c>
    </row>
    <row r="82" spans="1:49" x14ac:dyDescent="0.2">
      <c r="A82">
        <v>80</v>
      </c>
      <c r="B82" t="s">
        <v>11917</v>
      </c>
      <c r="F82" t="s">
        <v>11916</v>
      </c>
      <c r="G82" t="s">
        <v>15</v>
      </c>
      <c r="H82" t="s">
        <v>14</v>
      </c>
      <c r="I82" t="s">
        <v>10693</v>
      </c>
      <c r="J82">
        <v>60103907</v>
      </c>
      <c r="K82" t="s">
        <v>7052</v>
      </c>
      <c r="L82" t="s">
        <v>151</v>
      </c>
      <c r="M82" t="s">
        <v>150</v>
      </c>
      <c r="N82">
        <v>2</v>
      </c>
      <c r="O82" t="s">
        <v>10692</v>
      </c>
      <c r="P82" t="s">
        <v>10691</v>
      </c>
      <c r="Q82" t="s">
        <v>10690</v>
      </c>
      <c r="R82" s="7">
        <v>34060</v>
      </c>
      <c r="S82" s="8">
        <f t="shared" si="8"/>
        <v>1993</v>
      </c>
      <c r="T82" s="8">
        <v>1993</v>
      </c>
      <c r="U82" s="8">
        <f t="shared" si="9"/>
        <v>29</v>
      </c>
      <c r="V82" s="7">
        <v>34060</v>
      </c>
      <c r="W82" t="s">
        <v>11915</v>
      </c>
      <c r="X82" s="2">
        <v>0.111</v>
      </c>
      <c r="Y82" s="6">
        <f t="shared" si="14"/>
        <v>2.9630816048690639E-3</v>
      </c>
      <c r="AA82">
        <v>87566621</v>
      </c>
      <c r="AB82">
        <v>24890</v>
      </c>
      <c r="AD82" t="s">
        <v>5</v>
      </c>
      <c r="AE82">
        <v>76</v>
      </c>
      <c r="AF82">
        <v>4</v>
      </c>
      <c r="AH82" t="s">
        <v>11914</v>
      </c>
      <c r="AI82" t="s">
        <v>11913</v>
      </c>
      <c r="AK82" t="s">
        <v>11912</v>
      </c>
      <c r="AL82">
        <v>1</v>
      </c>
      <c r="AM82" s="5">
        <f t="shared" si="10"/>
        <v>3.4482758620689655E-2</v>
      </c>
      <c r="AN82" s="4">
        <f t="shared" si="15"/>
        <v>5.2226821083967674E-5</v>
      </c>
      <c r="AO82" s="3"/>
      <c r="AP82">
        <v>0</v>
      </c>
      <c r="AR82" t="s">
        <v>1</v>
      </c>
      <c r="AT82" s="2" t="s">
        <v>0</v>
      </c>
      <c r="AU82" s="1">
        <f t="shared" si="11"/>
        <v>0.20898251697335346</v>
      </c>
      <c r="AV82" s="1">
        <f t="shared" si="12"/>
        <v>0.15076542129765158</v>
      </c>
      <c r="AW82" s="1">
        <f t="shared" si="13"/>
        <v>9.2548325621949645E-2</v>
      </c>
    </row>
    <row r="83" spans="1:49" x14ac:dyDescent="0.2">
      <c r="A83">
        <v>81</v>
      </c>
      <c r="B83" t="s">
        <v>11911</v>
      </c>
      <c r="F83" t="s">
        <v>11910</v>
      </c>
      <c r="G83" t="s">
        <v>15</v>
      </c>
      <c r="H83" t="s">
        <v>14</v>
      </c>
      <c r="I83" t="s">
        <v>11909</v>
      </c>
      <c r="N83">
        <v>2</v>
      </c>
      <c r="O83" t="s">
        <v>11908</v>
      </c>
      <c r="P83" t="s">
        <v>11907</v>
      </c>
      <c r="Q83" t="s">
        <v>1557</v>
      </c>
      <c r="R83" s="7">
        <v>34060</v>
      </c>
      <c r="S83" s="8">
        <f t="shared" si="8"/>
        <v>1993</v>
      </c>
      <c r="T83" s="8">
        <v>1993</v>
      </c>
      <c r="U83" s="8">
        <f t="shared" si="9"/>
        <v>29</v>
      </c>
      <c r="V83" s="7">
        <v>34060</v>
      </c>
      <c r="W83" t="s">
        <v>1769</v>
      </c>
      <c r="X83" s="2">
        <v>0.14099999999999999</v>
      </c>
      <c r="Y83" s="6">
        <f t="shared" si="14"/>
        <v>3.7639144710498915E-3</v>
      </c>
      <c r="AA83">
        <v>402508</v>
      </c>
      <c r="AB83">
        <v>20868</v>
      </c>
      <c r="AD83" t="s">
        <v>5</v>
      </c>
      <c r="AE83">
        <v>48</v>
      </c>
      <c r="AF83">
        <v>4</v>
      </c>
      <c r="AH83" t="s">
        <v>11906</v>
      </c>
      <c r="AI83" t="s">
        <v>11905</v>
      </c>
      <c r="AK83" t="s">
        <v>11904</v>
      </c>
      <c r="AL83">
        <v>0</v>
      </c>
      <c r="AM83" s="5">
        <f t="shared" si="10"/>
        <v>0</v>
      </c>
      <c r="AN83" s="4">
        <f t="shared" si="15"/>
        <v>0</v>
      </c>
      <c r="AO83" s="3"/>
      <c r="AP83">
        <v>0</v>
      </c>
      <c r="AR83" t="s">
        <v>1</v>
      </c>
      <c r="AT83" s="2" t="s">
        <v>0</v>
      </c>
      <c r="AU83" s="1">
        <f t="shared" si="11"/>
        <v>0.26347401297349238</v>
      </c>
      <c r="AV83" s="1">
        <f t="shared" si="12"/>
        <v>0.18819572355249459</v>
      </c>
      <c r="AW83" s="1">
        <f t="shared" si="13"/>
        <v>0.11291743413149673</v>
      </c>
    </row>
    <row r="84" spans="1:49" x14ac:dyDescent="0.2">
      <c r="A84">
        <v>82</v>
      </c>
      <c r="B84" t="s">
        <v>11903</v>
      </c>
      <c r="F84" t="s">
        <v>11902</v>
      </c>
      <c r="G84" t="s">
        <v>15</v>
      </c>
      <c r="H84" t="s">
        <v>14</v>
      </c>
      <c r="I84" t="s">
        <v>11901</v>
      </c>
      <c r="N84">
        <v>1</v>
      </c>
      <c r="O84" t="s">
        <v>11900</v>
      </c>
      <c r="P84">
        <v>6505922916</v>
      </c>
      <c r="R84" s="7">
        <v>34060</v>
      </c>
      <c r="S84" s="8">
        <f t="shared" si="8"/>
        <v>1993</v>
      </c>
      <c r="T84" s="8">
        <v>1993</v>
      </c>
      <c r="U84" s="8">
        <f t="shared" si="9"/>
        <v>29</v>
      </c>
      <c r="V84" s="7">
        <v>34060</v>
      </c>
      <c r="W84" t="s">
        <v>1769</v>
      </c>
      <c r="X84" s="2">
        <v>0.14099999999999999</v>
      </c>
      <c r="Y84" s="6">
        <f t="shared" si="14"/>
        <v>3.7639144710498915E-3</v>
      </c>
      <c r="AA84">
        <v>402508</v>
      </c>
      <c r="AB84">
        <v>20868</v>
      </c>
      <c r="AD84" t="s">
        <v>5</v>
      </c>
      <c r="AE84">
        <v>48</v>
      </c>
      <c r="AF84">
        <v>4</v>
      </c>
      <c r="AH84" t="s">
        <v>812</v>
      </c>
      <c r="AI84" t="s">
        <v>11899</v>
      </c>
      <c r="AK84" t="s">
        <v>11898</v>
      </c>
      <c r="AL84">
        <v>0</v>
      </c>
      <c r="AM84" s="5">
        <f t="shared" si="10"/>
        <v>0</v>
      </c>
      <c r="AN84" s="4">
        <f t="shared" si="15"/>
        <v>0</v>
      </c>
      <c r="AO84" s="3"/>
      <c r="AP84">
        <v>0</v>
      </c>
      <c r="AR84" t="s">
        <v>1</v>
      </c>
      <c r="AT84" s="2" t="s">
        <v>0</v>
      </c>
      <c r="AU84" s="1">
        <f t="shared" si="11"/>
        <v>0.26347401297349238</v>
      </c>
      <c r="AV84" s="1">
        <f t="shared" si="12"/>
        <v>0.18819572355249459</v>
      </c>
      <c r="AW84" s="1">
        <f t="shared" si="13"/>
        <v>0.11291743413149673</v>
      </c>
    </row>
    <row r="85" spans="1:49" x14ac:dyDescent="0.2">
      <c r="A85">
        <v>83</v>
      </c>
      <c r="B85" t="s">
        <v>11897</v>
      </c>
      <c r="F85" t="s">
        <v>11896</v>
      </c>
      <c r="G85" t="s">
        <v>15</v>
      </c>
      <c r="H85" t="s">
        <v>14</v>
      </c>
      <c r="I85" t="s">
        <v>11895</v>
      </c>
      <c r="N85">
        <v>1</v>
      </c>
      <c r="O85" t="s">
        <v>11894</v>
      </c>
      <c r="P85">
        <v>7006076565</v>
      </c>
      <c r="R85" s="7">
        <v>34060</v>
      </c>
      <c r="S85" s="8">
        <f t="shared" si="8"/>
        <v>1993</v>
      </c>
      <c r="T85" s="8">
        <v>1993</v>
      </c>
      <c r="U85" s="8">
        <f t="shared" si="9"/>
        <v>29</v>
      </c>
      <c r="V85" s="7">
        <v>34060</v>
      </c>
      <c r="W85" t="s">
        <v>1769</v>
      </c>
      <c r="X85" s="2">
        <v>0.14099999999999999</v>
      </c>
      <c r="Y85" s="6">
        <f t="shared" si="14"/>
        <v>3.7639144710498915E-3</v>
      </c>
      <c r="AA85">
        <v>402508</v>
      </c>
      <c r="AB85">
        <v>20868</v>
      </c>
      <c r="AD85" t="s">
        <v>5</v>
      </c>
      <c r="AE85">
        <v>48</v>
      </c>
      <c r="AF85">
        <v>4</v>
      </c>
      <c r="AH85" t="s">
        <v>11893</v>
      </c>
      <c r="AI85" t="s">
        <v>11892</v>
      </c>
      <c r="AK85" t="s">
        <v>11891</v>
      </c>
      <c r="AL85">
        <v>0</v>
      </c>
      <c r="AM85" s="5">
        <f t="shared" si="10"/>
        <v>0</v>
      </c>
      <c r="AN85" s="4">
        <f t="shared" si="15"/>
        <v>0</v>
      </c>
      <c r="AO85" s="3"/>
      <c r="AP85">
        <v>0</v>
      </c>
      <c r="AR85" t="s">
        <v>1</v>
      </c>
      <c r="AT85" s="2" t="s">
        <v>0</v>
      </c>
      <c r="AU85" s="1">
        <f t="shared" si="11"/>
        <v>0.26347401297349238</v>
      </c>
      <c r="AV85" s="1">
        <f t="shared" si="12"/>
        <v>0.18819572355249459</v>
      </c>
      <c r="AW85" s="1">
        <f t="shared" si="13"/>
        <v>0.11291743413149673</v>
      </c>
    </row>
    <row r="86" spans="1:49" x14ac:dyDescent="0.2">
      <c r="A86">
        <v>84</v>
      </c>
      <c r="B86" t="s">
        <v>11890</v>
      </c>
      <c r="F86" t="s">
        <v>11889</v>
      </c>
      <c r="G86" t="s">
        <v>15</v>
      </c>
      <c r="H86" t="s">
        <v>14</v>
      </c>
      <c r="I86" t="s">
        <v>11888</v>
      </c>
      <c r="N86">
        <v>1</v>
      </c>
      <c r="O86" t="s">
        <v>11887</v>
      </c>
      <c r="P86">
        <v>7004091883</v>
      </c>
      <c r="R86" s="7">
        <v>34060</v>
      </c>
      <c r="S86" s="8">
        <f t="shared" si="8"/>
        <v>1993</v>
      </c>
      <c r="T86" s="8">
        <v>1993</v>
      </c>
      <c r="U86" s="8">
        <f t="shared" si="9"/>
        <v>29</v>
      </c>
      <c r="V86" s="7">
        <v>34060</v>
      </c>
      <c r="W86" t="s">
        <v>1769</v>
      </c>
      <c r="X86" s="2">
        <v>0.14099999999999999</v>
      </c>
      <c r="Y86" s="6">
        <f t="shared" si="14"/>
        <v>3.7639144710498915E-3</v>
      </c>
      <c r="AA86">
        <v>402508</v>
      </c>
      <c r="AB86">
        <v>20868</v>
      </c>
      <c r="AD86" t="s">
        <v>5</v>
      </c>
      <c r="AE86">
        <v>48</v>
      </c>
      <c r="AF86">
        <v>4</v>
      </c>
      <c r="AH86" t="s">
        <v>11886</v>
      </c>
      <c r="AI86" t="s">
        <v>11885</v>
      </c>
      <c r="AK86" t="s">
        <v>11884</v>
      </c>
      <c r="AL86">
        <v>0</v>
      </c>
      <c r="AM86" s="5">
        <f t="shared" si="10"/>
        <v>0</v>
      </c>
      <c r="AN86" s="4">
        <f t="shared" si="15"/>
        <v>0</v>
      </c>
      <c r="AO86" s="3"/>
      <c r="AP86">
        <v>0</v>
      </c>
      <c r="AR86" t="s">
        <v>1</v>
      </c>
      <c r="AT86" s="2" t="s">
        <v>0</v>
      </c>
      <c r="AU86" s="1">
        <f t="shared" si="11"/>
        <v>0.26347401297349238</v>
      </c>
      <c r="AV86" s="1">
        <f t="shared" si="12"/>
        <v>0.18819572355249459</v>
      </c>
      <c r="AW86" s="1">
        <f t="shared" si="13"/>
        <v>0.11291743413149673</v>
      </c>
    </row>
    <row r="87" spans="1:49" x14ac:dyDescent="0.2">
      <c r="A87">
        <v>85</v>
      </c>
      <c r="B87" t="s">
        <v>11883</v>
      </c>
      <c r="F87" t="s">
        <v>11882</v>
      </c>
      <c r="G87" t="s">
        <v>15</v>
      </c>
      <c r="H87" t="s">
        <v>14</v>
      </c>
      <c r="I87" t="s">
        <v>11881</v>
      </c>
      <c r="N87">
        <v>2</v>
      </c>
      <c r="O87" t="s">
        <v>11880</v>
      </c>
      <c r="P87" t="s">
        <v>11879</v>
      </c>
      <c r="Q87" t="s">
        <v>1557</v>
      </c>
      <c r="R87" s="7">
        <v>34060</v>
      </c>
      <c r="S87" s="8">
        <f t="shared" si="8"/>
        <v>1993</v>
      </c>
      <c r="T87" s="8">
        <v>1993</v>
      </c>
      <c r="U87" s="8">
        <f t="shared" si="9"/>
        <v>29</v>
      </c>
      <c r="V87" s="7">
        <v>34060</v>
      </c>
      <c r="W87" t="s">
        <v>1769</v>
      </c>
      <c r="X87" s="2">
        <v>0.14099999999999999</v>
      </c>
      <c r="Y87" s="6">
        <f t="shared" si="14"/>
        <v>3.7639144710498915E-3</v>
      </c>
      <c r="AA87">
        <v>402508</v>
      </c>
      <c r="AB87">
        <v>20868</v>
      </c>
      <c r="AD87" t="s">
        <v>5</v>
      </c>
      <c r="AE87">
        <v>48</v>
      </c>
      <c r="AF87">
        <v>4</v>
      </c>
      <c r="AH87" t="s">
        <v>11878</v>
      </c>
      <c r="AI87" t="s">
        <v>11877</v>
      </c>
      <c r="AK87" t="s">
        <v>11876</v>
      </c>
      <c r="AL87">
        <v>0</v>
      </c>
      <c r="AM87" s="5">
        <f t="shared" si="10"/>
        <v>0</v>
      </c>
      <c r="AN87" s="4">
        <f t="shared" si="15"/>
        <v>0</v>
      </c>
      <c r="AO87" s="3"/>
      <c r="AP87">
        <v>0</v>
      </c>
      <c r="AR87" t="s">
        <v>1</v>
      </c>
      <c r="AT87" s="2" t="s">
        <v>0</v>
      </c>
      <c r="AU87" s="1">
        <f t="shared" si="11"/>
        <v>0.26347401297349238</v>
      </c>
      <c r="AV87" s="1">
        <f t="shared" si="12"/>
        <v>0.18819572355249459</v>
      </c>
      <c r="AW87" s="1">
        <f t="shared" si="13"/>
        <v>0.11291743413149673</v>
      </c>
    </row>
    <row r="88" spans="1:49" x14ac:dyDescent="0.2">
      <c r="A88">
        <v>86</v>
      </c>
      <c r="B88" t="s">
        <v>11875</v>
      </c>
      <c r="F88" t="s">
        <v>11874</v>
      </c>
      <c r="G88" t="s">
        <v>15</v>
      </c>
      <c r="H88" t="s">
        <v>14</v>
      </c>
      <c r="I88" t="s">
        <v>11873</v>
      </c>
      <c r="N88">
        <v>3</v>
      </c>
      <c r="O88" t="s">
        <v>11872</v>
      </c>
      <c r="P88" t="s">
        <v>11871</v>
      </c>
      <c r="Q88" t="s">
        <v>2929</v>
      </c>
      <c r="R88" s="7">
        <v>34060</v>
      </c>
      <c r="S88" s="8">
        <f t="shared" si="8"/>
        <v>1993</v>
      </c>
      <c r="T88" s="8">
        <v>1993</v>
      </c>
      <c r="U88" s="8">
        <f t="shared" si="9"/>
        <v>29</v>
      </c>
      <c r="V88" s="7">
        <v>34060</v>
      </c>
      <c r="W88" t="s">
        <v>1769</v>
      </c>
      <c r="X88" s="2">
        <v>0.14099999999999999</v>
      </c>
      <c r="Y88" s="6">
        <f t="shared" si="14"/>
        <v>3.7639144710498915E-3</v>
      </c>
      <c r="AA88">
        <v>402508</v>
      </c>
      <c r="AB88">
        <v>20868</v>
      </c>
      <c r="AD88" t="s">
        <v>5</v>
      </c>
      <c r="AE88">
        <v>48</v>
      </c>
      <c r="AF88">
        <v>4</v>
      </c>
      <c r="AH88" t="s">
        <v>11870</v>
      </c>
      <c r="AI88" t="s">
        <v>11869</v>
      </c>
      <c r="AK88" t="s">
        <v>11868</v>
      </c>
      <c r="AL88">
        <v>0</v>
      </c>
      <c r="AM88" s="5">
        <f t="shared" si="10"/>
        <v>0</v>
      </c>
      <c r="AN88" s="4">
        <f t="shared" si="15"/>
        <v>0</v>
      </c>
      <c r="AO88" s="3"/>
      <c r="AP88">
        <v>0</v>
      </c>
      <c r="AR88" t="s">
        <v>1</v>
      </c>
      <c r="AT88" s="2" t="s">
        <v>0</v>
      </c>
      <c r="AU88" s="1">
        <f t="shared" si="11"/>
        <v>0.26347401297349238</v>
      </c>
      <c r="AV88" s="1">
        <f t="shared" si="12"/>
        <v>0.18819572355249459</v>
      </c>
      <c r="AW88" s="1">
        <f t="shared" si="13"/>
        <v>0.11291743413149673</v>
      </c>
    </row>
    <row r="89" spans="1:49" x14ac:dyDescent="0.2">
      <c r="A89">
        <v>87</v>
      </c>
      <c r="B89" t="s">
        <v>11867</v>
      </c>
      <c r="F89" t="s">
        <v>11866</v>
      </c>
      <c r="G89" t="s">
        <v>15</v>
      </c>
      <c r="H89" t="s">
        <v>14</v>
      </c>
      <c r="I89" t="s">
        <v>11865</v>
      </c>
      <c r="N89">
        <v>3</v>
      </c>
      <c r="O89" t="s">
        <v>11864</v>
      </c>
      <c r="P89" t="s">
        <v>11863</v>
      </c>
      <c r="Q89" t="s">
        <v>2929</v>
      </c>
      <c r="R89" s="7">
        <v>34060</v>
      </c>
      <c r="S89" s="8">
        <f t="shared" si="8"/>
        <v>1993</v>
      </c>
      <c r="T89" s="8">
        <v>1993</v>
      </c>
      <c r="U89" s="8">
        <f t="shared" si="9"/>
        <v>29</v>
      </c>
      <c r="V89" s="7">
        <v>34060</v>
      </c>
      <c r="W89" t="s">
        <v>1769</v>
      </c>
      <c r="X89" s="2">
        <v>0.14099999999999999</v>
      </c>
      <c r="Y89" s="6">
        <f t="shared" si="14"/>
        <v>3.7639144710498915E-3</v>
      </c>
      <c r="AA89">
        <v>402508</v>
      </c>
      <c r="AB89">
        <v>20868</v>
      </c>
      <c r="AD89" t="s">
        <v>5</v>
      </c>
      <c r="AE89">
        <v>48</v>
      </c>
      <c r="AF89">
        <v>4</v>
      </c>
      <c r="AH89" t="s">
        <v>11862</v>
      </c>
      <c r="AI89" t="s">
        <v>11861</v>
      </c>
      <c r="AK89" t="s">
        <v>11860</v>
      </c>
      <c r="AL89">
        <v>0</v>
      </c>
      <c r="AM89" s="5">
        <f t="shared" si="10"/>
        <v>0</v>
      </c>
      <c r="AN89" s="4">
        <f t="shared" si="15"/>
        <v>0</v>
      </c>
      <c r="AO89" s="3"/>
      <c r="AP89">
        <v>0</v>
      </c>
      <c r="AR89" t="s">
        <v>1</v>
      </c>
      <c r="AT89" s="2" t="s">
        <v>0</v>
      </c>
      <c r="AU89" s="1">
        <f t="shared" si="11"/>
        <v>0.26347401297349238</v>
      </c>
      <c r="AV89" s="1">
        <f t="shared" si="12"/>
        <v>0.18819572355249459</v>
      </c>
      <c r="AW89" s="1">
        <f t="shared" si="13"/>
        <v>0.11291743413149673</v>
      </c>
    </row>
    <row r="90" spans="1:49" x14ac:dyDescent="0.2">
      <c r="A90">
        <v>88</v>
      </c>
      <c r="B90" t="s">
        <v>11859</v>
      </c>
      <c r="F90" t="s">
        <v>11858</v>
      </c>
      <c r="G90" t="s">
        <v>15</v>
      </c>
      <c r="H90" t="s">
        <v>14</v>
      </c>
      <c r="I90" t="s">
        <v>11857</v>
      </c>
      <c r="N90">
        <v>1</v>
      </c>
      <c r="O90" t="s">
        <v>11856</v>
      </c>
      <c r="P90">
        <v>57121490900</v>
      </c>
      <c r="R90" s="7">
        <v>34060</v>
      </c>
      <c r="S90" s="8">
        <f t="shared" si="8"/>
        <v>1993</v>
      </c>
      <c r="T90" s="8">
        <v>1993</v>
      </c>
      <c r="U90" s="8">
        <f t="shared" si="9"/>
        <v>29</v>
      </c>
      <c r="V90" s="7">
        <v>34060</v>
      </c>
      <c r="W90" t="s">
        <v>1769</v>
      </c>
      <c r="X90" s="2">
        <v>0.14099999999999999</v>
      </c>
      <c r="Y90" s="6">
        <f t="shared" si="14"/>
        <v>3.7639144710498915E-3</v>
      </c>
      <c r="AA90">
        <v>402508</v>
      </c>
      <c r="AB90">
        <v>20868</v>
      </c>
      <c r="AD90" t="s">
        <v>5</v>
      </c>
      <c r="AE90">
        <v>48</v>
      </c>
      <c r="AF90">
        <v>4</v>
      </c>
      <c r="AH90" t="s">
        <v>11855</v>
      </c>
      <c r="AI90" t="s">
        <v>11854</v>
      </c>
      <c r="AK90" t="s">
        <v>11853</v>
      </c>
      <c r="AL90">
        <v>0</v>
      </c>
      <c r="AM90" s="5">
        <f t="shared" si="10"/>
        <v>0</v>
      </c>
      <c r="AN90" s="4">
        <f t="shared" si="15"/>
        <v>0</v>
      </c>
      <c r="AO90" s="3"/>
      <c r="AP90">
        <v>0</v>
      </c>
      <c r="AR90" t="s">
        <v>1</v>
      </c>
      <c r="AT90" s="2" t="s">
        <v>0</v>
      </c>
      <c r="AU90" s="1">
        <f t="shared" si="11"/>
        <v>0.26347401297349238</v>
      </c>
      <c r="AV90" s="1">
        <f t="shared" si="12"/>
        <v>0.18819572355249459</v>
      </c>
      <c r="AW90" s="1">
        <f t="shared" si="13"/>
        <v>0.11291743413149673</v>
      </c>
    </row>
    <row r="91" spans="1:49" x14ac:dyDescent="0.2">
      <c r="A91">
        <v>89</v>
      </c>
      <c r="B91" t="s">
        <v>11852</v>
      </c>
      <c r="C91" t="s">
        <v>11851</v>
      </c>
      <c r="F91" t="s">
        <v>11850</v>
      </c>
      <c r="G91" t="s">
        <v>15</v>
      </c>
      <c r="H91" t="s">
        <v>14</v>
      </c>
      <c r="I91" t="s">
        <v>11849</v>
      </c>
      <c r="J91">
        <v>60029526</v>
      </c>
      <c r="K91" t="s">
        <v>11848</v>
      </c>
      <c r="L91" t="s">
        <v>11847</v>
      </c>
      <c r="M91" t="s">
        <v>10</v>
      </c>
      <c r="N91">
        <v>2</v>
      </c>
      <c r="O91" t="s">
        <v>11846</v>
      </c>
      <c r="P91" t="s">
        <v>11845</v>
      </c>
      <c r="Q91" t="s">
        <v>11844</v>
      </c>
      <c r="R91" s="7">
        <v>34060</v>
      </c>
      <c r="S91" s="8">
        <f t="shared" si="8"/>
        <v>1993</v>
      </c>
      <c r="T91" s="8">
        <v>1993</v>
      </c>
      <c r="U91" s="8">
        <f t="shared" si="9"/>
        <v>29</v>
      </c>
      <c r="V91" s="7">
        <v>34060</v>
      </c>
      <c r="W91" t="s">
        <v>11843</v>
      </c>
      <c r="X91" s="2">
        <v>0.78300000000000003</v>
      </c>
      <c r="Y91" s="6">
        <f t="shared" si="14"/>
        <v>2.0901737807319614E-2</v>
      </c>
      <c r="AA91">
        <v>281042</v>
      </c>
      <c r="AB91">
        <v>21662</v>
      </c>
      <c r="AC91">
        <v>14321904</v>
      </c>
      <c r="AD91" t="s">
        <v>5</v>
      </c>
      <c r="AE91">
        <v>80</v>
      </c>
      <c r="AF91">
        <v>4</v>
      </c>
      <c r="AH91" t="s">
        <v>11118</v>
      </c>
      <c r="AL91">
        <v>33</v>
      </c>
      <c r="AM91" s="5">
        <f t="shared" si="10"/>
        <v>1.1379310344827587</v>
      </c>
      <c r="AN91" s="4">
        <f t="shared" si="15"/>
        <v>1.7234850957709331E-3</v>
      </c>
      <c r="AO91" s="3"/>
      <c r="AP91">
        <v>0</v>
      </c>
      <c r="AR91" t="s">
        <v>1</v>
      </c>
      <c r="AT91" s="2" t="s">
        <v>0</v>
      </c>
      <c r="AU91" s="1">
        <f t="shared" si="11"/>
        <v>1.5148261993855008</v>
      </c>
      <c r="AV91" s="1">
        <f t="shared" si="12"/>
        <v>1.1312611451545274</v>
      </c>
      <c r="AW91" s="1">
        <f t="shared" si="13"/>
        <v>0.74769609092355371</v>
      </c>
    </row>
    <row r="92" spans="1:49" x14ac:dyDescent="0.2">
      <c r="A92">
        <v>90</v>
      </c>
      <c r="B92" t="s">
        <v>11842</v>
      </c>
      <c r="C92" t="s">
        <v>11841</v>
      </c>
      <c r="E92">
        <v>8476869</v>
      </c>
      <c r="F92" t="s">
        <v>11840</v>
      </c>
      <c r="G92" t="s">
        <v>15</v>
      </c>
      <c r="H92" t="s">
        <v>14</v>
      </c>
      <c r="I92" t="s">
        <v>11839</v>
      </c>
      <c r="J92" t="s">
        <v>11838</v>
      </c>
      <c r="K92" t="s">
        <v>11837</v>
      </c>
      <c r="L92" t="s">
        <v>11836</v>
      </c>
      <c r="M92" t="s">
        <v>11835</v>
      </c>
      <c r="N92">
        <v>4</v>
      </c>
      <c r="O92" t="s">
        <v>11834</v>
      </c>
      <c r="P92" t="s">
        <v>11833</v>
      </c>
      <c r="Q92" t="s">
        <v>11832</v>
      </c>
      <c r="R92" s="7">
        <v>34060</v>
      </c>
      <c r="S92" s="8">
        <f t="shared" si="8"/>
        <v>1993</v>
      </c>
      <c r="T92" s="8">
        <v>1993</v>
      </c>
      <c r="U92" s="8">
        <f t="shared" si="9"/>
        <v>29</v>
      </c>
      <c r="V92" s="7">
        <v>34060</v>
      </c>
      <c r="W92" t="s">
        <v>828</v>
      </c>
      <c r="X92" s="2">
        <v>1.43</v>
      </c>
      <c r="Y92" s="6">
        <f t="shared" si="14"/>
        <v>3.8173033287952803E-2</v>
      </c>
      <c r="AA92">
        <v>62960</v>
      </c>
      <c r="AB92">
        <v>16867</v>
      </c>
      <c r="AC92">
        <v>15204995</v>
      </c>
      <c r="AD92" t="s">
        <v>5</v>
      </c>
      <c r="AE92">
        <v>32</v>
      </c>
      <c r="AF92">
        <v>16</v>
      </c>
      <c r="AH92" t="s">
        <v>11831</v>
      </c>
      <c r="AI92" t="s">
        <v>11830</v>
      </c>
      <c r="AK92" t="s">
        <v>11829</v>
      </c>
      <c r="AL92">
        <v>69</v>
      </c>
      <c r="AM92" s="5">
        <f t="shared" si="10"/>
        <v>2.3793103448275863</v>
      </c>
      <c r="AN92" s="4">
        <f t="shared" si="15"/>
        <v>3.6036506547937695E-3</v>
      </c>
      <c r="AO92" s="3"/>
      <c r="AP92">
        <v>0</v>
      </c>
      <c r="AR92" t="s">
        <v>1</v>
      </c>
      <c r="AT92" s="2">
        <v>3.1619999999999999</v>
      </c>
      <c r="AU92" s="1">
        <f t="shared" si="11"/>
        <v>2.7802218498005091</v>
      </c>
      <c r="AV92" s="1">
        <f t="shared" si="12"/>
        <v>2.0888341971373285</v>
      </c>
      <c r="AW92" s="1">
        <f t="shared" si="13"/>
        <v>1.3974465444741477</v>
      </c>
    </row>
    <row r="93" spans="1:49" x14ac:dyDescent="0.2">
      <c r="A93">
        <v>91</v>
      </c>
      <c r="B93" t="s">
        <v>11828</v>
      </c>
      <c r="C93" t="s">
        <v>11827</v>
      </c>
      <c r="E93">
        <v>8461288</v>
      </c>
      <c r="F93" t="s">
        <v>11826</v>
      </c>
      <c r="G93" t="s">
        <v>15</v>
      </c>
      <c r="H93" t="s">
        <v>14</v>
      </c>
      <c r="I93" t="s">
        <v>11825</v>
      </c>
      <c r="J93" t="s">
        <v>11824</v>
      </c>
      <c r="K93" t="s">
        <v>11823</v>
      </c>
      <c r="L93" t="s">
        <v>11822</v>
      </c>
      <c r="M93" t="s">
        <v>8311</v>
      </c>
      <c r="N93">
        <v>5</v>
      </c>
      <c r="O93" t="s">
        <v>11821</v>
      </c>
      <c r="P93" t="s">
        <v>11820</v>
      </c>
      <c r="Q93" t="s">
        <v>11819</v>
      </c>
      <c r="R93" s="7">
        <v>34060</v>
      </c>
      <c r="S93" s="8">
        <f t="shared" si="8"/>
        <v>1993</v>
      </c>
      <c r="T93" s="8">
        <v>1993</v>
      </c>
      <c r="U93" s="8">
        <f t="shared" si="9"/>
        <v>29</v>
      </c>
      <c r="V93" s="7">
        <v>34060</v>
      </c>
      <c r="W93" t="s">
        <v>828</v>
      </c>
      <c r="X93" s="2">
        <v>1.43</v>
      </c>
      <c r="Y93" s="6">
        <f t="shared" si="14"/>
        <v>3.8173033287952803E-2</v>
      </c>
      <c r="AA93">
        <v>62960</v>
      </c>
      <c r="AB93">
        <v>16867</v>
      </c>
      <c r="AC93">
        <v>15204995</v>
      </c>
      <c r="AD93" t="s">
        <v>5</v>
      </c>
      <c r="AE93">
        <v>32</v>
      </c>
      <c r="AF93">
        <v>13</v>
      </c>
      <c r="AH93" t="s">
        <v>11818</v>
      </c>
      <c r="AI93" t="s">
        <v>11817</v>
      </c>
      <c r="AK93" t="s">
        <v>11816</v>
      </c>
      <c r="AL93">
        <v>89</v>
      </c>
      <c r="AM93" s="5">
        <f t="shared" si="10"/>
        <v>3.0689655172413794</v>
      </c>
      <c r="AN93" s="4">
        <f t="shared" si="15"/>
        <v>4.6481870764731228E-3</v>
      </c>
      <c r="AO93" s="3"/>
      <c r="AP93">
        <v>0</v>
      </c>
      <c r="AR93" t="s">
        <v>1</v>
      </c>
      <c r="AT93" s="2">
        <v>3.1619999999999999</v>
      </c>
      <c r="AU93" s="1">
        <f t="shared" si="11"/>
        <v>2.8115579424508899</v>
      </c>
      <c r="AV93" s="1">
        <f t="shared" si="12"/>
        <v>2.1410610182212961</v>
      </c>
      <c r="AW93" s="1">
        <f t="shared" si="13"/>
        <v>1.4705640939917026</v>
      </c>
    </row>
    <row r="94" spans="1:49" x14ac:dyDescent="0.2">
      <c r="A94">
        <v>92</v>
      </c>
      <c r="B94" t="s">
        <v>11815</v>
      </c>
      <c r="C94" t="s">
        <v>11814</v>
      </c>
      <c r="F94" t="s">
        <v>11813</v>
      </c>
      <c r="G94" t="s">
        <v>15</v>
      </c>
      <c r="H94" t="s">
        <v>14</v>
      </c>
      <c r="I94" t="s">
        <v>11812</v>
      </c>
      <c r="J94" t="s">
        <v>11811</v>
      </c>
      <c r="K94" t="s">
        <v>11810</v>
      </c>
      <c r="L94" t="s">
        <v>11809</v>
      </c>
      <c r="M94" t="s">
        <v>235</v>
      </c>
      <c r="N94">
        <v>4</v>
      </c>
      <c r="O94" t="s">
        <v>11808</v>
      </c>
      <c r="P94" t="s">
        <v>11807</v>
      </c>
      <c r="Q94" t="s">
        <v>11806</v>
      </c>
      <c r="R94" s="7">
        <v>34060</v>
      </c>
      <c r="S94" s="8">
        <f t="shared" si="8"/>
        <v>1993</v>
      </c>
      <c r="T94" s="8">
        <v>1993</v>
      </c>
      <c r="U94" s="8">
        <f t="shared" si="9"/>
        <v>29</v>
      </c>
      <c r="V94" s="7">
        <v>34060</v>
      </c>
      <c r="W94" t="s">
        <v>263</v>
      </c>
      <c r="X94" s="2">
        <v>1.1579999999999999</v>
      </c>
      <c r="Y94" s="6">
        <f t="shared" si="14"/>
        <v>3.0912148634579962E-2</v>
      </c>
      <c r="AA94">
        <v>1668595</v>
      </c>
      <c r="AB94">
        <v>14223</v>
      </c>
      <c r="AC94">
        <v>15735079</v>
      </c>
      <c r="AD94" t="s">
        <v>5</v>
      </c>
      <c r="AE94">
        <v>36</v>
      </c>
      <c r="AF94">
        <v>1</v>
      </c>
      <c r="AH94" t="s">
        <v>11805</v>
      </c>
      <c r="AI94" t="s">
        <v>11804</v>
      </c>
      <c r="AJ94" t="s">
        <v>11803</v>
      </c>
      <c r="AK94" t="s">
        <v>11802</v>
      </c>
      <c r="AL94">
        <v>5</v>
      </c>
      <c r="AM94" s="5">
        <f t="shared" si="10"/>
        <v>0.17241379310344829</v>
      </c>
      <c r="AN94" s="4">
        <f t="shared" si="15"/>
        <v>2.6113410541983838E-4</v>
      </c>
      <c r="AO94" s="3"/>
      <c r="AP94">
        <v>0</v>
      </c>
      <c r="AR94" t="s">
        <v>1</v>
      </c>
      <c r="AT94" s="2">
        <v>3.573</v>
      </c>
      <c r="AU94" s="1">
        <f t="shared" si="11"/>
        <v>2.1716844275831924</v>
      </c>
      <c r="AV94" s="1">
        <f t="shared" si="12"/>
        <v>1.5586641369999901</v>
      </c>
      <c r="AW94" s="1">
        <f t="shared" si="13"/>
        <v>0.94564384641678756</v>
      </c>
    </row>
    <row r="95" spans="1:49" x14ac:dyDescent="0.2">
      <c r="A95">
        <v>93</v>
      </c>
      <c r="B95" t="s">
        <v>11801</v>
      </c>
      <c r="C95" t="s">
        <v>11800</v>
      </c>
      <c r="F95" t="s">
        <v>11799</v>
      </c>
      <c r="G95" t="s">
        <v>15</v>
      </c>
      <c r="H95" t="s">
        <v>14</v>
      </c>
      <c r="I95" t="s">
        <v>11798</v>
      </c>
      <c r="J95">
        <v>60027090</v>
      </c>
      <c r="K95" t="s">
        <v>2907</v>
      </c>
      <c r="L95" t="s">
        <v>2906</v>
      </c>
      <c r="M95" t="s">
        <v>10</v>
      </c>
      <c r="N95">
        <v>3</v>
      </c>
      <c r="O95" t="s">
        <v>11797</v>
      </c>
      <c r="P95" t="s">
        <v>11796</v>
      </c>
      <c r="Q95" t="s">
        <v>11795</v>
      </c>
      <c r="R95" s="7">
        <v>34060</v>
      </c>
      <c r="S95" s="8">
        <f t="shared" si="8"/>
        <v>1993</v>
      </c>
      <c r="T95" s="8">
        <v>1993</v>
      </c>
      <c r="U95" s="8">
        <f t="shared" si="9"/>
        <v>29</v>
      </c>
      <c r="V95" s="7">
        <v>34060</v>
      </c>
      <c r="W95" t="s">
        <v>11794</v>
      </c>
      <c r="X95" s="2">
        <v>0.85499999999999998</v>
      </c>
      <c r="Y95" s="6">
        <f t="shared" si="14"/>
        <v>2.28237366861536E-2</v>
      </c>
      <c r="AA95">
        <v>980331</v>
      </c>
      <c r="AB95">
        <v>23342</v>
      </c>
      <c r="AC95">
        <v>15731561</v>
      </c>
      <c r="AD95" t="s">
        <v>5</v>
      </c>
      <c r="AE95">
        <v>19</v>
      </c>
      <c r="AF95">
        <v>4</v>
      </c>
      <c r="AH95" t="s">
        <v>11793</v>
      </c>
      <c r="AI95" t="s">
        <v>11792</v>
      </c>
      <c r="AJ95" t="s">
        <v>11791</v>
      </c>
      <c r="AK95" t="s">
        <v>11790</v>
      </c>
      <c r="AL95">
        <v>9</v>
      </c>
      <c r="AM95" s="5">
        <f t="shared" si="10"/>
        <v>0.31034482758620691</v>
      </c>
      <c r="AN95" s="4">
        <f t="shared" si="15"/>
        <v>4.7004138975570908E-4</v>
      </c>
      <c r="AO95" s="3"/>
      <c r="AP95">
        <v>0</v>
      </c>
      <c r="AR95" t="s">
        <v>1</v>
      </c>
      <c r="AT95" s="2">
        <v>2.6259999999999999</v>
      </c>
      <c r="AU95" s="1">
        <f t="shared" si="11"/>
        <v>1.6117628097234229</v>
      </c>
      <c r="AV95" s="1">
        <f t="shared" si="12"/>
        <v>1.1646889037954653</v>
      </c>
      <c r="AW95" s="1">
        <f t="shared" si="13"/>
        <v>0.7176149978675076</v>
      </c>
    </row>
    <row r="96" spans="1:49" x14ac:dyDescent="0.2">
      <c r="A96">
        <v>94</v>
      </c>
      <c r="B96" t="s">
        <v>11789</v>
      </c>
      <c r="C96" t="s">
        <v>11788</v>
      </c>
      <c r="F96" t="s">
        <v>11787</v>
      </c>
      <c r="G96" t="s">
        <v>15</v>
      </c>
      <c r="H96" t="s">
        <v>14</v>
      </c>
      <c r="I96" t="s">
        <v>11786</v>
      </c>
      <c r="J96" t="s">
        <v>11785</v>
      </c>
      <c r="K96" t="s">
        <v>11784</v>
      </c>
      <c r="L96" t="s">
        <v>11783</v>
      </c>
      <c r="M96" t="s">
        <v>8311</v>
      </c>
      <c r="N96">
        <v>3</v>
      </c>
      <c r="O96" t="s">
        <v>11782</v>
      </c>
      <c r="P96" t="s">
        <v>11781</v>
      </c>
      <c r="Q96" t="s">
        <v>11780</v>
      </c>
      <c r="R96" s="7">
        <v>34060</v>
      </c>
      <c r="S96" s="8">
        <f t="shared" si="8"/>
        <v>1993</v>
      </c>
      <c r="T96" s="8">
        <v>1993</v>
      </c>
      <c r="U96" s="8">
        <f t="shared" si="9"/>
        <v>29</v>
      </c>
      <c r="V96" s="7">
        <v>34060</v>
      </c>
      <c r="W96" t="s">
        <v>11456</v>
      </c>
      <c r="X96" s="2">
        <v>0.84299999999999997</v>
      </c>
      <c r="Y96" s="6">
        <f t="shared" si="14"/>
        <v>2.250340353968127E-2</v>
      </c>
      <c r="AA96">
        <v>188158</v>
      </c>
      <c r="AB96">
        <v>15168</v>
      </c>
      <c r="AC96">
        <v>15735117</v>
      </c>
      <c r="AD96" t="s">
        <v>5</v>
      </c>
      <c r="AE96" t="s">
        <v>11779</v>
      </c>
      <c r="AF96">
        <v>1</v>
      </c>
      <c r="AH96" t="s">
        <v>11778</v>
      </c>
      <c r="AI96" t="s">
        <v>11777</v>
      </c>
      <c r="AJ96" t="s">
        <v>11776</v>
      </c>
      <c r="AK96" t="s">
        <v>11775</v>
      </c>
      <c r="AL96">
        <v>41</v>
      </c>
      <c r="AM96" s="5">
        <f t="shared" si="10"/>
        <v>1.4137931034482758</v>
      </c>
      <c r="AN96" s="4">
        <f t="shared" si="15"/>
        <v>2.1412996644426746E-3</v>
      </c>
      <c r="AO96" s="3"/>
      <c r="AP96">
        <v>0</v>
      </c>
      <c r="AR96" t="s">
        <v>1</v>
      </c>
      <c r="AT96" s="2">
        <v>2.694</v>
      </c>
      <c r="AU96" s="1">
        <f t="shared" si="11"/>
        <v>1.6394772377109692</v>
      </c>
      <c r="AV96" s="1">
        <f t="shared" si="12"/>
        <v>1.2322351602061972</v>
      </c>
      <c r="AW96" s="1">
        <f t="shared" si="13"/>
        <v>0.82499308270142535</v>
      </c>
    </row>
    <row r="97" spans="1:49" x14ac:dyDescent="0.2">
      <c r="A97">
        <v>95</v>
      </c>
      <c r="B97" t="s">
        <v>11774</v>
      </c>
      <c r="C97" t="s">
        <v>11773</v>
      </c>
      <c r="D97">
        <v>169433293906833</v>
      </c>
      <c r="F97" t="s">
        <v>11772</v>
      </c>
      <c r="G97" t="s">
        <v>15</v>
      </c>
      <c r="H97" t="s">
        <v>14</v>
      </c>
      <c r="I97" t="s">
        <v>11771</v>
      </c>
      <c r="J97">
        <v>60015815</v>
      </c>
      <c r="K97" t="s">
        <v>2849</v>
      </c>
      <c r="L97" t="s">
        <v>2003</v>
      </c>
      <c r="M97" t="s">
        <v>59</v>
      </c>
      <c r="N97">
        <v>3</v>
      </c>
      <c r="O97" t="s">
        <v>11770</v>
      </c>
      <c r="P97" t="s">
        <v>11769</v>
      </c>
      <c r="Q97" t="s">
        <v>11768</v>
      </c>
      <c r="R97" s="7">
        <v>34030</v>
      </c>
      <c r="S97" s="8">
        <f t="shared" si="8"/>
        <v>1993</v>
      </c>
      <c r="T97" s="8">
        <v>1993</v>
      </c>
      <c r="U97" s="8">
        <f t="shared" si="9"/>
        <v>29</v>
      </c>
      <c r="V97" s="7">
        <v>34030</v>
      </c>
      <c r="W97" t="s">
        <v>11767</v>
      </c>
      <c r="X97" s="2">
        <v>1.2949999999999999</v>
      </c>
      <c r="Y97" s="6">
        <f t="shared" si="14"/>
        <v>3.4569285390139079E-2</v>
      </c>
      <c r="AA97">
        <v>1694332</v>
      </c>
      <c r="AB97">
        <v>28983</v>
      </c>
      <c r="AD97" t="s">
        <v>5</v>
      </c>
      <c r="AE97" t="s">
        <v>11766</v>
      </c>
      <c r="AF97" t="s">
        <v>4857</v>
      </c>
      <c r="AH97" t="s">
        <v>11765</v>
      </c>
      <c r="AI97" t="s">
        <v>11764</v>
      </c>
      <c r="AK97" t="s">
        <v>11763</v>
      </c>
      <c r="AL97">
        <v>11</v>
      </c>
      <c r="AM97" s="5">
        <f t="shared" si="10"/>
        <v>0.37931034482758619</v>
      </c>
      <c r="AN97" s="4">
        <f t="shared" si="15"/>
        <v>5.7449503192364435E-4</v>
      </c>
      <c r="AO97" s="3"/>
      <c r="AP97">
        <v>0</v>
      </c>
      <c r="AQ97" t="s">
        <v>172</v>
      </c>
      <c r="AR97" t="s">
        <v>11762</v>
      </c>
      <c r="AS97" t="s">
        <v>170</v>
      </c>
      <c r="AT97" s="2">
        <v>6.7069999999999999</v>
      </c>
      <c r="AU97" s="1">
        <f t="shared" si="11"/>
        <v>2.4370848282674449</v>
      </c>
      <c r="AV97" s="1">
        <f t="shared" si="12"/>
        <v>1.7571890211031362</v>
      </c>
      <c r="AW97" s="1">
        <f t="shared" si="13"/>
        <v>1.0772932139388274</v>
      </c>
    </row>
    <row r="98" spans="1:49" x14ac:dyDescent="0.2">
      <c r="A98">
        <v>96</v>
      </c>
      <c r="B98" t="s">
        <v>11761</v>
      </c>
      <c r="C98" t="s">
        <v>11760</v>
      </c>
      <c r="F98" t="s">
        <v>11759</v>
      </c>
      <c r="G98" t="s">
        <v>15</v>
      </c>
      <c r="H98" t="s">
        <v>14</v>
      </c>
      <c r="I98" t="s">
        <v>11758</v>
      </c>
      <c r="J98">
        <v>60023578</v>
      </c>
      <c r="K98" t="s">
        <v>11757</v>
      </c>
      <c r="L98" t="s">
        <v>11106</v>
      </c>
      <c r="M98" t="s">
        <v>303</v>
      </c>
      <c r="N98">
        <v>4</v>
      </c>
      <c r="O98" t="s">
        <v>11756</v>
      </c>
      <c r="P98" t="s">
        <v>11755</v>
      </c>
      <c r="Q98" t="s">
        <v>11754</v>
      </c>
      <c r="R98" s="7">
        <v>34029</v>
      </c>
      <c r="S98" s="8">
        <f t="shared" si="8"/>
        <v>1993</v>
      </c>
      <c r="T98" s="8">
        <v>1993</v>
      </c>
      <c r="U98" s="8">
        <f t="shared" si="9"/>
        <v>29</v>
      </c>
      <c r="V98" s="7">
        <v>34029</v>
      </c>
      <c r="W98" t="s">
        <v>11753</v>
      </c>
      <c r="X98" s="2" t="s">
        <v>0</v>
      </c>
      <c r="Y98" s="6" t="e">
        <f t="shared" si="14"/>
        <v>#VALUE!</v>
      </c>
      <c r="AA98">
        <v>9685243</v>
      </c>
      <c r="AB98">
        <v>40970</v>
      </c>
      <c r="AC98">
        <v>13528661</v>
      </c>
      <c r="AD98" t="s">
        <v>5</v>
      </c>
      <c r="AE98">
        <v>1</v>
      </c>
      <c r="AF98">
        <v>1</v>
      </c>
      <c r="AH98" t="s">
        <v>11752</v>
      </c>
      <c r="AI98" t="s">
        <v>11751</v>
      </c>
      <c r="AJ98" t="s">
        <v>11750</v>
      </c>
      <c r="AK98" t="s">
        <v>11749</v>
      </c>
      <c r="AL98">
        <v>1</v>
      </c>
      <c r="AM98" s="5">
        <f t="shared" si="10"/>
        <v>3.4482758620689655E-2</v>
      </c>
      <c r="AN98" s="4">
        <f t="shared" si="15"/>
        <v>5.2226821083967674E-5</v>
      </c>
      <c r="AO98" s="3"/>
      <c r="AP98">
        <v>0</v>
      </c>
      <c r="AR98" t="s">
        <v>1</v>
      </c>
      <c r="AT98" s="2" t="s">
        <v>0</v>
      </c>
      <c r="AU98" s="1" t="e">
        <f t="shared" si="11"/>
        <v>#VALUE!</v>
      </c>
      <c r="AV98" s="1" t="e">
        <f t="shared" si="12"/>
        <v>#VALUE!</v>
      </c>
      <c r="AW98" s="1" t="e">
        <f t="shared" si="13"/>
        <v>#VALUE!</v>
      </c>
    </row>
    <row r="99" spans="1:49" x14ac:dyDescent="0.2">
      <c r="A99">
        <v>97</v>
      </c>
      <c r="B99" t="s">
        <v>11748</v>
      </c>
      <c r="C99" t="s">
        <v>11747</v>
      </c>
      <c r="F99" t="s">
        <v>11746</v>
      </c>
      <c r="G99" t="s">
        <v>15</v>
      </c>
      <c r="H99" t="s">
        <v>14</v>
      </c>
      <c r="I99" t="s">
        <v>11745</v>
      </c>
      <c r="J99">
        <v>60010023</v>
      </c>
      <c r="K99" t="s">
        <v>11068</v>
      </c>
      <c r="L99" t="s">
        <v>11067</v>
      </c>
      <c r="M99" t="s">
        <v>721</v>
      </c>
      <c r="N99">
        <v>2</v>
      </c>
      <c r="O99" t="s">
        <v>11744</v>
      </c>
      <c r="P99" t="s">
        <v>11743</v>
      </c>
      <c r="Q99" t="s">
        <v>11064</v>
      </c>
      <c r="R99" s="7">
        <v>34029</v>
      </c>
      <c r="S99" s="8">
        <f t="shared" si="8"/>
        <v>1993</v>
      </c>
      <c r="T99" s="8">
        <v>1993</v>
      </c>
      <c r="U99" s="8">
        <f t="shared" si="9"/>
        <v>29</v>
      </c>
      <c r="V99" s="7">
        <v>34029</v>
      </c>
      <c r="W99" t="s">
        <v>11742</v>
      </c>
      <c r="X99" s="2">
        <v>1.2529999999999999</v>
      </c>
      <c r="Y99" s="6">
        <f t="shared" si="14"/>
        <v>3.3448119377485916E-2</v>
      </c>
      <c r="AA99">
        <v>320935</v>
      </c>
      <c r="AB99">
        <v>16646</v>
      </c>
      <c r="AC99">
        <v>14322048</v>
      </c>
      <c r="AD99" t="s">
        <v>5</v>
      </c>
      <c r="AE99">
        <v>189</v>
      </c>
      <c r="AF99">
        <v>3</v>
      </c>
      <c r="AH99" t="s">
        <v>11741</v>
      </c>
      <c r="AI99" t="s">
        <v>11740</v>
      </c>
      <c r="AJ99" t="s">
        <v>11739</v>
      </c>
      <c r="AK99" t="s">
        <v>11738</v>
      </c>
      <c r="AL99">
        <v>47</v>
      </c>
      <c r="AM99" s="5">
        <f t="shared" si="10"/>
        <v>1.6206896551724137</v>
      </c>
      <c r="AN99" s="4">
        <f t="shared" si="15"/>
        <v>2.4546605909464806E-3</v>
      </c>
      <c r="AO99" s="3"/>
      <c r="AP99">
        <v>0</v>
      </c>
      <c r="AR99" t="s">
        <v>1</v>
      </c>
      <c r="AT99" s="2">
        <v>4.1159999999999997</v>
      </c>
      <c r="AU99" s="1">
        <f t="shared" si="11"/>
        <v>2.4150081741524083</v>
      </c>
      <c r="AV99" s="1">
        <f t="shared" si="12"/>
        <v>1.7951389984216199</v>
      </c>
      <c r="AW99" s="1">
        <f t="shared" si="13"/>
        <v>1.1752698226908311</v>
      </c>
    </row>
    <row r="100" spans="1:49" x14ac:dyDescent="0.2">
      <c r="A100">
        <v>98</v>
      </c>
      <c r="B100" t="s">
        <v>11737</v>
      </c>
      <c r="C100" t="s">
        <v>11736</v>
      </c>
      <c r="F100" t="s">
        <v>11735</v>
      </c>
      <c r="G100" t="s">
        <v>15</v>
      </c>
      <c r="H100" t="s">
        <v>14</v>
      </c>
      <c r="I100" t="s">
        <v>11734</v>
      </c>
      <c r="J100">
        <v>60030622</v>
      </c>
      <c r="K100" t="s">
        <v>9799</v>
      </c>
      <c r="L100" t="s">
        <v>1350</v>
      </c>
      <c r="M100" t="s">
        <v>576</v>
      </c>
      <c r="N100">
        <v>2</v>
      </c>
      <c r="O100" t="s">
        <v>11733</v>
      </c>
      <c r="P100" t="s">
        <v>11732</v>
      </c>
      <c r="Q100" t="s">
        <v>9796</v>
      </c>
      <c r="R100" s="7">
        <v>34029</v>
      </c>
      <c r="S100" s="8">
        <f t="shared" si="8"/>
        <v>1993</v>
      </c>
      <c r="T100" s="8">
        <v>1993</v>
      </c>
      <c r="U100" s="8">
        <f t="shared" si="9"/>
        <v>29</v>
      </c>
      <c r="V100" s="7">
        <v>34029</v>
      </c>
      <c r="W100" t="s">
        <v>11731</v>
      </c>
      <c r="X100" s="2" t="s">
        <v>0</v>
      </c>
      <c r="Y100" s="6" t="e">
        <f t="shared" si="14"/>
        <v>#VALUE!</v>
      </c>
      <c r="AA100">
        <v>9660844</v>
      </c>
      <c r="AB100">
        <v>16919</v>
      </c>
      <c r="AC100">
        <v>15728773</v>
      </c>
      <c r="AD100" t="s">
        <v>5</v>
      </c>
      <c r="AE100">
        <v>6</v>
      </c>
      <c r="AF100">
        <v>1</v>
      </c>
      <c r="AH100" t="s">
        <v>11730</v>
      </c>
      <c r="AI100" t="s">
        <v>11729</v>
      </c>
      <c r="AJ100" t="s">
        <v>11728</v>
      </c>
      <c r="AK100" t="s">
        <v>11727</v>
      </c>
      <c r="AL100">
        <v>1</v>
      </c>
      <c r="AM100" s="5">
        <f t="shared" si="10"/>
        <v>3.4482758620689655E-2</v>
      </c>
      <c r="AN100" s="4">
        <f t="shared" si="15"/>
        <v>5.2226821083967674E-5</v>
      </c>
      <c r="AO100" s="3"/>
      <c r="AP100">
        <v>0</v>
      </c>
      <c r="AR100" t="s">
        <v>1</v>
      </c>
      <c r="AT100" s="2">
        <v>2.9489999999999998</v>
      </c>
      <c r="AU100" s="1" t="e">
        <f t="shared" si="11"/>
        <v>#VALUE!</v>
      </c>
      <c r="AV100" s="1" t="e">
        <f t="shared" si="12"/>
        <v>#VALUE!</v>
      </c>
      <c r="AW100" s="1" t="e">
        <f t="shared" si="13"/>
        <v>#VALUE!</v>
      </c>
    </row>
    <row r="101" spans="1:49" x14ac:dyDescent="0.2">
      <c r="A101">
        <v>99</v>
      </c>
      <c r="B101" t="s">
        <v>11726</v>
      </c>
      <c r="C101" t="s">
        <v>11725</v>
      </c>
      <c r="F101" t="s">
        <v>11724</v>
      </c>
      <c r="G101" t="s">
        <v>15</v>
      </c>
      <c r="H101" t="s">
        <v>14</v>
      </c>
      <c r="I101" t="s">
        <v>11723</v>
      </c>
      <c r="J101" t="s">
        <v>11722</v>
      </c>
      <c r="K101" t="s">
        <v>11721</v>
      </c>
      <c r="L101" t="s">
        <v>11720</v>
      </c>
      <c r="M101" t="s">
        <v>11719</v>
      </c>
      <c r="N101">
        <v>2</v>
      </c>
      <c r="O101" t="s">
        <v>11718</v>
      </c>
      <c r="P101" t="s">
        <v>11717</v>
      </c>
      <c r="Q101" t="s">
        <v>11716</v>
      </c>
      <c r="R101" s="7">
        <v>34029</v>
      </c>
      <c r="S101" s="8">
        <f t="shared" si="8"/>
        <v>1993</v>
      </c>
      <c r="T101" s="8">
        <v>1993</v>
      </c>
      <c r="U101" s="8">
        <f t="shared" si="9"/>
        <v>29</v>
      </c>
      <c r="V101" s="7">
        <v>34029</v>
      </c>
      <c r="W101" t="s">
        <v>263</v>
      </c>
      <c r="X101" s="2">
        <v>1.1579999999999999</v>
      </c>
      <c r="Y101" s="6">
        <f t="shared" si="14"/>
        <v>3.0912148634579962E-2</v>
      </c>
      <c r="AA101">
        <v>1668595</v>
      </c>
      <c r="AB101">
        <v>14223</v>
      </c>
      <c r="AC101">
        <v>15735079</v>
      </c>
      <c r="AD101" t="s">
        <v>5</v>
      </c>
      <c r="AE101">
        <v>35</v>
      </c>
      <c r="AF101">
        <v>3</v>
      </c>
      <c r="AH101" t="s">
        <v>11715</v>
      </c>
      <c r="AI101" t="s">
        <v>11714</v>
      </c>
      <c r="AJ101" t="s">
        <v>11713</v>
      </c>
      <c r="AK101" t="s">
        <v>11712</v>
      </c>
      <c r="AL101">
        <v>113</v>
      </c>
      <c r="AM101" s="5">
        <f t="shared" si="10"/>
        <v>3.896551724137931</v>
      </c>
      <c r="AN101" s="4">
        <f t="shared" si="15"/>
        <v>5.9016307824883473E-3</v>
      </c>
      <c r="AO101" s="3"/>
      <c r="AP101">
        <v>0</v>
      </c>
      <c r="AR101" t="s">
        <v>1</v>
      </c>
      <c r="AT101" s="2">
        <v>3.573</v>
      </c>
      <c r="AU101" s="1">
        <f t="shared" si="11"/>
        <v>2.3408993278952477</v>
      </c>
      <c r="AV101" s="1">
        <f t="shared" si="12"/>
        <v>1.8406889708534153</v>
      </c>
      <c r="AW101" s="1">
        <f t="shared" si="13"/>
        <v>1.3404786138115832</v>
      </c>
    </row>
    <row r="102" spans="1:49" x14ac:dyDescent="0.2">
      <c r="A102">
        <v>100</v>
      </c>
      <c r="B102" t="s">
        <v>11711</v>
      </c>
      <c r="C102" t="s">
        <v>11710</v>
      </c>
      <c r="F102" t="s">
        <v>11709</v>
      </c>
      <c r="G102" t="s">
        <v>15</v>
      </c>
      <c r="H102" t="s">
        <v>14</v>
      </c>
      <c r="I102" t="s">
        <v>11708</v>
      </c>
      <c r="N102">
        <v>2</v>
      </c>
      <c r="O102" t="s">
        <v>11707</v>
      </c>
      <c r="P102" t="s">
        <v>11706</v>
      </c>
      <c r="Q102" t="s">
        <v>1557</v>
      </c>
      <c r="R102" s="7">
        <v>34029</v>
      </c>
      <c r="S102" s="8">
        <f t="shared" si="8"/>
        <v>1993</v>
      </c>
      <c r="T102" s="8">
        <v>1993</v>
      </c>
      <c r="U102" s="8">
        <f t="shared" si="9"/>
        <v>29</v>
      </c>
      <c r="V102" s="7">
        <v>34029</v>
      </c>
      <c r="W102" t="s">
        <v>9960</v>
      </c>
      <c r="X102" s="2">
        <v>0.318</v>
      </c>
      <c r="Y102" s="6">
        <f t="shared" si="14"/>
        <v>8.4888283815167786E-3</v>
      </c>
      <c r="AA102">
        <v>338443</v>
      </c>
      <c r="AB102">
        <v>27160</v>
      </c>
      <c r="AC102">
        <v>15739120</v>
      </c>
      <c r="AD102" t="s">
        <v>5</v>
      </c>
      <c r="AE102">
        <v>36</v>
      </c>
      <c r="AF102" s="9">
        <v>44289</v>
      </c>
      <c r="AH102" t="s">
        <v>11705</v>
      </c>
      <c r="AI102" t="s">
        <v>11704</v>
      </c>
      <c r="AK102" t="s">
        <v>11703</v>
      </c>
      <c r="AL102">
        <v>0</v>
      </c>
      <c r="AM102" s="5">
        <f t="shared" si="10"/>
        <v>0</v>
      </c>
      <c r="AN102" s="4">
        <f t="shared" si="15"/>
        <v>0</v>
      </c>
      <c r="AO102" s="3"/>
      <c r="AP102">
        <v>0</v>
      </c>
      <c r="AR102" t="s">
        <v>1</v>
      </c>
      <c r="AT102" s="2">
        <v>0.77</v>
      </c>
      <c r="AU102" s="1">
        <f t="shared" si="11"/>
        <v>0.59421798670617454</v>
      </c>
      <c r="AV102" s="1">
        <f t="shared" si="12"/>
        <v>0.42444141907583893</v>
      </c>
      <c r="AW102" s="1">
        <f t="shared" si="13"/>
        <v>0.25466485144550338</v>
      </c>
    </row>
    <row r="103" spans="1:49" x14ac:dyDescent="0.2">
      <c r="A103">
        <v>101</v>
      </c>
      <c r="B103" t="s">
        <v>11702</v>
      </c>
      <c r="F103" t="s">
        <v>11701</v>
      </c>
      <c r="G103" t="s">
        <v>15</v>
      </c>
      <c r="H103" t="s">
        <v>14</v>
      </c>
      <c r="I103" t="s">
        <v>11700</v>
      </c>
      <c r="J103">
        <v>60007742</v>
      </c>
      <c r="K103" t="s">
        <v>4278</v>
      </c>
      <c r="L103" t="s">
        <v>4277</v>
      </c>
      <c r="M103" t="s">
        <v>10</v>
      </c>
      <c r="N103">
        <v>7</v>
      </c>
      <c r="O103" t="s">
        <v>11699</v>
      </c>
      <c r="P103" t="s">
        <v>11698</v>
      </c>
      <c r="Q103" t="s">
        <v>11697</v>
      </c>
      <c r="R103" s="7">
        <v>34029</v>
      </c>
      <c r="S103" s="8">
        <f t="shared" si="8"/>
        <v>1993</v>
      </c>
      <c r="T103" s="8">
        <v>1993</v>
      </c>
      <c r="U103" s="8">
        <f t="shared" si="9"/>
        <v>29</v>
      </c>
      <c r="V103" s="7">
        <v>34029</v>
      </c>
      <c r="W103" t="s">
        <v>11696</v>
      </c>
      <c r="X103" s="2" t="s">
        <v>0</v>
      </c>
      <c r="Y103" s="6" t="e">
        <f t="shared" si="14"/>
        <v>#VALUE!</v>
      </c>
      <c r="AA103">
        <v>959669</v>
      </c>
      <c r="AB103">
        <v>94658</v>
      </c>
      <c r="AD103" t="s">
        <v>5</v>
      </c>
      <c r="AE103">
        <v>23</v>
      </c>
      <c r="AF103">
        <v>1</v>
      </c>
      <c r="AH103" t="s">
        <v>11695</v>
      </c>
      <c r="AI103" t="s">
        <v>11694</v>
      </c>
      <c r="AK103" t="s">
        <v>11693</v>
      </c>
      <c r="AL103">
        <v>4</v>
      </c>
      <c r="AM103" s="5">
        <f t="shared" si="10"/>
        <v>0.13793103448275862</v>
      </c>
      <c r="AN103" s="4">
        <f t="shared" si="15"/>
        <v>2.089072843358707E-4</v>
      </c>
      <c r="AO103" s="3"/>
      <c r="AP103">
        <v>0</v>
      </c>
      <c r="AR103" t="s">
        <v>1</v>
      </c>
      <c r="AT103" s="2" t="s">
        <v>0</v>
      </c>
      <c r="AU103" s="1" t="e">
        <f t="shared" si="11"/>
        <v>#VALUE!</v>
      </c>
      <c r="AV103" s="1" t="e">
        <f t="shared" si="12"/>
        <v>#VALUE!</v>
      </c>
      <c r="AW103" s="1" t="e">
        <f t="shared" si="13"/>
        <v>#VALUE!</v>
      </c>
    </row>
    <row r="104" spans="1:49" x14ac:dyDescent="0.2">
      <c r="A104">
        <v>102</v>
      </c>
      <c r="B104" t="s">
        <v>11692</v>
      </c>
      <c r="C104" t="s">
        <v>11691</v>
      </c>
      <c r="F104" t="s">
        <v>11690</v>
      </c>
      <c r="G104" t="s">
        <v>15</v>
      </c>
      <c r="H104" t="s">
        <v>14</v>
      </c>
      <c r="I104" t="s">
        <v>11689</v>
      </c>
      <c r="J104">
        <v>60009507</v>
      </c>
      <c r="K104" t="s">
        <v>10623</v>
      </c>
      <c r="L104" t="s">
        <v>509</v>
      </c>
      <c r="M104" t="s">
        <v>508</v>
      </c>
      <c r="N104">
        <v>4</v>
      </c>
      <c r="O104" t="s">
        <v>11688</v>
      </c>
      <c r="P104" t="s">
        <v>11687</v>
      </c>
      <c r="Q104" t="s">
        <v>11686</v>
      </c>
      <c r="R104" s="7">
        <v>34029</v>
      </c>
      <c r="S104" s="8">
        <f t="shared" si="8"/>
        <v>1993</v>
      </c>
      <c r="T104" s="8">
        <v>1993</v>
      </c>
      <c r="U104" s="8">
        <f t="shared" si="9"/>
        <v>29</v>
      </c>
      <c r="V104" s="7">
        <v>34029</v>
      </c>
      <c r="W104" t="s">
        <v>814</v>
      </c>
      <c r="X104" s="2">
        <v>1.6519999999999999</v>
      </c>
      <c r="Y104" s="6">
        <f t="shared" si="14"/>
        <v>4.409919649769093E-2</v>
      </c>
      <c r="AA104" t="s">
        <v>813</v>
      </c>
      <c r="AB104">
        <v>17337</v>
      </c>
      <c r="AD104" t="s">
        <v>5</v>
      </c>
      <c r="AE104">
        <v>41</v>
      </c>
      <c r="AF104">
        <v>3</v>
      </c>
      <c r="AH104" t="s">
        <v>11685</v>
      </c>
      <c r="AI104" t="s">
        <v>11684</v>
      </c>
      <c r="AK104" t="s">
        <v>11683</v>
      </c>
      <c r="AL104">
        <v>9</v>
      </c>
      <c r="AM104" s="5">
        <f t="shared" si="10"/>
        <v>0.31034482758620691</v>
      </c>
      <c r="AN104" s="4">
        <f t="shared" si="15"/>
        <v>4.7004138975570908E-4</v>
      </c>
      <c r="AO104" s="3"/>
      <c r="AP104">
        <v>0</v>
      </c>
      <c r="AR104" t="s">
        <v>1</v>
      </c>
      <c r="AT104" s="2" t="s">
        <v>0</v>
      </c>
      <c r="AU104" s="1">
        <f t="shared" si="11"/>
        <v>3.1010449965310363</v>
      </c>
      <c r="AV104" s="1">
        <f t="shared" si="12"/>
        <v>2.228461894372332</v>
      </c>
      <c r="AW104" s="1">
        <f t="shared" si="13"/>
        <v>1.3558787922136275</v>
      </c>
    </row>
    <row r="105" spans="1:49" x14ac:dyDescent="0.2">
      <c r="A105">
        <v>103</v>
      </c>
      <c r="B105" t="s">
        <v>11682</v>
      </c>
      <c r="F105" t="s">
        <v>11681</v>
      </c>
      <c r="G105" t="s">
        <v>15</v>
      </c>
      <c r="H105" t="s">
        <v>14</v>
      </c>
      <c r="I105" t="s">
        <v>11680</v>
      </c>
      <c r="J105">
        <v>60001989</v>
      </c>
      <c r="K105" t="s">
        <v>3861</v>
      </c>
      <c r="L105" t="s">
        <v>2919</v>
      </c>
      <c r="M105" t="s">
        <v>10</v>
      </c>
      <c r="N105">
        <v>1</v>
      </c>
      <c r="O105" t="s">
        <v>11679</v>
      </c>
      <c r="P105">
        <v>6701318625</v>
      </c>
      <c r="Q105">
        <v>60001989</v>
      </c>
      <c r="R105" s="7">
        <v>34029</v>
      </c>
      <c r="S105" s="8">
        <f t="shared" si="8"/>
        <v>1993</v>
      </c>
      <c r="T105" s="8">
        <v>1993</v>
      </c>
      <c r="U105" s="8">
        <f t="shared" si="9"/>
        <v>29</v>
      </c>
      <c r="V105" s="7">
        <v>34029</v>
      </c>
      <c r="W105" t="s">
        <v>11678</v>
      </c>
      <c r="X105" s="2" t="s">
        <v>0</v>
      </c>
      <c r="Y105" s="6" t="e">
        <f t="shared" si="14"/>
        <v>#VALUE!</v>
      </c>
      <c r="AA105">
        <v>12351</v>
      </c>
      <c r="AB105">
        <v>15776</v>
      </c>
      <c r="AD105" t="s">
        <v>5</v>
      </c>
      <c r="AE105">
        <v>36</v>
      </c>
      <c r="AF105">
        <v>2</v>
      </c>
      <c r="AH105" t="s">
        <v>11677</v>
      </c>
      <c r="AI105" t="s">
        <v>11676</v>
      </c>
      <c r="AK105" t="s">
        <v>11675</v>
      </c>
      <c r="AL105">
        <v>0</v>
      </c>
      <c r="AM105" s="5">
        <f t="shared" si="10"/>
        <v>0</v>
      </c>
      <c r="AN105" s="4">
        <f t="shared" si="15"/>
        <v>0</v>
      </c>
      <c r="AO105" s="3"/>
      <c r="AP105">
        <v>0</v>
      </c>
      <c r="AR105" t="s">
        <v>1</v>
      </c>
      <c r="AT105" s="2" t="s">
        <v>0</v>
      </c>
      <c r="AU105" s="1" t="e">
        <f t="shared" si="11"/>
        <v>#VALUE!</v>
      </c>
      <c r="AV105" s="1" t="e">
        <f t="shared" si="12"/>
        <v>#VALUE!</v>
      </c>
      <c r="AW105" s="1" t="e">
        <f t="shared" si="13"/>
        <v>#VALUE!</v>
      </c>
    </row>
    <row r="106" spans="1:49" x14ac:dyDescent="0.2">
      <c r="A106">
        <v>104</v>
      </c>
      <c r="B106" t="s">
        <v>11674</v>
      </c>
      <c r="C106" t="s">
        <v>11673</v>
      </c>
      <c r="F106" t="s">
        <v>11672</v>
      </c>
      <c r="G106" t="s">
        <v>15</v>
      </c>
      <c r="H106" t="s">
        <v>14</v>
      </c>
      <c r="I106" t="s">
        <v>11671</v>
      </c>
      <c r="J106">
        <v>60005244</v>
      </c>
      <c r="K106" t="s">
        <v>4391</v>
      </c>
      <c r="L106" t="s">
        <v>4390</v>
      </c>
      <c r="M106" t="s">
        <v>463</v>
      </c>
      <c r="N106">
        <v>2</v>
      </c>
      <c r="O106" t="s">
        <v>11670</v>
      </c>
      <c r="P106" t="s">
        <v>11669</v>
      </c>
      <c r="Q106" t="s">
        <v>4387</v>
      </c>
      <c r="R106" s="7">
        <v>34029</v>
      </c>
      <c r="S106" s="8">
        <f t="shared" si="8"/>
        <v>1993</v>
      </c>
      <c r="T106" s="8">
        <v>1993</v>
      </c>
      <c r="U106" s="8">
        <f t="shared" si="9"/>
        <v>29</v>
      </c>
      <c r="V106" s="7">
        <v>34029</v>
      </c>
      <c r="W106" t="s">
        <v>814</v>
      </c>
      <c r="X106" s="2">
        <v>1.6519999999999999</v>
      </c>
      <c r="Y106" s="6">
        <f t="shared" si="14"/>
        <v>4.409919649769093E-2</v>
      </c>
      <c r="AA106" t="s">
        <v>813</v>
      </c>
      <c r="AB106">
        <v>17337</v>
      </c>
      <c r="AD106" t="s">
        <v>5</v>
      </c>
      <c r="AE106">
        <v>41</v>
      </c>
      <c r="AF106">
        <v>3</v>
      </c>
      <c r="AH106" t="s">
        <v>11668</v>
      </c>
      <c r="AI106" t="s">
        <v>11667</v>
      </c>
      <c r="AK106" t="s">
        <v>11666</v>
      </c>
      <c r="AL106">
        <v>19</v>
      </c>
      <c r="AM106" s="5">
        <f t="shared" si="10"/>
        <v>0.65517241379310343</v>
      </c>
      <c r="AN106" s="4">
        <f t="shared" si="15"/>
        <v>9.9230960059538574E-4</v>
      </c>
      <c r="AO106" s="3"/>
      <c r="AP106">
        <v>0</v>
      </c>
      <c r="AR106" t="s">
        <v>1</v>
      </c>
      <c r="AT106" s="2" t="s">
        <v>0</v>
      </c>
      <c r="AU106" s="1">
        <f t="shared" si="11"/>
        <v>3.1167130428562269</v>
      </c>
      <c r="AV106" s="1">
        <f t="shared" si="12"/>
        <v>2.2545753049143156</v>
      </c>
      <c r="AW106" s="1">
        <f t="shared" si="13"/>
        <v>1.3924375669724047</v>
      </c>
    </row>
    <row r="107" spans="1:49" x14ac:dyDescent="0.2">
      <c r="A107">
        <v>105</v>
      </c>
      <c r="B107" t="s">
        <v>11665</v>
      </c>
      <c r="C107" t="s">
        <v>11664</v>
      </c>
      <c r="F107" t="s">
        <v>11663</v>
      </c>
      <c r="G107" t="s">
        <v>15</v>
      </c>
      <c r="H107" t="s">
        <v>14</v>
      </c>
      <c r="I107" t="s">
        <v>11662</v>
      </c>
      <c r="J107">
        <v>60005837</v>
      </c>
      <c r="K107" t="s">
        <v>10301</v>
      </c>
      <c r="L107" t="s">
        <v>10300</v>
      </c>
      <c r="M107" t="s">
        <v>10</v>
      </c>
      <c r="N107">
        <v>2</v>
      </c>
      <c r="O107" t="s">
        <v>11661</v>
      </c>
      <c r="P107" t="s">
        <v>11660</v>
      </c>
      <c r="Q107" t="s">
        <v>11659</v>
      </c>
      <c r="R107" s="7">
        <v>34029</v>
      </c>
      <c r="S107" s="8">
        <f t="shared" si="8"/>
        <v>1993</v>
      </c>
      <c r="T107" s="8">
        <v>1993</v>
      </c>
      <c r="U107" s="8">
        <f t="shared" si="9"/>
        <v>29</v>
      </c>
      <c r="V107" s="7">
        <v>34029</v>
      </c>
      <c r="W107" t="s">
        <v>814</v>
      </c>
      <c r="X107" s="2">
        <v>1.6519999999999999</v>
      </c>
      <c r="Y107" s="6">
        <f t="shared" si="14"/>
        <v>4.409919649769093E-2</v>
      </c>
      <c r="AA107" t="s">
        <v>813</v>
      </c>
      <c r="AB107">
        <v>17337</v>
      </c>
      <c r="AD107" t="s">
        <v>5</v>
      </c>
      <c r="AE107">
        <v>41</v>
      </c>
      <c r="AF107">
        <v>3</v>
      </c>
      <c r="AH107" t="s">
        <v>11658</v>
      </c>
      <c r="AI107" t="s">
        <v>11657</v>
      </c>
      <c r="AK107" t="s">
        <v>11656</v>
      </c>
      <c r="AL107">
        <v>128</v>
      </c>
      <c r="AM107" s="5">
        <f t="shared" si="10"/>
        <v>4.4137931034482758</v>
      </c>
      <c r="AN107" s="4">
        <f t="shared" si="15"/>
        <v>6.6850330987478623E-3</v>
      </c>
      <c r="AO107" s="3"/>
      <c r="AP107">
        <v>0</v>
      </c>
      <c r="AR107" t="s">
        <v>1</v>
      </c>
      <c r="AT107" s="2" t="s">
        <v>0</v>
      </c>
      <c r="AU107" s="1">
        <f t="shared" si="11"/>
        <v>3.287494747800801</v>
      </c>
      <c r="AV107" s="1">
        <f t="shared" si="12"/>
        <v>2.5392114798219398</v>
      </c>
      <c r="AW107" s="1">
        <f t="shared" si="13"/>
        <v>1.790928211843078</v>
      </c>
    </row>
    <row r="108" spans="1:49" x14ac:dyDescent="0.2">
      <c r="A108">
        <v>106</v>
      </c>
      <c r="B108" t="s">
        <v>11655</v>
      </c>
      <c r="C108" t="s">
        <v>11654</v>
      </c>
      <c r="F108" t="s">
        <v>11653</v>
      </c>
      <c r="G108" t="s">
        <v>15</v>
      </c>
      <c r="H108" t="s">
        <v>14</v>
      </c>
      <c r="I108" t="s">
        <v>11652</v>
      </c>
      <c r="J108">
        <v>60015941</v>
      </c>
      <c r="K108" t="s">
        <v>11651</v>
      </c>
      <c r="L108" t="s">
        <v>11650</v>
      </c>
      <c r="M108" t="s">
        <v>10</v>
      </c>
      <c r="N108">
        <v>1</v>
      </c>
      <c r="O108" t="s">
        <v>11649</v>
      </c>
      <c r="P108">
        <v>7410065637</v>
      </c>
      <c r="Q108">
        <v>60015941</v>
      </c>
      <c r="R108" s="7">
        <v>34029</v>
      </c>
      <c r="S108" s="8">
        <f t="shared" si="8"/>
        <v>1993</v>
      </c>
      <c r="T108" s="8">
        <v>1993</v>
      </c>
      <c r="U108" s="8">
        <f t="shared" si="9"/>
        <v>29</v>
      </c>
      <c r="V108" s="7">
        <v>34029</v>
      </c>
      <c r="W108" t="s">
        <v>814</v>
      </c>
      <c r="X108" s="2">
        <v>1.6519999999999999</v>
      </c>
      <c r="Y108" s="6">
        <f t="shared" si="14"/>
        <v>4.409919649769093E-2</v>
      </c>
      <c r="AA108" t="s">
        <v>813</v>
      </c>
      <c r="AB108">
        <v>17337</v>
      </c>
      <c r="AD108" t="s">
        <v>5</v>
      </c>
      <c r="AE108">
        <v>41</v>
      </c>
      <c r="AF108">
        <v>3</v>
      </c>
      <c r="AH108" t="s">
        <v>11648</v>
      </c>
      <c r="AI108" t="s">
        <v>11647</v>
      </c>
      <c r="AK108" t="s">
        <v>11646</v>
      </c>
      <c r="AL108">
        <v>160</v>
      </c>
      <c r="AM108" s="5">
        <f t="shared" si="10"/>
        <v>5.5172413793103452</v>
      </c>
      <c r="AN108" s="4">
        <f t="shared" si="15"/>
        <v>8.3562913734348283E-3</v>
      </c>
      <c r="AO108" s="3"/>
      <c r="AP108">
        <v>0</v>
      </c>
      <c r="AR108" t="s">
        <v>1</v>
      </c>
      <c r="AT108" s="2" t="s">
        <v>0</v>
      </c>
      <c r="AU108" s="1">
        <f t="shared" si="11"/>
        <v>3.3376324960414103</v>
      </c>
      <c r="AV108" s="1">
        <f t="shared" si="12"/>
        <v>2.6227743935562877</v>
      </c>
      <c r="AW108" s="1">
        <f t="shared" si="13"/>
        <v>1.9079162910711656</v>
      </c>
    </row>
    <row r="109" spans="1:49" x14ac:dyDescent="0.2">
      <c r="A109">
        <v>107</v>
      </c>
      <c r="B109" t="s">
        <v>11645</v>
      </c>
      <c r="C109" t="s">
        <v>11644</v>
      </c>
      <c r="F109" t="s">
        <v>11643</v>
      </c>
      <c r="G109" t="s">
        <v>15</v>
      </c>
      <c r="H109" t="s">
        <v>14</v>
      </c>
      <c r="I109" t="s">
        <v>10498</v>
      </c>
      <c r="J109">
        <v>60019909</v>
      </c>
      <c r="K109" t="s">
        <v>10497</v>
      </c>
      <c r="L109" t="s">
        <v>6700</v>
      </c>
      <c r="M109" t="s">
        <v>10</v>
      </c>
      <c r="N109">
        <v>2</v>
      </c>
      <c r="O109" t="s">
        <v>11642</v>
      </c>
      <c r="P109" t="s">
        <v>11641</v>
      </c>
      <c r="Q109" t="s">
        <v>11640</v>
      </c>
      <c r="R109" s="7">
        <v>34029</v>
      </c>
      <c r="S109" s="8">
        <f t="shared" si="8"/>
        <v>1993</v>
      </c>
      <c r="T109" s="8">
        <v>1993</v>
      </c>
      <c r="U109" s="8">
        <f t="shared" si="9"/>
        <v>29</v>
      </c>
      <c r="V109" s="7">
        <v>34029</v>
      </c>
      <c r="W109" t="s">
        <v>814</v>
      </c>
      <c r="X109" s="2">
        <v>1.6519999999999999</v>
      </c>
      <c r="Y109" s="6">
        <f t="shared" si="14"/>
        <v>4.409919649769093E-2</v>
      </c>
      <c r="AA109" t="s">
        <v>813</v>
      </c>
      <c r="AB109">
        <v>17337</v>
      </c>
      <c r="AD109" t="s">
        <v>5</v>
      </c>
      <c r="AE109">
        <v>41</v>
      </c>
      <c r="AF109">
        <v>3</v>
      </c>
      <c r="AH109" t="s">
        <v>11639</v>
      </c>
      <c r="AI109" t="s">
        <v>11638</v>
      </c>
      <c r="AK109" t="s">
        <v>11637</v>
      </c>
      <c r="AL109">
        <v>5</v>
      </c>
      <c r="AM109" s="5">
        <f t="shared" si="10"/>
        <v>0.17241379310344829</v>
      </c>
      <c r="AN109" s="4">
        <f t="shared" si="15"/>
        <v>2.6113410541983838E-4</v>
      </c>
      <c r="AO109" s="3"/>
      <c r="AP109">
        <v>0</v>
      </c>
      <c r="AR109" t="s">
        <v>1</v>
      </c>
      <c r="AT109" s="2" t="s">
        <v>0</v>
      </c>
      <c r="AU109" s="1">
        <f t="shared" si="11"/>
        <v>3.0947777780009602</v>
      </c>
      <c r="AV109" s="1">
        <f t="shared" si="12"/>
        <v>2.2180165301555381</v>
      </c>
      <c r="AW109" s="1">
        <f t="shared" si="13"/>
        <v>1.3412552823101165</v>
      </c>
    </row>
    <row r="110" spans="1:49" x14ac:dyDescent="0.2">
      <c r="A110">
        <v>108</v>
      </c>
      <c r="B110" t="s">
        <v>11636</v>
      </c>
      <c r="C110" t="s">
        <v>11635</v>
      </c>
      <c r="F110" t="s">
        <v>11634</v>
      </c>
      <c r="G110" t="s">
        <v>15</v>
      </c>
      <c r="H110" t="s">
        <v>14</v>
      </c>
      <c r="I110" t="s">
        <v>11633</v>
      </c>
      <c r="J110">
        <v>60032361</v>
      </c>
      <c r="K110" t="s">
        <v>11632</v>
      </c>
      <c r="L110" t="s">
        <v>9852</v>
      </c>
      <c r="M110" t="s">
        <v>391</v>
      </c>
      <c r="N110">
        <v>2</v>
      </c>
      <c r="O110" t="s">
        <v>11631</v>
      </c>
      <c r="P110" t="s">
        <v>11630</v>
      </c>
      <c r="Q110" t="s">
        <v>11629</v>
      </c>
      <c r="R110" s="7">
        <v>34029</v>
      </c>
      <c r="S110" s="8">
        <f t="shared" si="8"/>
        <v>1993</v>
      </c>
      <c r="T110" s="8">
        <v>1993</v>
      </c>
      <c r="U110" s="8">
        <f t="shared" si="9"/>
        <v>29</v>
      </c>
      <c r="V110" s="7">
        <v>34029</v>
      </c>
      <c r="W110" t="s">
        <v>814</v>
      </c>
      <c r="X110" s="2">
        <v>1.6519999999999999</v>
      </c>
      <c r="Y110" s="6">
        <f t="shared" si="14"/>
        <v>4.409919649769093E-2</v>
      </c>
      <c r="AA110" t="s">
        <v>813</v>
      </c>
      <c r="AB110">
        <v>17337</v>
      </c>
      <c r="AD110" t="s">
        <v>5</v>
      </c>
      <c r="AE110">
        <v>41</v>
      </c>
      <c r="AF110">
        <v>3</v>
      </c>
      <c r="AH110" t="s">
        <v>11628</v>
      </c>
      <c r="AI110" t="s">
        <v>11627</v>
      </c>
      <c r="AK110" t="s">
        <v>11626</v>
      </c>
      <c r="AL110">
        <v>1</v>
      </c>
      <c r="AM110" s="5">
        <f t="shared" si="10"/>
        <v>3.4482758620689655E-2</v>
      </c>
      <c r="AN110" s="4">
        <f t="shared" si="15"/>
        <v>5.2226821083967674E-5</v>
      </c>
      <c r="AO110" s="3"/>
      <c r="AP110">
        <v>0</v>
      </c>
      <c r="AR110" t="s">
        <v>11625</v>
      </c>
      <c r="AT110" s="2" t="s">
        <v>0</v>
      </c>
      <c r="AU110" s="1">
        <f t="shared" si="11"/>
        <v>3.0885105594708842</v>
      </c>
      <c r="AV110" s="1">
        <f t="shared" si="12"/>
        <v>2.2075711659387447</v>
      </c>
      <c r="AW110" s="1">
        <f t="shared" si="13"/>
        <v>1.3266317724066055</v>
      </c>
    </row>
    <row r="111" spans="1:49" x14ac:dyDescent="0.2">
      <c r="A111">
        <v>109</v>
      </c>
      <c r="B111" t="s">
        <v>11624</v>
      </c>
      <c r="C111" t="s">
        <v>11623</v>
      </c>
      <c r="F111" t="s">
        <v>11622</v>
      </c>
      <c r="G111" t="s">
        <v>15</v>
      </c>
      <c r="H111" t="s">
        <v>14</v>
      </c>
      <c r="I111" t="s">
        <v>11621</v>
      </c>
      <c r="J111">
        <v>60021561</v>
      </c>
      <c r="K111" t="s">
        <v>11620</v>
      </c>
      <c r="L111" t="s">
        <v>11619</v>
      </c>
      <c r="M111" t="s">
        <v>59</v>
      </c>
      <c r="N111">
        <v>3</v>
      </c>
      <c r="O111" t="s">
        <v>11618</v>
      </c>
      <c r="P111" t="s">
        <v>11617</v>
      </c>
      <c r="Q111" t="s">
        <v>11616</v>
      </c>
      <c r="R111" s="7">
        <v>34029</v>
      </c>
      <c r="S111" s="8">
        <f t="shared" si="8"/>
        <v>1993</v>
      </c>
      <c r="T111" s="8">
        <v>1993</v>
      </c>
      <c r="U111" s="8">
        <f t="shared" si="9"/>
        <v>29</v>
      </c>
      <c r="V111" s="7">
        <v>34029</v>
      </c>
      <c r="W111" t="s">
        <v>2915</v>
      </c>
      <c r="X111" s="2">
        <v>0.61499999999999999</v>
      </c>
      <c r="Y111" s="6">
        <f t="shared" si="14"/>
        <v>1.6417073756706976E-2</v>
      </c>
      <c r="AA111">
        <v>1959271</v>
      </c>
      <c r="AB111">
        <v>12141</v>
      </c>
      <c r="AC111">
        <v>15729559</v>
      </c>
      <c r="AD111" t="s">
        <v>5</v>
      </c>
      <c r="AE111">
        <v>14</v>
      </c>
      <c r="AF111">
        <v>3</v>
      </c>
      <c r="AH111" t="s">
        <v>11615</v>
      </c>
      <c r="AI111" t="s">
        <v>11614</v>
      </c>
      <c r="AJ111" t="s">
        <v>11613</v>
      </c>
      <c r="AK111" t="s">
        <v>11612</v>
      </c>
      <c r="AL111">
        <v>3</v>
      </c>
      <c r="AM111" s="5">
        <f t="shared" si="10"/>
        <v>0.10344827586206896</v>
      </c>
      <c r="AN111" s="4">
        <f t="shared" si="15"/>
        <v>1.5668046325190301E-4</v>
      </c>
      <c r="AO111" s="3"/>
      <c r="AP111">
        <v>0</v>
      </c>
      <c r="AR111" t="s">
        <v>1</v>
      </c>
      <c r="AT111" s="2" t="s">
        <v>0</v>
      </c>
      <c r="AU111" s="1">
        <f t="shared" si="11"/>
        <v>1.1538955768670451</v>
      </c>
      <c r="AV111" s="1">
        <f t="shared" si="12"/>
        <v>0.8286877109979438</v>
      </c>
      <c r="AW111" s="1">
        <f t="shared" si="13"/>
        <v>0.50347984512884247</v>
      </c>
    </row>
    <row r="112" spans="1:49" x14ac:dyDescent="0.2">
      <c r="A112">
        <v>110</v>
      </c>
      <c r="B112" t="s">
        <v>11611</v>
      </c>
      <c r="C112" t="s">
        <v>11610</v>
      </c>
      <c r="F112" t="s">
        <v>11609</v>
      </c>
      <c r="G112" t="s">
        <v>15</v>
      </c>
      <c r="H112" t="s">
        <v>14</v>
      </c>
      <c r="I112" t="s">
        <v>6139</v>
      </c>
      <c r="J112">
        <v>60018306</v>
      </c>
      <c r="K112" t="s">
        <v>8258</v>
      </c>
      <c r="L112" t="s">
        <v>8257</v>
      </c>
      <c r="M112" t="s">
        <v>10</v>
      </c>
      <c r="N112">
        <v>2</v>
      </c>
      <c r="O112" t="s">
        <v>11608</v>
      </c>
      <c r="P112" t="s">
        <v>11607</v>
      </c>
      <c r="Q112" t="s">
        <v>8254</v>
      </c>
      <c r="R112" s="7">
        <v>34029</v>
      </c>
      <c r="S112" s="8">
        <f t="shared" si="8"/>
        <v>1993</v>
      </c>
      <c r="T112" s="8">
        <v>1993</v>
      </c>
      <c r="U112" s="8">
        <f t="shared" si="9"/>
        <v>29</v>
      </c>
      <c r="V112" s="7">
        <v>34029</v>
      </c>
      <c r="W112" t="s">
        <v>814</v>
      </c>
      <c r="X112" s="2">
        <v>1.6519999999999999</v>
      </c>
      <c r="Y112" s="6">
        <f t="shared" si="14"/>
        <v>4.409919649769093E-2</v>
      </c>
      <c r="AA112" t="s">
        <v>813</v>
      </c>
      <c r="AB112">
        <v>17337</v>
      </c>
      <c r="AD112" t="s">
        <v>5</v>
      </c>
      <c r="AE112">
        <v>41</v>
      </c>
      <c r="AF112">
        <v>3</v>
      </c>
      <c r="AH112" t="s">
        <v>11606</v>
      </c>
      <c r="AI112" t="s">
        <v>11605</v>
      </c>
      <c r="AK112" t="s">
        <v>11604</v>
      </c>
      <c r="AL112">
        <v>34</v>
      </c>
      <c r="AM112" s="5">
        <f t="shared" si="10"/>
        <v>1.1724137931034482</v>
      </c>
      <c r="AN112" s="4">
        <f t="shared" si="15"/>
        <v>1.7757119168549007E-3</v>
      </c>
      <c r="AO112" s="3"/>
      <c r="AP112">
        <v>0</v>
      </c>
      <c r="AR112" t="s">
        <v>1</v>
      </c>
      <c r="AT112" s="2" t="s">
        <v>0</v>
      </c>
      <c r="AU112" s="1">
        <f t="shared" si="11"/>
        <v>3.1402151123440123</v>
      </c>
      <c r="AV112" s="1">
        <f t="shared" si="12"/>
        <v>2.2937454207272916</v>
      </c>
      <c r="AW112" s="1">
        <f t="shared" si="13"/>
        <v>1.4472757291105709</v>
      </c>
    </row>
    <row r="113" spans="1:49" x14ac:dyDescent="0.2">
      <c r="A113">
        <v>111</v>
      </c>
      <c r="B113" t="s">
        <v>11603</v>
      </c>
      <c r="C113" t="s">
        <v>11602</v>
      </c>
      <c r="F113" t="s">
        <v>11601</v>
      </c>
      <c r="G113" t="s">
        <v>15</v>
      </c>
      <c r="H113" t="s">
        <v>14</v>
      </c>
      <c r="I113" t="s">
        <v>2608</v>
      </c>
      <c r="J113" t="s">
        <v>11595</v>
      </c>
      <c r="K113" t="s">
        <v>11600</v>
      </c>
      <c r="L113" t="s">
        <v>11599</v>
      </c>
      <c r="M113" t="s">
        <v>11598</v>
      </c>
      <c r="N113">
        <v>2</v>
      </c>
      <c r="O113" t="s">
        <v>11597</v>
      </c>
      <c r="P113" t="s">
        <v>11596</v>
      </c>
      <c r="Q113" t="s">
        <v>11595</v>
      </c>
      <c r="R113" s="7">
        <v>34029</v>
      </c>
      <c r="S113" s="8">
        <f t="shared" si="8"/>
        <v>1993</v>
      </c>
      <c r="T113" s="8">
        <v>1993</v>
      </c>
      <c r="U113" s="8">
        <f t="shared" si="9"/>
        <v>29</v>
      </c>
      <c r="V113" s="7">
        <v>34029</v>
      </c>
      <c r="W113" t="s">
        <v>2915</v>
      </c>
      <c r="X113" s="2">
        <v>0.61499999999999999</v>
      </c>
      <c r="Y113" s="6">
        <f t="shared" si="14"/>
        <v>1.6417073756706976E-2</v>
      </c>
      <c r="AA113">
        <v>1959271</v>
      </c>
      <c r="AB113">
        <v>12141</v>
      </c>
      <c r="AC113">
        <v>15729559</v>
      </c>
      <c r="AD113" t="s">
        <v>5</v>
      </c>
      <c r="AE113">
        <v>14</v>
      </c>
      <c r="AF113">
        <v>3</v>
      </c>
      <c r="AH113" t="s">
        <v>11594</v>
      </c>
      <c r="AI113" t="s">
        <v>11593</v>
      </c>
      <c r="AK113" t="s">
        <v>11592</v>
      </c>
      <c r="AL113">
        <v>0</v>
      </c>
      <c r="AM113" s="5">
        <f t="shared" si="10"/>
        <v>0</v>
      </c>
      <c r="AN113" s="4">
        <f t="shared" si="15"/>
        <v>0</v>
      </c>
      <c r="AO113" s="3"/>
      <c r="AP113">
        <v>0</v>
      </c>
      <c r="AR113" t="s">
        <v>1</v>
      </c>
      <c r="AT113" s="2" t="s">
        <v>0</v>
      </c>
      <c r="AU113" s="1">
        <f t="shared" si="11"/>
        <v>1.1491951629694881</v>
      </c>
      <c r="AV113" s="1">
        <f t="shared" si="12"/>
        <v>0.82085368783534873</v>
      </c>
      <c r="AW113" s="1">
        <f t="shared" si="13"/>
        <v>0.49251221270120926</v>
      </c>
    </row>
    <row r="114" spans="1:49" x14ac:dyDescent="0.2">
      <c r="A114">
        <v>112</v>
      </c>
      <c r="B114" t="s">
        <v>11591</v>
      </c>
      <c r="C114" t="s">
        <v>11590</v>
      </c>
      <c r="F114" t="s">
        <v>11589</v>
      </c>
      <c r="G114" t="s">
        <v>15</v>
      </c>
      <c r="H114" t="s">
        <v>14</v>
      </c>
      <c r="I114" t="s">
        <v>4697</v>
      </c>
      <c r="J114">
        <v>60010491</v>
      </c>
      <c r="K114" t="s">
        <v>4696</v>
      </c>
      <c r="L114" t="s">
        <v>4695</v>
      </c>
      <c r="M114" t="s">
        <v>10</v>
      </c>
      <c r="N114">
        <v>1</v>
      </c>
      <c r="O114" t="s">
        <v>11588</v>
      </c>
      <c r="P114">
        <v>7004922524</v>
      </c>
      <c r="Q114">
        <v>60010491</v>
      </c>
      <c r="R114" s="7">
        <v>34029</v>
      </c>
      <c r="S114" s="8">
        <f t="shared" si="8"/>
        <v>1993</v>
      </c>
      <c r="T114" s="8">
        <v>1993</v>
      </c>
      <c r="U114" s="8">
        <f t="shared" si="9"/>
        <v>29</v>
      </c>
      <c r="V114" s="7">
        <v>34029</v>
      </c>
      <c r="W114" t="s">
        <v>814</v>
      </c>
      <c r="X114" s="2">
        <v>1.6519999999999999</v>
      </c>
      <c r="Y114" s="6">
        <f t="shared" si="14"/>
        <v>4.409919649769093E-2</v>
      </c>
      <c r="AA114" t="s">
        <v>813</v>
      </c>
      <c r="AB114">
        <v>17337</v>
      </c>
      <c r="AD114" t="s">
        <v>5</v>
      </c>
      <c r="AE114">
        <v>41</v>
      </c>
      <c r="AF114">
        <v>3</v>
      </c>
      <c r="AH114" t="s">
        <v>11587</v>
      </c>
      <c r="AI114" t="s">
        <v>11586</v>
      </c>
      <c r="AK114" t="s">
        <v>11585</v>
      </c>
      <c r="AL114">
        <v>20</v>
      </c>
      <c r="AM114" s="5">
        <f t="shared" si="10"/>
        <v>0.68965517241379315</v>
      </c>
      <c r="AN114" s="4">
        <f t="shared" si="15"/>
        <v>1.0445364216793535E-3</v>
      </c>
      <c r="AO114" s="3"/>
      <c r="AP114">
        <v>0</v>
      </c>
      <c r="AQ114" t="s">
        <v>761</v>
      </c>
      <c r="AR114" t="s">
        <v>11584</v>
      </c>
      <c r="AS114" t="s">
        <v>759</v>
      </c>
      <c r="AT114" s="2" t="s">
        <v>0</v>
      </c>
      <c r="AU114" s="1">
        <f t="shared" si="11"/>
        <v>3.1182798474887456</v>
      </c>
      <c r="AV114" s="1">
        <f t="shared" si="12"/>
        <v>2.2571866459685141</v>
      </c>
      <c r="AW114" s="1">
        <f t="shared" si="13"/>
        <v>1.3960934444482824</v>
      </c>
    </row>
    <row r="115" spans="1:49" x14ac:dyDescent="0.2">
      <c r="A115">
        <v>113</v>
      </c>
      <c r="B115" t="s">
        <v>11583</v>
      </c>
      <c r="F115" t="s">
        <v>11582</v>
      </c>
      <c r="G115" t="s">
        <v>15</v>
      </c>
      <c r="H115" t="s">
        <v>14</v>
      </c>
      <c r="I115" t="s">
        <v>971</v>
      </c>
      <c r="J115">
        <v>60005510</v>
      </c>
      <c r="K115" t="s">
        <v>1462</v>
      </c>
      <c r="L115" t="s">
        <v>1461</v>
      </c>
      <c r="M115" t="s">
        <v>1460</v>
      </c>
      <c r="N115">
        <v>1</v>
      </c>
      <c r="O115" t="s">
        <v>1459</v>
      </c>
      <c r="P115">
        <v>7102842938</v>
      </c>
      <c r="Q115">
        <v>60005510</v>
      </c>
      <c r="R115" s="7">
        <v>34029</v>
      </c>
      <c r="S115" s="8">
        <f t="shared" si="8"/>
        <v>1993</v>
      </c>
      <c r="T115" s="8">
        <v>1993</v>
      </c>
      <c r="U115" s="8">
        <f t="shared" si="9"/>
        <v>29</v>
      </c>
      <c r="V115" s="7">
        <v>34029</v>
      </c>
      <c r="W115" t="s">
        <v>11555</v>
      </c>
      <c r="X115" s="2">
        <v>0.14099999999999999</v>
      </c>
      <c r="Y115" s="6">
        <f t="shared" si="14"/>
        <v>3.7639144710498915E-3</v>
      </c>
      <c r="AA115">
        <v>7252986</v>
      </c>
      <c r="AB115">
        <v>18037</v>
      </c>
      <c r="AD115" t="s">
        <v>5</v>
      </c>
      <c r="AE115">
        <v>13</v>
      </c>
      <c r="AF115">
        <v>1</v>
      </c>
      <c r="AH115" t="s">
        <v>2602</v>
      </c>
      <c r="AI115" t="s">
        <v>11581</v>
      </c>
      <c r="AK115" t="s">
        <v>11580</v>
      </c>
      <c r="AL115">
        <v>0</v>
      </c>
      <c r="AM115" s="5">
        <f t="shared" si="10"/>
        <v>0</v>
      </c>
      <c r="AN115" s="4">
        <f t="shared" si="15"/>
        <v>0</v>
      </c>
      <c r="AO115" s="3"/>
      <c r="AP115">
        <v>0</v>
      </c>
      <c r="AR115" t="s">
        <v>1</v>
      </c>
      <c r="AT115" s="2" t="s">
        <v>0</v>
      </c>
      <c r="AU115" s="1">
        <f t="shared" si="11"/>
        <v>0.26347401297349238</v>
      </c>
      <c r="AV115" s="1">
        <f t="shared" si="12"/>
        <v>0.18819572355249459</v>
      </c>
      <c r="AW115" s="1">
        <f t="shared" si="13"/>
        <v>0.11291743413149673</v>
      </c>
    </row>
    <row r="116" spans="1:49" x14ac:dyDescent="0.2">
      <c r="A116">
        <v>114</v>
      </c>
      <c r="B116" t="s">
        <v>11579</v>
      </c>
      <c r="C116" t="s">
        <v>11578</v>
      </c>
      <c r="F116" t="s">
        <v>11577</v>
      </c>
      <c r="G116" t="s">
        <v>15</v>
      </c>
      <c r="H116" t="s">
        <v>14</v>
      </c>
      <c r="I116" t="s">
        <v>11576</v>
      </c>
      <c r="J116">
        <v>60026553</v>
      </c>
      <c r="K116" t="s">
        <v>11575</v>
      </c>
      <c r="L116" t="s">
        <v>11574</v>
      </c>
      <c r="M116" t="s">
        <v>818</v>
      </c>
      <c r="N116">
        <v>1</v>
      </c>
      <c r="O116" t="s">
        <v>11573</v>
      </c>
      <c r="P116">
        <v>7203055132</v>
      </c>
      <c r="Q116">
        <v>60026553</v>
      </c>
      <c r="R116" s="7">
        <v>34029</v>
      </c>
      <c r="S116" s="8">
        <f t="shared" si="8"/>
        <v>1993</v>
      </c>
      <c r="T116" s="8">
        <v>1993</v>
      </c>
      <c r="U116" s="8">
        <f t="shared" si="9"/>
        <v>29</v>
      </c>
      <c r="V116" s="7">
        <v>34029</v>
      </c>
      <c r="W116" t="s">
        <v>814</v>
      </c>
      <c r="X116" s="2">
        <v>1.6519999999999999</v>
      </c>
      <c r="Y116" s="6">
        <f t="shared" si="14"/>
        <v>4.409919649769093E-2</v>
      </c>
      <c r="AA116" t="s">
        <v>813</v>
      </c>
      <c r="AB116">
        <v>17337</v>
      </c>
      <c r="AD116" t="s">
        <v>5</v>
      </c>
      <c r="AE116">
        <v>41</v>
      </c>
      <c r="AF116">
        <v>3</v>
      </c>
      <c r="AH116" t="s">
        <v>11572</v>
      </c>
      <c r="AI116" t="s">
        <v>11571</v>
      </c>
      <c r="AK116" t="s">
        <v>11570</v>
      </c>
      <c r="AL116">
        <v>93</v>
      </c>
      <c r="AM116" s="5">
        <f t="shared" si="10"/>
        <v>3.2068965517241379</v>
      </c>
      <c r="AN116" s="4">
        <f t="shared" si="15"/>
        <v>4.8570943608089931E-3</v>
      </c>
      <c r="AO116" s="3"/>
      <c r="AP116">
        <v>0</v>
      </c>
      <c r="AR116" t="s">
        <v>1</v>
      </c>
      <c r="AT116" s="2" t="s">
        <v>0</v>
      </c>
      <c r="AU116" s="1">
        <f t="shared" si="11"/>
        <v>3.2326565856626348</v>
      </c>
      <c r="AV116" s="1">
        <f t="shared" si="12"/>
        <v>2.4478145429249962</v>
      </c>
      <c r="AW116" s="1">
        <f t="shared" si="13"/>
        <v>1.6629725001873572</v>
      </c>
    </row>
    <row r="117" spans="1:49" x14ac:dyDescent="0.2">
      <c r="A117">
        <v>115</v>
      </c>
      <c r="B117" t="s">
        <v>11569</v>
      </c>
      <c r="C117" t="s">
        <v>11568</v>
      </c>
      <c r="F117" t="s">
        <v>11567</v>
      </c>
      <c r="G117" t="s">
        <v>15</v>
      </c>
      <c r="H117" t="s">
        <v>14</v>
      </c>
      <c r="I117" t="s">
        <v>11566</v>
      </c>
      <c r="J117">
        <v>60000854</v>
      </c>
      <c r="K117" t="s">
        <v>7310</v>
      </c>
      <c r="L117" t="s">
        <v>7309</v>
      </c>
      <c r="M117" t="s">
        <v>10</v>
      </c>
      <c r="N117">
        <v>1</v>
      </c>
      <c r="O117" t="s">
        <v>11565</v>
      </c>
      <c r="P117">
        <v>6601912931</v>
      </c>
      <c r="Q117">
        <v>60000854</v>
      </c>
      <c r="R117" s="7">
        <v>34029</v>
      </c>
      <c r="S117" s="8">
        <f t="shared" si="8"/>
        <v>1993</v>
      </c>
      <c r="T117" s="8">
        <v>1993</v>
      </c>
      <c r="U117" s="8">
        <f t="shared" si="9"/>
        <v>29</v>
      </c>
      <c r="V117" s="7">
        <v>34029</v>
      </c>
      <c r="W117" t="s">
        <v>814</v>
      </c>
      <c r="X117" s="2">
        <v>1.6519999999999999</v>
      </c>
      <c r="Y117" s="6">
        <f t="shared" si="14"/>
        <v>4.409919649769093E-2</v>
      </c>
      <c r="AA117" t="s">
        <v>813</v>
      </c>
      <c r="AB117">
        <v>17337</v>
      </c>
      <c r="AD117" t="s">
        <v>5</v>
      </c>
      <c r="AE117">
        <v>41</v>
      </c>
      <c r="AF117">
        <v>3</v>
      </c>
      <c r="AH117" t="s">
        <v>11564</v>
      </c>
      <c r="AI117" t="s">
        <v>11563</v>
      </c>
      <c r="AK117" t="s">
        <v>11562</v>
      </c>
      <c r="AL117">
        <v>6</v>
      </c>
      <c r="AM117" s="5">
        <f t="shared" si="10"/>
        <v>0.20689655172413793</v>
      </c>
      <c r="AN117" s="4">
        <f t="shared" si="15"/>
        <v>3.1336092650380602E-4</v>
      </c>
      <c r="AO117" s="3"/>
      <c r="AP117">
        <v>0</v>
      </c>
      <c r="AR117" t="s">
        <v>1</v>
      </c>
      <c r="AT117" s="2" t="s">
        <v>0</v>
      </c>
      <c r="AU117" s="1">
        <f t="shared" si="11"/>
        <v>3.096344582633479</v>
      </c>
      <c r="AV117" s="1">
        <f t="shared" si="12"/>
        <v>2.2206278712097367</v>
      </c>
      <c r="AW117" s="1">
        <f t="shared" si="13"/>
        <v>1.3449111597859942</v>
      </c>
    </row>
    <row r="118" spans="1:49" x14ac:dyDescent="0.2">
      <c r="A118">
        <v>116</v>
      </c>
      <c r="B118" t="s">
        <v>11561</v>
      </c>
      <c r="F118" t="s">
        <v>11560</v>
      </c>
      <c r="G118" t="s">
        <v>15</v>
      </c>
      <c r="H118" t="s">
        <v>14</v>
      </c>
      <c r="I118" t="s">
        <v>11559</v>
      </c>
      <c r="J118">
        <v>60011664</v>
      </c>
      <c r="K118" t="s">
        <v>11558</v>
      </c>
      <c r="L118" t="s">
        <v>11557</v>
      </c>
      <c r="M118" t="s">
        <v>818</v>
      </c>
      <c r="N118">
        <v>1</v>
      </c>
      <c r="O118" t="s">
        <v>11556</v>
      </c>
      <c r="P118">
        <v>6701712174</v>
      </c>
      <c r="Q118">
        <v>60011664</v>
      </c>
      <c r="R118" s="7">
        <v>34029</v>
      </c>
      <c r="S118" s="8">
        <f t="shared" si="8"/>
        <v>1993</v>
      </c>
      <c r="T118" s="8">
        <v>1993</v>
      </c>
      <c r="U118" s="8">
        <f t="shared" si="9"/>
        <v>29</v>
      </c>
      <c r="V118" s="7">
        <v>34029</v>
      </c>
      <c r="W118" t="s">
        <v>11555</v>
      </c>
      <c r="X118" s="2">
        <v>0.14099999999999999</v>
      </c>
      <c r="Y118" s="6">
        <f t="shared" si="14"/>
        <v>3.7639144710498915E-3</v>
      </c>
      <c r="AA118">
        <v>7252986</v>
      </c>
      <c r="AB118">
        <v>18037</v>
      </c>
      <c r="AD118" t="s">
        <v>5</v>
      </c>
      <c r="AE118">
        <v>13</v>
      </c>
      <c r="AF118">
        <v>1</v>
      </c>
      <c r="AH118" t="s">
        <v>11554</v>
      </c>
      <c r="AI118" t="s">
        <v>11553</v>
      </c>
      <c r="AK118" t="s">
        <v>11552</v>
      </c>
      <c r="AL118">
        <v>1</v>
      </c>
      <c r="AM118" s="5">
        <f t="shared" si="10"/>
        <v>3.4482758620689655E-2</v>
      </c>
      <c r="AN118" s="4">
        <f t="shared" si="15"/>
        <v>5.2226821083967674E-5</v>
      </c>
      <c r="AO118" s="3"/>
      <c r="AP118">
        <v>0</v>
      </c>
      <c r="AR118" t="s">
        <v>1</v>
      </c>
      <c r="AT118" s="2" t="s">
        <v>0</v>
      </c>
      <c r="AU118" s="1">
        <f t="shared" si="11"/>
        <v>0.26504081760601139</v>
      </c>
      <c r="AV118" s="1">
        <f t="shared" si="12"/>
        <v>0.19080706460669294</v>
      </c>
      <c r="AW118" s="1">
        <f t="shared" si="13"/>
        <v>0.11657331160737447</v>
      </c>
    </row>
    <row r="119" spans="1:49" x14ac:dyDescent="0.2">
      <c r="A119">
        <v>117</v>
      </c>
      <c r="B119" t="s">
        <v>11551</v>
      </c>
      <c r="C119" t="s">
        <v>11550</v>
      </c>
      <c r="F119" t="s">
        <v>11549</v>
      </c>
      <c r="G119" t="s">
        <v>15</v>
      </c>
      <c r="H119" t="s">
        <v>14</v>
      </c>
      <c r="I119" t="s">
        <v>8077</v>
      </c>
      <c r="J119">
        <v>112786049</v>
      </c>
      <c r="K119" t="s">
        <v>11548</v>
      </c>
      <c r="L119" t="s">
        <v>3944</v>
      </c>
      <c r="M119" t="s">
        <v>10</v>
      </c>
      <c r="N119">
        <v>2</v>
      </c>
      <c r="O119" t="s">
        <v>8076</v>
      </c>
      <c r="P119" t="s">
        <v>8075</v>
      </c>
      <c r="Q119" t="s">
        <v>11547</v>
      </c>
      <c r="R119" s="7">
        <v>34029</v>
      </c>
      <c r="S119" s="8">
        <f t="shared" si="8"/>
        <v>1993</v>
      </c>
      <c r="T119" s="8">
        <v>1993</v>
      </c>
      <c r="U119" s="8">
        <f t="shared" si="9"/>
        <v>29</v>
      </c>
      <c r="V119" s="7">
        <v>34029</v>
      </c>
      <c r="W119" t="s">
        <v>814</v>
      </c>
      <c r="X119" s="2">
        <v>1.6519999999999999</v>
      </c>
      <c r="Y119" s="6">
        <f t="shared" si="14"/>
        <v>4.409919649769093E-2</v>
      </c>
      <c r="AA119" t="s">
        <v>813</v>
      </c>
      <c r="AB119">
        <v>17337</v>
      </c>
      <c r="AD119" t="s">
        <v>5</v>
      </c>
      <c r="AE119">
        <v>41</v>
      </c>
      <c r="AF119">
        <v>3</v>
      </c>
      <c r="AH119" t="s">
        <v>11546</v>
      </c>
      <c r="AI119" t="s">
        <v>11545</v>
      </c>
      <c r="AK119" t="s">
        <v>11544</v>
      </c>
      <c r="AL119">
        <v>7</v>
      </c>
      <c r="AM119" s="5">
        <f t="shared" si="10"/>
        <v>0.2413793103448276</v>
      </c>
      <c r="AN119" s="4">
        <f t="shared" si="15"/>
        <v>3.655877475877737E-4</v>
      </c>
      <c r="AO119" s="3"/>
      <c r="AP119">
        <v>0</v>
      </c>
      <c r="AR119" t="s">
        <v>1</v>
      </c>
      <c r="AT119" s="2" t="s">
        <v>0</v>
      </c>
      <c r="AU119" s="1">
        <f t="shared" si="11"/>
        <v>3.0979113872659982</v>
      </c>
      <c r="AV119" s="1">
        <f t="shared" si="12"/>
        <v>2.2232392122639353</v>
      </c>
      <c r="AW119" s="1">
        <f t="shared" si="13"/>
        <v>1.3485670372618719</v>
      </c>
    </row>
    <row r="120" spans="1:49" x14ac:dyDescent="0.2">
      <c r="A120">
        <v>118</v>
      </c>
      <c r="B120" t="s">
        <v>11543</v>
      </c>
      <c r="C120" t="s">
        <v>11542</v>
      </c>
      <c r="F120" t="s">
        <v>11541</v>
      </c>
      <c r="G120" t="s">
        <v>15</v>
      </c>
      <c r="H120" t="s">
        <v>14</v>
      </c>
      <c r="I120" t="s">
        <v>11540</v>
      </c>
      <c r="J120">
        <v>60032350</v>
      </c>
      <c r="K120" t="s">
        <v>3159</v>
      </c>
      <c r="L120" t="s">
        <v>3158</v>
      </c>
      <c r="M120" t="s">
        <v>2423</v>
      </c>
      <c r="N120">
        <v>2</v>
      </c>
      <c r="O120" t="s">
        <v>11539</v>
      </c>
      <c r="P120" t="s">
        <v>11538</v>
      </c>
      <c r="Q120" t="s">
        <v>11537</v>
      </c>
      <c r="R120" s="7">
        <v>34029</v>
      </c>
      <c r="S120" s="8">
        <f t="shared" si="8"/>
        <v>1993</v>
      </c>
      <c r="T120" s="8">
        <v>1993</v>
      </c>
      <c r="U120" s="8">
        <f t="shared" si="9"/>
        <v>29</v>
      </c>
      <c r="V120" s="7">
        <v>34029</v>
      </c>
      <c r="W120" t="s">
        <v>814</v>
      </c>
      <c r="X120" s="2">
        <v>1.6519999999999999</v>
      </c>
      <c r="Y120" s="6">
        <f t="shared" si="14"/>
        <v>4.409919649769093E-2</v>
      </c>
      <c r="AA120" t="s">
        <v>813</v>
      </c>
      <c r="AB120">
        <v>17337</v>
      </c>
      <c r="AD120" t="s">
        <v>5</v>
      </c>
      <c r="AE120">
        <v>41</v>
      </c>
      <c r="AF120">
        <v>3</v>
      </c>
      <c r="AH120" t="s">
        <v>8735</v>
      </c>
      <c r="AI120" t="s">
        <v>11536</v>
      </c>
      <c r="AK120" t="s">
        <v>11535</v>
      </c>
      <c r="AL120">
        <v>32</v>
      </c>
      <c r="AM120" s="5">
        <f t="shared" si="10"/>
        <v>1.103448275862069</v>
      </c>
      <c r="AN120" s="4">
        <f t="shared" si="15"/>
        <v>1.6712582746869656E-3</v>
      </c>
      <c r="AO120" s="3"/>
      <c r="AP120">
        <v>0</v>
      </c>
      <c r="AR120" t="s">
        <v>1</v>
      </c>
      <c r="AT120" s="2" t="s">
        <v>0</v>
      </c>
      <c r="AU120" s="1">
        <f t="shared" si="11"/>
        <v>3.1370815030789743</v>
      </c>
      <c r="AV120" s="1">
        <f t="shared" si="12"/>
        <v>2.2885227386188944</v>
      </c>
      <c r="AW120" s="1">
        <f t="shared" si="13"/>
        <v>1.4399639741588155</v>
      </c>
    </row>
    <row r="121" spans="1:49" x14ac:dyDescent="0.2">
      <c r="A121">
        <v>119</v>
      </c>
      <c r="B121" t="s">
        <v>11534</v>
      </c>
      <c r="C121" t="s">
        <v>11533</v>
      </c>
      <c r="F121" t="s">
        <v>11532</v>
      </c>
      <c r="G121" t="s">
        <v>15</v>
      </c>
      <c r="H121" t="s">
        <v>14</v>
      </c>
      <c r="I121" t="s">
        <v>11531</v>
      </c>
      <c r="J121">
        <v>60031101</v>
      </c>
      <c r="K121" t="s">
        <v>495</v>
      </c>
      <c r="L121" t="s">
        <v>494</v>
      </c>
      <c r="M121" t="s">
        <v>493</v>
      </c>
      <c r="N121">
        <v>3</v>
      </c>
      <c r="O121" t="s">
        <v>11530</v>
      </c>
      <c r="P121" t="s">
        <v>11529</v>
      </c>
      <c r="Q121" t="s">
        <v>11528</v>
      </c>
      <c r="R121" s="7">
        <v>34029</v>
      </c>
      <c r="S121" s="8">
        <f t="shared" si="8"/>
        <v>1993</v>
      </c>
      <c r="T121" s="8">
        <v>1993</v>
      </c>
      <c r="U121" s="8">
        <f t="shared" si="9"/>
        <v>29</v>
      </c>
      <c r="V121" s="7">
        <v>34029</v>
      </c>
      <c r="W121" t="s">
        <v>814</v>
      </c>
      <c r="X121" s="2">
        <v>1.6519999999999999</v>
      </c>
      <c r="Y121" s="6">
        <f t="shared" si="14"/>
        <v>4.409919649769093E-2</v>
      </c>
      <c r="AA121" t="s">
        <v>813</v>
      </c>
      <c r="AB121">
        <v>17337</v>
      </c>
      <c r="AD121" t="s">
        <v>5</v>
      </c>
      <c r="AE121">
        <v>41</v>
      </c>
      <c r="AF121">
        <v>3</v>
      </c>
      <c r="AH121" t="s">
        <v>11527</v>
      </c>
      <c r="AI121" t="s">
        <v>11526</v>
      </c>
      <c r="AK121" t="s">
        <v>11525</v>
      </c>
      <c r="AL121">
        <v>10</v>
      </c>
      <c r="AM121" s="5">
        <f t="shared" si="10"/>
        <v>0.34482758620689657</v>
      </c>
      <c r="AN121" s="4">
        <f t="shared" si="15"/>
        <v>5.2226821083967677E-4</v>
      </c>
      <c r="AO121" s="3"/>
      <c r="AP121">
        <v>0</v>
      </c>
      <c r="AR121" t="s">
        <v>1</v>
      </c>
      <c r="AT121" s="2" t="s">
        <v>0</v>
      </c>
      <c r="AU121" s="1">
        <f t="shared" si="11"/>
        <v>3.1026118011635551</v>
      </c>
      <c r="AV121" s="1">
        <f t="shared" si="12"/>
        <v>2.2310732354265306</v>
      </c>
      <c r="AW121" s="1">
        <f t="shared" si="13"/>
        <v>1.3595346696895052</v>
      </c>
    </row>
    <row r="122" spans="1:49" x14ac:dyDescent="0.2">
      <c r="A122">
        <v>120</v>
      </c>
      <c r="B122" t="s">
        <v>11524</v>
      </c>
      <c r="C122" t="s">
        <v>11523</v>
      </c>
      <c r="F122" t="s">
        <v>11522</v>
      </c>
      <c r="G122" t="s">
        <v>15</v>
      </c>
      <c r="H122" t="s">
        <v>14</v>
      </c>
      <c r="I122" t="s">
        <v>11521</v>
      </c>
      <c r="J122">
        <v>60031707</v>
      </c>
      <c r="K122" t="s">
        <v>2804</v>
      </c>
      <c r="L122" t="s">
        <v>2803</v>
      </c>
      <c r="M122" t="s">
        <v>10</v>
      </c>
      <c r="N122">
        <v>6</v>
      </c>
      <c r="O122" t="s">
        <v>11520</v>
      </c>
      <c r="P122" t="s">
        <v>11519</v>
      </c>
      <c r="Q122" t="s">
        <v>11518</v>
      </c>
      <c r="R122" s="7">
        <v>34029</v>
      </c>
      <c r="S122" s="8">
        <f t="shared" si="8"/>
        <v>1993</v>
      </c>
      <c r="T122" s="8">
        <v>1993</v>
      </c>
      <c r="U122" s="8">
        <f t="shared" si="9"/>
        <v>29</v>
      </c>
      <c r="V122" s="7">
        <v>34029</v>
      </c>
      <c r="W122" t="s">
        <v>814</v>
      </c>
      <c r="X122" s="2">
        <v>1.6519999999999999</v>
      </c>
      <c r="Y122" s="6">
        <f t="shared" si="14"/>
        <v>4.409919649769093E-2</v>
      </c>
      <c r="AA122" t="s">
        <v>813</v>
      </c>
      <c r="AB122">
        <v>17337</v>
      </c>
      <c r="AD122" t="s">
        <v>5</v>
      </c>
      <c r="AE122">
        <v>41</v>
      </c>
      <c r="AF122">
        <v>3</v>
      </c>
      <c r="AH122" t="s">
        <v>11517</v>
      </c>
      <c r="AI122" t="s">
        <v>11516</v>
      </c>
      <c r="AK122" t="s">
        <v>11515</v>
      </c>
      <c r="AL122">
        <v>0</v>
      </c>
      <c r="AM122" s="5">
        <f t="shared" si="10"/>
        <v>0</v>
      </c>
      <c r="AN122" s="4">
        <f t="shared" si="15"/>
        <v>0</v>
      </c>
      <c r="AO122" s="3"/>
      <c r="AP122">
        <v>0</v>
      </c>
      <c r="AR122" t="s">
        <v>1</v>
      </c>
      <c r="AT122" s="2" t="s">
        <v>0</v>
      </c>
      <c r="AU122" s="1">
        <f t="shared" si="11"/>
        <v>3.0869437548383649</v>
      </c>
      <c r="AV122" s="1">
        <f t="shared" si="12"/>
        <v>2.2049598248845466</v>
      </c>
      <c r="AW122" s="1">
        <f t="shared" si="13"/>
        <v>1.3229758949307278</v>
      </c>
    </row>
    <row r="123" spans="1:49" x14ac:dyDescent="0.2">
      <c r="A123">
        <v>121</v>
      </c>
      <c r="B123" t="s">
        <v>11514</v>
      </c>
      <c r="C123" t="s">
        <v>11513</v>
      </c>
      <c r="F123" t="s">
        <v>11512</v>
      </c>
      <c r="G123" t="s">
        <v>15</v>
      </c>
      <c r="H123" t="s">
        <v>14</v>
      </c>
      <c r="I123" t="s">
        <v>10552</v>
      </c>
      <c r="J123">
        <v>60005429</v>
      </c>
      <c r="K123" t="s">
        <v>2412</v>
      </c>
      <c r="L123" t="s">
        <v>2411</v>
      </c>
      <c r="M123" t="s">
        <v>1909</v>
      </c>
      <c r="N123">
        <v>3</v>
      </c>
      <c r="O123" t="s">
        <v>11511</v>
      </c>
      <c r="P123" t="s">
        <v>11510</v>
      </c>
      <c r="Q123" t="s">
        <v>2408</v>
      </c>
      <c r="R123" s="7">
        <v>34029</v>
      </c>
      <c r="S123" s="8">
        <f t="shared" si="8"/>
        <v>1993</v>
      </c>
      <c r="T123" s="8">
        <v>1993</v>
      </c>
      <c r="U123" s="8">
        <f t="shared" si="9"/>
        <v>29</v>
      </c>
      <c r="V123" s="7">
        <v>34029</v>
      </c>
      <c r="W123" t="s">
        <v>814</v>
      </c>
      <c r="X123" s="2">
        <v>1.6519999999999999</v>
      </c>
      <c r="Y123" s="6">
        <f t="shared" si="14"/>
        <v>4.409919649769093E-2</v>
      </c>
      <c r="AA123" t="s">
        <v>813</v>
      </c>
      <c r="AB123">
        <v>17337</v>
      </c>
      <c r="AD123" t="s">
        <v>5</v>
      </c>
      <c r="AE123">
        <v>41</v>
      </c>
      <c r="AF123">
        <v>3</v>
      </c>
      <c r="AH123" t="s">
        <v>11509</v>
      </c>
      <c r="AI123" t="s">
        <v>11508</v>
      </c>
      <c r="AK123" t="s">
        <v>11507</v>
      </c>
      <c r="AL123">
        <v>1</v>
      </c>
      <c r="AM123" s="5">
        <f t="shared" si="10"/>
        <v>3.4482758620689655E-2</v>
      </c>
      <c r="AN123" s="4">
        <f t="shared" si="15"/>
        <v>5.2226821083967674E-5</v>
      </c>
      <c r="AO123" s="3"/>
      <c r="AP123">
        <v>0</v>
      </c>
      <c r="AR123" t="s">
        <v>11506</v>
      </c>
      <c r="AT123" s="2" t="s">
        <v>0</v>
      </c>
      <c r="AU123" s="1">
        <f t="shared" si="11"/>
        <v>3.0885105594708842</v>
      </c>
      <c r="AV123" s="1">
        <f t="shared" si="12"/>
        <v>2.2075711659387447</v>
      </c>
      <c r="AW123" s="1">
        <f t="shared" si="13"/>
        <v>1.3266317724066055</v>
      </c>
    </row>
    <row r="124" spans="1:49" x14ac:dyDescent="0.2">
      <c r="A124">
        <v>122</v>
      </c>
      <c r="B124" t="s">
        <v>11505</v>
      </c>
      <c r="C124" t="s">
        <v>11504</v>
      </c>
      <c r="F124" t="s">
        <v>11503</v>
      </c>
      <c r="G124" t="s">
        <v>15</v>
      </c>
      <c r="H124" t="s">
        <v>14</v>
      </c>
      <c r="I124" t="s">
        <v>11502</v>
      </c>
      <c r="J124">
        <v>60000990</v>
      </c>
      <c r="K124" t="s">
        <v>2755</v>
      </c>
      <c r="L124" t="s">
        <v>2754</v>
      </c>
      <c r="M124" t="s">
        <v>120</v>
      </c>
      <c r="N124">
        <v>3</v>
      </c>
      <c r="O124" t="s">
        <v>11501</v>
      </c>
      <c r="P124" t="s">
        <v>11500</v>
      </c>
      <c r="Q124" t="s">
        <v>11499</v>
      </c>
      <c r="R124" s="7">
        <v>34029</v>
      </c>
      <c r="S124" s="8">
        <f t="shared" si="8"/>
        <v>1993</v>
      </c>
      <c r="T124" s="8">
        <v>1993</v>
      </c>
      <c r="U124" s="8">
        <f t="shared" si="9"/>
        <v>29</v>
      </c>
      <c r="V124" s="7">
        <v>34029</v>
      </c>
      <c r="W124" t="s">
        <v>814</v>
      </c>
      <c r="X124" s="2">
        <v>1.6519999999999999</v>
      </c>
      <c r="Y124" s="6">
        <f t="shared" si="14"/>
        <v>4.409919649769093E-2</v>
      </c>
      <c r="AA124" t="s">
        <v>813</v>
      </c>
      <c r="AB124">
        <v>17337</v>
      </c>
      <c r="AD124" t="s">
        <v>5</v>
      </c>
      <c r="AE124">
        <v>41</v>
      </c>
      <c r="AF124">
        <v>3</v>
      </c>
      <c r="AH124" t="s">
        <v>11498</v>
      </c>
      <c r="AI124" t="s">
        <v>11497</v>
      </c>
      <c r="AK124" t="s">
        <v>11496</v>
      </c>
      <c r="AL124">
        <v>3</v>
      </c>
      <c r="AM124" s="5">
        <f t="shared" si="10"/>
        <v>0.10344827586206896</v>
      </c>
      <c r="AN124" s="4">
        <f t="shared" si="15"/>
        <v>1.5668046325190301E-4</v>
      </c>
      <c r="AO124" s="3"/>
      <c r="AP124">
        <v>0</v>
      </c>
      <c r="AQ124" t="s">
        <v>11439</v>
      </c>
      <c r="AR124" t="s">
        <v>1</v>
      </c>
      <c r="AS124" t="s">
        <v>11438</v>
      </c>
      <c r="AT124" s="2" t="s">
        <v>0</v>
      </c>
      <c r="AU124" s="1">
        <f t="shared" si="11"/>
        <v>3.0916441687359222</v>
      </c>
      <c r="AV124" s="1">
        <f t="shared" si="12"/>
        <v>2.2127938480471414</v>
      </c>
      <c r="AW124" s="1">
        <f t="shared" si="13"/>
        <v>1.3339435273583611</v>
      </c>
    </row>
    <row r="125" spans="1:49" x14ac:dyDescent="0.2">
      <c r="A125">
        <v>123</v>
      </c>
      <c r="B125" t="s">
        <v>11495</v>
      </c>
      <c r="F125" t="s">
        <v>11494</v>
      </c>
      <c r="G125" t="s">
        <v>15</v>
      </c>
      <c r="H125" t="s">
        <v>14</v>
      </c>
      <c r="I125" t="s">
        <v>11493</v>
      </c>
      <c r="N125">
        <v>1</v>
      </c>
      <c r="O125" t="s">
        <v>11492</v>
      </c>
      <c r="P125">
        <v>6603044380</v>
      </c>
      <c r="R125" s="7">
        <v>34029</v>
      </c>
      <c r="S125" s="8">
        <f t="shared" si="8"/>
        <v>1993</v>
      </c>
      <c r="T125" s="8">
        <v>1993</v>
      </c>
      <c r="U125" s="8">
        <f t="shared" si="9"/>
        <v>29</v>
      </c>
      <c r="V125" s="7">
        <v>34029</v>
      </c>
      <c r="W125" t="s">
        <v>1769</v>
      </c>
      <c r="X125" s="2">
        <v>0.14099999999999999</v>
      </c>
      <c r="Y125" s="6">
        <f t="shared" si="14"/>
        <v>3.7639144710498915E-3</v>
      </c>
      <c r="AA125">
        <v>402508</v>
      </c>
      <c r="AB125">
        <v>20868</v>
      </c>
      <c r="AD125" t="s">
        <v>5</v>
      </c>
      <c r="AE125">
        <v>48</v>
      </c>
      <c r="AF125">
        <v>3</v>
      </c>
      <c r="AI125" t="s">
        <v>11491</v>
      </c>
      <c r="AK125" t="s">
        <v>11490</v>
      </c>
      <c r="AL125">
        <v>0</v>
      </c>
      <c r="AM125" s="5">
        <f t="shared" si="10"/>
        <v>0</v>
      </c>
      <c r="AN125" s="4">
        <f t="shared" si="15"/>
        <v>0</v>
      </c>
      <c r="AO125" s="3"/>
      <c r="AP125">
        <v>0</v>
      </c>
      <c r="AR125" t="s">
        <v>1</v>
      </c>
      <c r="AT125" s="2" t="s">
        <v>0</v>
      </c>
      <c r="AU125" s="1">
        <f t="shared" si="11"/>
        <v>0.26347401297349238</v>
      </c>
      <c r="AV125" s="1">
        <f t="shared" si="12"/>
        <v>0.18819572355249459</v>
      </c>
      <c r="AW125" s="1">
        <f t="shared" si="13"/>
        <v>0.11291743413149673</v>
      </c>
    </row>
    <row r="126" spans="1:49" x14ac:dyDescent="0.2">
      <c r="A126">
        <v>124</v>
      </c>
      <c r="B126" t="s">
        <v>11489</v>
      </c>
      <c r="F126" t="s">
        <v>11488</v>
      </c>
      <c r="G126" t="s">
        <v>15</v>
      </c>
      <c r="H126" t="s">
        <v>14</v>
      </c>
      <c r="I126" t="s">
        <v>11487</v>
      </c>
      <c r="N126">
        <v>3</v>
      </c>
      <c r="O126" t="s">
        <v>11486</v>
      </c>
      <c r="P126" t="s">
        <v>11485</v>
      </c>
      <c r="Q126" t="s">
        <v>2929</v>
      </c>
      <c r="R126" s="7">
        <v>34029</v>
      </c>
      <c r="S126" s="8">
        <f t="shared" si="8"/>
        <v>1993</v>
      </c>
      <c r="T126" s="8">
        <v>1993</v>
      </c>
      <c r="U126" s="8">
        <f t="shared" si="9"/>
        <v>29</v>
      </c>
      <c r="V126" s="7">
        <v>34029</v>
      </c>
      <c r="W126" t="s">
        <v>1769</v>
      </c>
      <c r="X126" s="2">
        <v>0.14099999999999999</v>
      </c>
      <c r="Y126" s="6">
        <f t="shared" si="14"/>
        <v>3.7639144710498915E-3</v>
      </c>
      <c r="AA126">
        <v>402508</v>
      </c>
      <c r="AB126">
        <v>20868</v>
      </c>
      <c r="AD126" t="s">
        <v>5</v>
      </c>
      <c r="AE126">
        <v>48</v>
      </c>
      <c r="AF126">
        <v>3</v>
      </c>
      <c r="AH126" t="s">
        <v>11484</v>
      </c>
      <c r="AI126" t="s">
        <v>11483</v>
      </c>
      <c r="AK126" t="s">
        <v>11482</v>
      </c>
      <c r="AL126">
        <v>0</v>
      </c>
      <c r="AM126" s="5">
        <f t="shared" si="10"/>
        <v>0</v>
      </c>
      <c r="AN126" s="4">
        <f t="shared" si="15"/>
        <v>0</v>
      </c>
      <c r="AO126" s="3"/>
      <c r="AP126">
        <v>0</v>
      </c>
      <c r="AR126" t="s">
        <v>1</v>
      </c>
      <c r="AT126" s="2" t="s">
        <v>0</v>
      </c>
      <c r="AU126" s="1">
        <f t="shared" si="11"/>
        <v>0.26347401297349238</v>
      </c>
      <c r="AV126" s="1">
        <f t="shared" si="12"/>
        <v>0.18819572355249459</v>
      </c>
      <c r="AW126" s="1">
        <f t="shared" si="13"/>
        <v>0.11291743413149673</v>
      </c>
    </row>
    <row r="127" spans="1:49" x14ac:dyDescent="0.2">
      <c r="A127">
        <v>125</v>
      </c>
      <c r="B127" t="s">
        <v>11481</v>
      </c>
      <c r="F127" t="s">
        <v>11480</v>
      </c>
      <c r="G127" t="s">
        <v>15</v>
      </c>
      <c r="H127" t="s">
        <v>14</v>
      </c>
      <c r="I127" t="s">
        <v>11479</v>
      </c>
      <c r="N127">
        <v>3</v>
      </c>
      <c r="O127" t="s">
        <v>11478</v>
      </c>
      <c r="P127" t="s">
        <v>11477</v>
      </c>
      <c r="Q127" t="s">
        <v>2929</v>
      </c>
      <c r="R127" s="7">
        <v>34029</v>
      </c>
      <c r="S127" s="8">
        <f t="shared" si="8"/>
        <v>1993</v>
      </c>
      <c r="T127" s="8">
        <v>1993</v>
      </c>
      <c r="U127" s="8">
        <f t="shared" si="9"/>
        <v>29</v>
      </c>
      <c r="V127" s="7">
        <v>34029</v>
      </c>
      <c r="W127" t="s">
        <v>1769</v>
      </c>
      <c r="X127" s="2">
        <v>0.14099999999999999</v>
      </c>
      <c r="Y127" s="6">
        <f t="shared" si="14"/>
        <v>3.7639144710498915E-3</v>
      </c>
      <c r="AA127">
        <v>402508</v>
      </c>
      <c r="AB127">
        <v>20868</v>
      </c>
      <c r="AD127" t="s">
        <v>5</v>
      </c>
      <c r="AE127">
        <v>48</v>
      </c>
      <c r="AF127">
        <v>3</v>
      </c>
      <c r="AH127" t="s">
        <v>11476</v>
      </c>
      <c r="AI127" t="s">
        <v>11475</v>
      </c>
      <c r="AK127" t="s">
        <v>11474</v>
      </c>
      <c r="AL127">
        <v>0</v>
      </c>
      <c r="AM127" s="5">
        <f t="shared" si="10"/>
        <v>0</v>
      </c>
      <c r="AN127" s="4">
        <f t="shared" si="15"/>
        <v>0</v>
      </c>
      <c r="AO127" s="3"/>
      <c r="AP127">
        <v>0</v>
      </c>
      <c r="AR127" t="s">
        <v>1</v>
      </c>
      <c r="AT127" s="2" t="s">
        <v>0</v>
      </c>
      <c r="AU127" s="1">
        <f t="shared" si="11"/>
        <v>0.26347401297349238</v>
      </c>
      <c r="AV127" s="1">
        <f t="shared" si="12"/>
        <v>0.18819572355249459</v>
      </c>
      <c r="AW127" s="1">
        <f t="shared" si="13"/>
        <v>0.11291743413149673</v>
      </c>
    </row>
    <row r="128" spans="1:49" x14ac:dyDescent="0.2">
      <c r="A128">
        <v>126</v>
      </c>
      <c r="B128" t="s">
        <v>11473</v>
      </c>
      <c r="F128" t="s">
        <v>11472</v>
      </c>
      <c r="G128" t="s">
        <v>15</v>
      </c>
      <c r="H128" t="s">
        <v>14</v>
      </c>
      <c r="I128" t="s">
        <v>11471</v>
      </c>
      <c r="N128">
        <v>1</v>
      </c>
      <c r="O128" t="s">
        <v>11470</v>
      </c>
      <c r="P128">
        <v>7102697880</v>
      </c>
      <c r="R128" s="7">
        <v>34029</v>
      </c>
      <c r="S128" s="8">
        <f t="shared" si="8"/>
        <v>1993</v>
      </c>
      <c r="T128" s="8">
        <v>1993</v>
      </c>
      <c r="U128" s="8">
        <f t="shared" si="9"/>
        <v>29</v>
      </c>
      <c r="V128" s="7">
        <v>34029</v>
      </c>
      <c r="W128" t="s">
        <v>1769</v>
      </c>
      <c r="X128" s="2">
        <v>0.14099999999999999</v>
      </c>
      <c r="Y128" s="6">
        <f t="shared" si="14"/>
        <v>3.7639144710498915E-3</v>
      </c>
      <c r="AA128">
        <v>402508</v>
      </c>
      <c r="AB128">
        <v>20868</v>
      </c>
      <c r="AD128" t="s">
        <v>5</v>
      </c>
      <c r="AE128">
        <v>48</v>
      </c>
      <c r="AF128">
        <v>3</v>
      </c>
      <c r="AH128" t="s">
        <v>11469</v>
      </c>
      <c r="AI128" t="s">
        <v>11468</v>
      </c>
      <c r="AK128" t="s">
        <v>11467</v>
      </c>
      <c r="AL128">
        <v>0</v>
      </c>
      <c r="AM128" s="5">
        <f t="shared" si="10"/>
        <v>0</v>
      </c>
      <c r="AN128" s="4">
        <f t="shared" si="15"/>
        <v>0</v>
      </c>
      <c r="AO128" s="3"/>
      <c r="AP128">
        <v>0</v>
      </c>
      <c r="AR128" t="s">
        <v>1</v>
      </c>
      <c r="AT128" s="2" t="s">
        <v>0</v>
      </c>
      <c r="AU128" s="1">
        <f t="shared" si="11"/>
        <v>0.26347401297349238</v>
      </c>
      <c r="AV128" s="1">
        <f t="shared" si="12"/>
        <v>0.18819572355249459</v>
      </c>
      <c r="AW128" s="1">
        <f t="shared" si="13"/>
        <v>0.11291743413149673</v>
      </c>
    </row>
    <row r="129" spans="1:49" x14ac:dyDescent="0.2">
      <c r="A129">
        <v>127</v>
      </c>
      <c r="B129" t="s">
        <v>11466</v>
      </c>
      <c r="C129" t="s">
        <v>11465</v>
      </c>
      <c r="F129" t="s">
        <v>11464</v>
      </c>
      <c r="G129" t="s">
        <v>15</v>
      </c>
      <c r="H129" t="s">
        <v>14</v>
      </c>
      <c r="I129" t="s">
        <v>11463</v>
      </c>
      <c r="J129" t="s">
        <v>11462</v>
      </c>
      <c r="K129" t="s">
        <v>11461</v>
      </c>
      <c r="L129" t="s">
        <v>11460</v>
      </c>
      <c r="M129" t="s">
        <v>2341</v>
      </c>
      <c r="N129">
        <v>2</v>
      </c>
      <c r="O129" t="s">
        <v>11459</v>
      </c>
      <c r="P129" t="s">
        <v>11458</v>
      </c>
      <c r="Q129" t="s">
        <v>11457</v>
      </c>
      <c r="R129" s="7">
        <v>34029</v>
      </c>
      <c r="S129" s="8">
        <f t="shared" ref="S129:S192" si="16">YEAR(R129)</f>
        <v>1993</v>
      </c>
      <c r="T129" s="8">
        <v>1993</v>
      </c>
      <c r="U129" s="8">
        <f t="shared" ref="U129:U192" si="17">2022-T129</f>
        <v>29</v>
      </c>
      <c r="V129" s="7">
        <v>34029</v>
      </c>
      <c r="W129" t="s">
        <v>11456</v>
      </c>
      <c r="X129" s="2">
        <v>0.84299999999999997</v>
      </c>
      <c r="Y129" s="6">
        <f t="shared" si="14"/>
        <v>2.250340353968127E-2</v>
      </c>
      <c r="AA129">
        <v>188158</v>
      </c>
      <c r="AB129">
        <v>15168</v>
      </c>
      <c r="AC129">
        <v>15735117</v>
      </c>
      <c r="AD129" t="s">
        <v>5</v>
      </c>
      <c r="AE129">
        <v>254</v>
      </c>
      <c r="AF129">
        <v>3</v>
      </c>
      <c r="AH129" t="s">
        <v>11455</v>
      </c>
      <c r="AI129" t="s">
        <v>11454</v>
      </c>
      <c r="AJ129" t="s">
        <v>11453</v>
      </c>
      <c r="AK129" t="s">
        <v>11452</v>
      </c>
      <c r="AL129">
        <v>5</v>
      </c>
      <c r="AM129" s="5">
        <f t="shared" ref="AM129:AM192" si="18">AL129/U129</f>
        <v>0.17241379310344829</v>
      </c>
      <c r="AN129" s="4">
        <f t="shared" si="15"/>
        <v>2.6113410541983838E-4</v>
      </c>
      <c r="AO129" s="3"/>
      <c r="AP129">
        <v>0</v>
      </c>
      <c r="AR129" t="s">
        <v>1</v>
      </c>
      <c r="AT129" s="2">
        <v>2.694</v>
      </c>
      <c r="AU129" s="1">
        <f t="shared" ref="AU129:AU192" si="19">(Y129*0.7+AN129*0.3)*100</f>
        <v>1.583072270940284</v>
      </c>
      <c r="AV129" s="1">
        <f t="shared" ref="AV129:AV192" si="20">(Y129*0.5+AN129*0.5)*100</f>
        <v>1.1382268822550554</v>
      </c>
      <c r="AW129" s="1">
        <f t="shared" ref="AW129:AW192" si="21">(Y129*0.3+AN129*0.7)*100</f>
        <v>0.69338149356982681</v>
      </c>
    </row>
    <row r="130" spans="1:49" x14ac:dyDescent="0.2">
      <c r="A130">
        <v>128</v>
      </c>
      <c r="B130" t="s">
        <v>11451</v>
      </c>
      <c r="C130" t="s">
        <v>11450</v>
      </c>
      <c r="D130" t="s">
        <v>11449</v>
      </c>
      <c r="F130" t="s">
        <v>11448</v>
      </c>
      <c r="G130" t="s">
        <v>15</v>
      </c>
      <c r="H130" t="s">
        <v>14</v>
      </c>
      <c r="I130" t="s">
        <v>11447</v>
      </c>
      <c r="J130">
        <v>60029170</v>
      </c>
      <c r="K130" t="s">
        <v>122</v>
      </c>
      <c r="L130" t="s">
        <v>121</v>
      </c>
      <c r="M130" t="s">
        <v>120</v>
      </c>
      <c r="N130">
        <v>2</v>
      </c>
      <c r="O130" t="s">
        <v>11446</v>
      </c>
      <c r="P130" t="s">
        <v>11445</v>
      </c>
      <c r="Q130" t="s">
        <v>11444</v>
      </c>
      <c r="R130" s="7">
        <v>34029</v>
      </c>
      <c r="S130" s="8">
        <f t="shared" si="16"/>
        <v>1993</v>
      </c>
      <c r="T130" s="8">
        <v>1993</v>
      </c>
      <c r="U130" s="8">
        <f t="shared" si="17"/>
        <v>29</v>
      </c>
      <c r="V130" s="7">
        <v>34029</v>
      </c>
      <c r="W130" t="s">
        <v>11315</v>
      </c>
      <c r="X130" s="2">
        <v>1.59</v>
      </c>
      <c r="Y130" s="6">
        <f t="shared" ref="Y130:Y193" si="22">(X130-$Z$4)/($Z$3-$Z$4)</f>
        <v>4.2444141907583888E-2</v>
      </c>
      <c r="AA130">
        <v>52728</v>
      </c>
      <c r="AB130">
        <v>16791</v>
      </c>
      <c r="AD130" t="s">
        <v>5</v>
      </c>
      <c r="AE130">
        <v>1141</v>
      </c>
      <c r="AF130" s="9">
        <v>44257</v>
      </c>
      <c r="AH130" t="s">
        <v>11443</v>
      </c>
      <c r="AI130" t="s">
        <v>11442</v>
      </c>
      <c r="AJ130" t="s">
        <v>11441</v>
      </c>
      <c r="AK130" t="s">
        <v>11440</v>
      </c>
      <c r="AL130">
        <v>33</v>
      </c>
      <c r="AM130" s="5">
        <f t="shared" si="18"/>
        <v>1.1379310344827587</v>
      </c>
      <c r="AN130" s="4">
        <f t="shared" ref="AN130:AN193" si="23">(AM130-$AO$4)/($AO$3-$AO$4)</f>
        <v>1.7234850957709331E-3</v>
      </c>
      <c r="AO130" s="3"/>
      <c r="AP130">
        <v>0</v>
      </c>
      <c r="AQ130" t="s">
        <v>11439</v>
      </c>
      <c r="AR130" t="s">
        <v>1</v>
      </c>
      <c r="AS130" t="s">
        <v>11438</v>
      </c>
      <c r="AT130" s="2" t="s">
        <v>0</v>
      </c>
      <c r="AU130" s="1">
        <f t="shared" si="19"/>
        <v>3.0227944864039999</v>
      </c>
      <c r="AV130" s="1">
        <f t="shared" si="20"/>
        <v>2.2083813501677407</v>
      </c>
      <c r="AW130" s="1">
        <f t="shared" si="21"/>
        <v>1.393968213931482</v>
      </c>
    </row>
    <row r="131" spans="1:49" x14ac:dyDescent="0.2">
      <c r="A131">
        <v>129</v>
      </c>
      <c r="B131" t="s">
        <v>11437</v>
      </c>
      <c r="C131" t="s">
        <v>11436</v>
      </c>
      <c r="D131" t="s">
        <v>11435</v>
      </c>
      <c r="F131" t="s">
        <v>11434</v>
      </c>
      <c r="G131" t="s">
        <v>15</v>
      </c>
      <c r="H131" t="s">
        <v>14</v>
      </c>
      <c r="I131" t="s">
        <v>11433</v>
      </c>
      <c r="J131">
        <v>60008734</v>
      </c>
      <c r="K131" t="s">
        <v>11432</v>
      </c>
      <c r="L131" t="s">
        <v>11431</v>
      </c>
      <c r="M131" t="s">
        <v>721</v>
      </c>
      <c r="N131">
        <v>4</v>
      </c>
      <c r="O131" t="s">
        <v>11430</v>
      </c>
      <c r="P131" t="s">
        <v>11429</v>
      </c>
      <c r="Q131" t="s">
        <v>11428</v>
      </c>
      <c r="R131" s="7">
        <v>34029</v>
      </c>
      <c r="S131" s="8">
        <f t="shared" si="16"/>
        <v>1993</v>
      </c>
      <c r="T131" s="8">
        <v>1993</v>
      </c>
      <c r="U131" s="8">
        <f t="shared" si="17"/>
        <v>29</v>
      </c>
      <c r="V131" s="7">
        <v>34029</v>
      </c>
      <c r="W131" t="s">
        <v>11315</v>
      </c>
      <c r="X131" s="2">
        <v>1.59</v>
      </c>
      <c r="Y131" s="6">
        <f t="shared" si="22"/>
        <v>4.2444141907583888E-2</v>
      </c>
      <c r="AA131">
        <v>52728</v>
      </c>
      <c r="AB131">
        <v>16791</v>
      </c>
      <c r="AD131" t="s">
        <v>5</v>
      </c>
      <c r="AE131">
        <v>1141</v>
      </c>
      <c r="AF131" s="9">
        <v>44257</v>
      </c>
      <c r="AH131" t="s">
        <v>11427</v>
      </c>
      <c r="AI131" t="s">
        <v>11426</v>
      </c>
      <c r="AJ131" t="s">
        <v>11425</v>
      </c>
      <c r="AK131" t="s">
        <v>11424</v>
      </c>
      <c r="AL131">
        <v>40</v>
      </c>
      <c r="AM131" s="5">
        <f t="shared" si="18"/>
        <v>1.3793103448275863</v>
      </c>
      <c r="AN131" s="4">
        <f t="shared" si="23"/>
        <v>2.0890728433587071E-3</v>
      </c>
      <c r="AO131" s="3"/>
      <c r="AP131">
        <v>0</v>
      </c>
      <c r="AQ131" t="s">
        <v>11423</v>
      </c>
      <c r="AR131" t="s">
        <v>11422</v>
      </c>
      <c r="AS131" t="s">
        <v>11421</v>
      </c>
      <c r="AT131" s="2" t="s">
        <v>0</v>
      </c>
      <c r="AU131" s="1">
        <f t="shared" si="19"/>
        <v>3.0337621188316333</v>
      </c>
      <c r="AV131" s="1">
        <f t="shared" si="20"/>
        <v>2.2266607375471299</v>
      </c>
      <c r="AW131" s="1">
        <f t="shared" si="21"/>
        <v>1.4195593562626261</v>
      </c>
    </row>
    <row r="132" spans="1:49" x14ac:dyDescent="0.2">
      <c r="A132">
        <v>130</v>
      </c>
      <c r="B132" t="s">
        <v>11420</v>
      </c>
      <c r="C132" t="s">
        <v>11419</v>
      </c>
      <c r="F132" t="s">
        <v>11418</v>
      </c>
      <c r="G132" t="s">
        <v>15</v>
      </c>
      <c r="H132" t="s">
        <v>14</v>
      </c>
      <c r="I132" t="s">
        <v>11417</v>
      </c>
      <c r="J132" t="s">
        <v>4359</v>
      </c>
      <c r="K132" t="s">
        <v>4358</v>
      </c>
      <c r="L132" t="s">
        <v>4357</v>
      </c>
      <c r="M132" t="s">
        <v>4356</v>
      </c>
      <c r="N132">
        <v>2</v>
      </c>
      <c r="O132" t="s">
        <v>11416</v>
      </c>
      <c r="P132" t="s">
        <v>11415</v>
      </c>
      <c r="Q132" t="s">
        <v>4359</v>
      </c>
      <c r="R132" s="7">
        <v>34029</v>
      </c>
      <c r="S132" s="8">
        <f t="shared" si="16"/>
        <v>1993</v>
      </c>
      <c r="T132" s="8">
        <v>1993</v>
      </c>
      <c r="U132" s="8">
        <f t="shared" si="17"/>
        <v>29</v>
      </c>
      <c r="V132" s="7">
        <v>34029</v>
      </c>
      <c r="W132" t="s">
        <v>11414</v>
      </c>
      <c r="X132" s="2" t="s">
        <v>0</v>
      </c>
      <c r="Y132" s="6" t="e">
        <f t="shared" si="22"/>
        <v>#VALUE!</v>
      </c>
      <c r="AA132">
        <v>39039</v>
      </c>
      <c r="AB132">
        <v>31407</v>
      </c>
      <c r="AC132">
        <v>14320487</v>
      </c>
      <c r="AD132" t="s">
        <v>5</v>
      </c>
      <c r="AE132">
        <v>76</v>
      </c>
      <c r="AF132">
        <v>2</v>
      </c>
      <c r="AH132" t="s">
        <v>11413</v>
      </c>
      <c r="AI132" t="s">
        <v>11412</v>
      </c>
      <c r="AK132" t="s">
        <v>11411</v>
      </c>
      <c r="AL132">
        <v>6</v>
      </c>
      <c r="AM132" s="5">
        <f t="shared" si="18"/>
        <v>0.20689655172413793</v>
      </c>
      <c r="AN132" s="4">
        <f t="shared" si="23"/>
        <v>3.1336092650380602E-4</v>
      </c>
      <c r="AO132" s="3"/>
      <c r="AP132">
        <v>0</v>
      </c>
      <c r="AR132" t="s">
        <v>1</v>
      </c>
      <c r="AT132" s="2" t="s">
        <v>0</v>
      </c>
      <c r="AU132" s="1" t="e">
        <f t="shared" si="19"/>
        <v>#VALUE!</v>
      </c>
      <c r="AV132" s="1" t="e">
        <f t="shared" si="20"/>
        <v>#VALUE!</v>
      </c>
      <c r="AW132" s="1" t="e">
        <f t="shared" si="21"/>
        <v>#VALUE!</v>
      </c>
    </row>
    <row r="133" spans="1:49" x14ac:dyDescent="0.2">
      <c r="A133">
        <v>131</v>
      </c>
      <c r="B133" t="s">
        <v>11410</v>
      </c>
      <c r="C133" t="s">
        <v>11409</v>
      </c>
      <c r="F133" t="s">
        <v>11408</v>
      </c>
      <c r="G133" t="s">
        <v>15</v>
      </c>
      <c r="H133" t="s">
        <v>14</v>
      </c>
      <c r="I133" t="s">
        <v>11407</v>
      </c>
      <c r="J133">
        <v>60000745</v>
      </c>
      <c r="K133" t="s">
        <v>769</v>
      </c>
      <c r="L133" t="s">
        <v>768</v>
      </c>
      <c r="M133" t="s">
        <v>10</v>
      </c>
      <c r="N133">
        <v>2</v>
      </c>
      <c r="O133" t="s">
        <v>11406</v>
      </c>
      <c r="P133" t="s">
        <v>11405</v>
      </c>
      <c r="Q133" t="s">
        <v>765</v>
      </c>
      <c r="R133" s="7">
        <v>34029</v>
      </c>
      <c r="S133" s="8">
        <f t="shared" si="16"/>
        <v>1993</v>
      </c>
      <c r="T133" s="8">
        <v>1993</v>
      </c>
      <c r="U133" s="8">
        <f t="shared" si="17"/>
        <v>29</v>
      </c>
      <c r="V133" s="7">
        <v>34029</v>
      </c>
      <c r="W133" t="s">
        <v>11404</v>
      </c>
      <c r="X133" s="2">
        <v>7.1150000000000002</v>
      </c>
      <c r="Y133" s="6">
        <f t="shared" si="22"/>
        <v>0.18993086142921972</v>
      </c>
      <c r="AA133">
        <v>27863</v>
      </c>
      <c r="AB133">
        <v>22680</v>
      </c>
      <c r="AC133">
        <v>15205126</v>
      </c>
      <c r="AD133" t="s">
        <v>5</v>
      </c>
      <c r="AE133">
        <v>115</v>
      </c>
      <c r="AF133">
        <v>6</v>
      </c>
      <c r="AH133" t="s">
        <v>11403</v>
      </c>
      <c r="AI133" t="s">
        <v>11402</v>
      </c>
      <c r="AK133" t="s">
        <v>11401</v>
      </c>
      <c r="AL133">
        <v>31</v>
      </c>
      <c r="AM133" s="5">
        <f t="shared" si="18"/>
        <v>1.0689655172413792</v>
      </c>
      <c r="AN133" s="4">
        <f t="shared" si="23"/>
        <v>1.6190314536029978E-3</v>
      </c>
      <c r="AO133" s="3"/>
      <c r="AP133">
        <v>0</v>
      </c>
      <c r="AR133" t="s">
        <v>1</v>
      </c>
      <c r="AT133" s="2" t="s">
        <v>0</v>
      </c>
      <c r="AU133" s="1">
        <f t="shared" si="19"/>
        <v>13.343731243653471</v>
      </c>
      <c r="AV133" s="1">
        <f t="shared" si="20"/>
        <v>9.5774946441411366</v>
      </c>
      <c r="AW133" s="1">
        <f t="shared" si="21"/>
        <v>5.8112580446288016</v>
      </c>
    </row>
    <row r="134" spans="1:49" x14ac:dyDescent="0.2">
      <c r="A134">
        <v>132</v>
      </c>
      <c r="B134" t="s">
        <v>11400</v>
      </c>
      <c r="C134" t="s">
        <v>11399</v>
      </c>
      <c r="F134" t="s">
        <v>11398</v>
      </c>
      <c r="G134" t="s">
        <v>15</v>
      </c>
      <c r="H134" t="s">
        <v>14</v>
      </c>
      <c r="I134" t="s">
        <v>10673</v>
      </c>
      <c r="J134">
        <v>60009731</v>
      </c>
      <c r="K134" t="s">
        <v>10863</v>
      </c>
      <c r="L134" t="s">
        <v>10862</v>
      </c>
      <c r="M134" t="s">
        <v>59</v>
      </c>
      <c r="N134">
        <v>1</v>
      </c>
      <c r="O134" t="s">
        <v>11397</v>
      </c>
      <c r="P134">
        <v>57202396392</v>
      </c>
      <c r="Q134">
        <v>60009731</v>
      </c>
      <c r="R134" s="7">
        <v>34029</v>
      </c>
      <c r="S134" s="8">
        <f t="shared" si="16"/>
        <v>1993</v>
      </c>
      <c r="T134" s="8">
        <v>1993</v>
      </c>
      <c r="U134" s="8">
        <f t="shared" si="17"/>
        <v>29</v>
      </c>
      <c r="V134" s="7">
        <v>34029</v>
      </c>
      <c r="W134" t="s">
        <v>263</v>
      </c>
      <c r="X134" s="2">
        <v>1.1579999999999999</v>
      </c>
      <c r="Y134" s="6">
        <f t="shared" si="22"/>
        <v>3.0912148634579962E-2</v>
      </c>
      <c r="AA134">
        <v>1668595</v>
      </c>
      <c r="AB134">
        <v>14223</v>
      </c>
      <c r="AC134">
        <v>15735079</v>
      </c>
      <c r="AD134" t="s">
        <v>5</v>
      </c>
      <c r="AE134">
        <v>35</v>
      </c>
      <c r="AF134">
        <v>3</v>
      </c>
      <c r="AH134" t="s">
        <v>11396</v>
      </c>
      <c r="AI134" t="s">
        <v>11395</v>
      </c>
      <c r="AJ134" t="s">
        <v>11394</v>
      </c>
      <c r="AK134" t="s">
        <v>11393</v>
      </c>
      <c r="AL134">
        <v>121</v>
      </c>
      <c r="AM134" s="5">
        <f t="shared" si="18"/>
        <v>4.1724137931034484</v>
      </c>
      <c r="AN134" s="4">
        <f t="shared" si="23"/>
        <v>6.3194453511600888E-3</v>
      </c>
      <c r="AO134" s="3"/>
      <c r="AP134">
        <v>0</v>
      </c>
      <c r="AR134" t="s">
        <v>1</v>
      </c>
      <c r="AT134" s="2">
        <v>3.573</v>
      </c>
      <c r="AU134" s="1">
        <f t="shared" si="19"/>
        <v>2.3534337649553998</v>
      </c>
      <c r="AV134" s="1">
        <f t="shared" si="20"/>
        <v>1.8615796992870026</v>
      </c>
      <c r="AW134" s="1">
        <f t="shared" si="21"/>
        <v>1.369725633618605</v>
      </c>
    </row>
    <row r="135" spans="1:49" x14ac:dyDescent="0.2">
      <c r="A135">
        <v>133</v>
      </c>
      <c r="B135" t="s">
        <v>11392</v>
      </c>
      <c r="F135" t="s">
        <v>11391</v>
      </c>
      <c r="G135" t="s">
        <v>15</v>
      </c>
      <c r="H135" t="s">
        <v>14</v>
      </c>
      <c r="I135" t="s">
        <v>11390</v>
      </c>
      <c r="J135">
        <v>60028586</v>
      </c>
      <c r="K135" t="s">
        <v>11389</v>
      </c>
      <c r="L135" t="s">
        <v>11388</v>
      </c>
      <c r="M135" t="s">
        <v>150</v>
      </c>
      <c r="N135">
        <v>1</v>
      </c>
      <c r="O135" t="s">
        <v>11387</v>
      </c>
      <c r="P135">
        <v>7006461138</v>
      </c>
      <c r="Q135">
        <v>60028586</v>
      </c>
      <c r="R135" s="7">
        <v>34029</v>
      </c>
      <c r="S135" s="8">
        <f t="shared" si="16"/>
        <v>1993</v>
      </c>
      <c r="T135" s="8">
        <v>1993</v>
      </c>
      <c r="U135" s="8">
        <f t="shared" si="17"/>
        <v>29</v>
      </c>
      <c r="V135" s="7">
        <v>34029</v>
      </c>
      <c r="W135" t="s">
        <v>11386</v>
      </c>
      <c r="X135" s="2">
        <v>1.9750000000000001</v>
      </c>
      <c r="Y135" s="6">
        <f t="shared" si="22"/>
        <v>5.2721497023571186E-2</v>
      </c>
      <c r="AA135">
        <v>320781</v>
      </c>
      <c r="AB135">
        <v>19019</v>
      </c>
      <c r="AD135" t="s">
        <v>5</v>
      </c>
      <c r="AE135">
        <v>34</v>
      </c>
      <c r="AF135">
        <v>2</v>
      </c>
      <c r="AH135" t="s">
        <v>11385</v>
      </c>
      <c r="AI135" t="s">
        <v>11384</v>
      </c>
      <c r="AJ135" t="s">
        <v>11383</v>
      </c>
      <c r="AK135" t="s">
        <v>11382</v>
      </c>
      <c r="AL135">
        <v>6</v>
      </c>
      <c r="AM135" s="5">
        <f t="shared" si="18"/>
        <v>0.20689655172413793</v>
      </c>
      <c r="AN135" s="4">
        <f t="shared" si="23"/>
        <v>3.1336092650380602E-4</v>
      </c>
      <c r="AO135" s="3"/>
      <c r="AP135">
        <v>0</v>
      </c>
      <c r="AR135" t="s">
        <v>1</v>
      </c>
      <c r="AT135" s="2">
        <v>4.9269999999999996</v>
      </c>
      <c r="AU135" s="1">
        <f t="shared" si="19"/>
        <v>3.6999056194450972</v>
      </c>
      <c r="AV135" s="1">
        <f t="shared" si="20"/>
        <v>2.6517428975037496</v>
      </c>
      <c r="AW135" s="1">
        <f t="shared" si="21"/>
        <v>1.603580175562402</v>
      </c>
    </row>
    <row r="136" spans="1:49" x14ac:dyDescent="0.2">
      <c r="A136">
        <v>134</v>
      </c>
      <c r="B136" t="s">
        <v>11381</v>
      </c>
      <c r="C136" t="s">
        <v>11380</v>
      </c>
      <c r="F136" t="s">
        <v>11379</v>
      </c>
      <c r="G136" t="s">
        <v>15</v>
      </c>
      <c r="H136" t="s">
        <v>14</v>
      </c>
      <c r="I136" t="s">
        <v>11378</v>
      </c>
      <c r="J136" t="s">
        <v>11377</v>
      </c>
      <c r="K136" t="s">
        <v>11376</v>
      </c>
      <c r="L136" t="s">
        <v>11375</v>
      </c>
      <c r="M136" t="s">
        <v>250</v>
      </c>
      <c r="N136">
        <v>4</v>
      </c>
      <c r="O136" t="s">
        <v>11374</v>
      </c>
      <c r="P136" t="s">
        <v>11373</v>
      </c>
      <c r="Q136" t="s">
        <v>11372</v>
      </c>
      <c r="R136" s="7">
        <v>34029</v>
      </c>
      <c r="S136" s="8">
        <f t="shared" si="16"/>
        <v>1993</v>
      </c>
      <c r="T136" s="8">
        <v>1993</v>
      </c>
      <c r="U136" s="8">
        <f t="shared" si="17"/>
        <v>29</v>
      </c>
      <c r="V136" s="7">
        <v>34029</v>
      </c>
      <c r="W136" t="s">
        <v>263</v>
      </c>
      <c r="X136" s="2">
        <v>1.1579999999999999</v>
      </c>
      <c r="Y136" s="6">
        <f t="shared" si="22"/>
        <v>3.0912148634579962E-2</v>
      </c>
      <c r="AA136">
        <v>1668595</v>
      </c>
      <c r="AB136">
        <v>14223</v>
      </c>
      <c r="AC136">
        <v>15735079</v>
      </c>
      <c r="AD136" t="s">
        <v>5</v>
      </c>
      <c r="AE136">
        <v>35</v>
      </c>
      <c r="AF136">
        <v>3</v>
      </c>
      <c r="AH136" t="s">
        <v>11371</v>
      </c>
      <c r="AI136" t="s">
        <v>11370</v>
      </c>
      <c r="AJ136" t="s">
        <v>11369</v>
      </c>
      <c r="AK136" t="s">
        <v>11368</v>
      </c>
      <c r="AL136">
        <v>26</v>
      </c>
      <c r="AM136" s="5">
        <f t="shared" si="18"/>
        <v>0.89655172413793105</v>
      </c>
      <c r="AN136" s="4">
        <f t="shared" si="23"/>
        <v>1.3578973481831594E-3</v>
      </c>
      <c r="AO136" s="3"/>
      <c r="AP136">
        <v>0</v>
      </c>
      <c r="AR136" t="s">
        <v>1</v>
      </c>
      <c r="AT136" s="2">
        <v>3.573</v>
      </c>
      <c r="AU136" s="1">
        <f t="shared" si="19"/>
        <v>2.2045873248660919</v>
      </c>
      <c r="AV136" s="1">
        <f t="shared" si="20"/>
        <v>1.613502299138156</v>
      </c>
      <c r="AW136" s="1">
        <f t="shared" si="21"/>
        <v>1.0224172734102199</v>
      </c>
    </row>
    <row r="137" spans="1:49" x14ac:dyDescent="0.2">
      <c r="A137">
        <v>135</v>
      </c>
      <c r="B137" t="s">
        <v>11367</v>
      </c>
      <c r="C137" t="s">
        <v>11366</v>
      </c>
      <c r="F137" t="s">
        <v>11365</v>
      </c>
      <c r="G137" t="s">
        <v>15</v>
      </c>
      <c r="H137" t="s">
        <v>14</v>
      </c>
      <c r="I137" t="s">
        <v>11364</v>
      </c>
      <c r="J137" t="s">
        <v>11363</v>
      </c>
      <c r="K137" t="s">
        <v>11362</v>
      </c>
      <c r="L137" t="s">
        <v>11361</v>
      </c>
      <c r="M137" t="s">
        <v>11360</v>
      </c>
      <c r="N137">
        <v>3</v>
      </c>
      <c r="O137" t="s">
        <v>11359</v>
      </c>
      <c r="P137" t="s">
        <v>11358</v>
      </c>
      <c r="Q137" t="s">
        <v>11357</v>
      </c>
      <c r="R137" s="7">
        <v>34029</v>
      </c>
      <c r="S137" s="8">
        <f t="shared" si="16"/>
        <v>1993</v>
      </c>
      <c r="T137" s="8">
        <v>1993</v>
      </c>
      <c r="U137" s="8">
        <f t="shared" si="17"/>
        <v>29</v>
      </c>
      <c r="V137" s="7">
        <v>34029</v>
      </c>
      <c r="W137" t="s">
        <v>263</v>
      </c>
      <c r="X137" s="2">
        <v>1.1579999999999999</v>
      </c>
      <c r="Y137" s="6">
        <f t="shared" si="22"/>
        <v>3.0912148634579962E-2</v>
      </c>
      <c r="AA137">
        <v>1668595</v>
      </c>
      <c r="AB137">
        <v>14223</v>
      </c>
      <c r="AC137">
        <v>15735079</v>
      </c>
      <c r="AD137" t="s">
        <v>5</v>
      </c>
      <c r="AE137">
        <v>35</v>
      </c>
      <c r="AF137">
        <v>3</v>
      </c>
      <c r="AH137" t="s">
        <v>11356</v>
      </c>
      <c r="AI137" t="s">
        <v>11355</v>
      </c>
      <c r="AJ137" t="s">
        <v>11354</v>
      </c>
      <c r="AK137" t="s">
        <v>11353</v>
      </c>
      <c r="AL137">
        <v>14</v>
      </c>
      <c r="AM137" s="5">
        <f t="shared" si="18"/>
        <v>0.48275862068965519</v>
      </c>
      <c r="AN137" s="4">
        <f t="shared" si="23"/>
        <v>7.3117549517554741E-4</v>
      </c>
      <c r="AO137" s="3"/>
      <c r="AP137">
        <v>0</v>
      </c>
      <c r="AR137" t="s">
        <v>1</v>
      </c>
      <c r="AT137" s="2">
        <v>3.573</v>
      </c>
      <c r="AU137" s="1">
        <f t="shared" si="19"/>
        <v>2.1857856692758637</v>
      </c>
      <c r="AV137" s="1">
        <f t="shared" si="20"/>
        <v>1.5821662064877757</v>
      </c>
      <c r="AW137" s="1">
        <f t="shared" si="21"/>
        <v>0.97854674369968719</v>
      </c>
    </row>
    <row r="138" spans="1:49" x14ac:dyDescent="0.2">
      <c r="A138">
        <v>136</v>
      </c>
      <c r="B138" t="s">
        <v>11352</v>
      </c>
      <c r="C138" t="s">
        <v>11351</v>
      </c>
      <c r="F138" t="s">
        <v>11350</v>
      </c>
      <c r="G138" t="s">
        <v>15</v>
      </c>
      <c r="H138" t="s">
        <v>14</v>
      </c>
      <c r="I138" t="s">
        <v>11349</v>
      </c>
      <c r="J138">
        <v>60021784</v>
      </c>
      <c r="K138" t="s">
        <v>11348</v>
      </c>
      <c r="L138" t="s">
        <v>997</v>
      </c>
      <c r="M138" t="s">
        <v>10</v>
      </c>
      <c r="N138">
        <v>1</v>
      </c>
      <c r="O138" t="s">
        <v>11347</v>
      </c>
      <c r="P138">
        <v>36844104200</v>
      </c>
      <c r="Q138">
        <v>60021784</v>
      </c>
      <c r="R138" s="7">
        <v>34019</v>
      </c>
      <c r="S138" s="8">
        <f t="shared" si="16"/>
        <v>1993</v>
      </c>
      <c r="T138" s="8">
        <v>1993</v>
      </c>
      <c r="U138" s="8">
        <f t="shared" si="17"/>
        <v>29</v>
      </c>
      <c r="V138" s="7">
        <v>34019</v>
      </c>
      <c r="W138" t="s">
        <v>11346</v>
      </c>
      <c r="X138" s="2">
        <v>0.215</v>
      </c>
      <c r="Y138" s="6">
        <f t="shared" si="22"/>
        <v>5.7393022076292679E-3</v>
      </c>
      <c r="AA138">
        <v>87568225</v>
      </c>
      <c r="AB138">
        <v>4700152788</v>
      </c>
      <c r="AC138">
        <v>15404730</v>
      </c>
      <c r="AD138" t="s">
        <v>5</v>
      </c>
      <c r="AE138">
        <v>8</v>
      </c>
      <c r="AF138" s="9">
        <v>44228</v>
      </c>
      <c r="AH138" t="s">
        <v>11345</v>
      </c>
      <c r="AI138" t="s">
        <v>11344</v>
      </c>
      <c r="AK138" t="s">
        <v>11343</v>
      </c>
      <c r="AL138">
        <v>2</v>
      </c>
      <c r="AM138" s="5">
        <f t="shared" si="18"/>
        <v>6.8965517241379309E-2</v>
      </c>
      <c r="AN138" s="4">
        <f t="shared" si="23"/>
        <v>1.0445364216793535E-4</v>
      </c>
      <c r="AO138" s="3"/>
      <c r="AP138">
        <v>0</v>
      </c>
      <c r="AR138" t="s">
        <v>1</v>
      </c>
      <c r="AT138" s="2" t="s">
        <v>0</v>
      </c>
      <c r="AU138" s="1">
        <f t="shared" si="19"/>
        <v>0.40488476379908678</v>
      </c>
      <c r="AV138" s="1">
        <f t="shared" si="20"/>
        <v>0.29218779248986015</v>
      </c>
      <c r="AW138" s="1">
        <f t="shared" si="21"/>
        <v>0.1794908211806335</v>
      </c>
    </row>
    <row r="139" spans="1:49" x14ac:dyDescent="0.2">
      <c r="A139">
        <v>137</v>
      </c>
      <c r="B139" t="s">
        <v>11342</v>
      </c>
      <c r="C139" t="s">
        <v>11341</v>
      </c>
      <c r="D139" t="s">
        <v>11340</v>
      </c>
      <c r="F139" t="s">
        <v>11339</v>
      </c>
      <c r="G139" t="s">
        <v>15</v>
      </c>
      <c r="H139" t="s">
        <v>14</v>
      </c>
      <c r="I139" t="s">
        <v>11338</v>
      </c>
      <c r="J139" t="s">
        <v>11337</v>
      </c>
      <c r="K139" t="s">
        <v>11336</v>
      </c>
      <c r="L139" t="s">
        <v>11335</v>
      </c>
      <c r="M139" t="s">
        <v>11334</v>
      </c>
      <c r="N139">
        <v>13</v>
      </c>
      <c r="O139" t="s">
        <v>11333</v>
      </c>
      <c r="P139" t="s">
        <v>11332</v>
      </c>
      <c r="Q139" t="s">
        <v>11331</v>
      </c>
      <c r="R139" s="7">
        <v>34008</v>
      </c>
      <c r="S139" s="8">
        <f t="shared" si="16"/>
        <v>1993</v>
      </c>
      <c r="T139" s="8">
        <v>1993</v>
      </c>
      <c r="U139" s="8">
        <f t="shared" si="17"/>
        <v>29</v>
      </c>
      <c r="V139" s="7">
        <v>34008</v>
      </c>
      <c r="W139" t="s">
        <v>11330</v>
      </c>
      <c r="X139" s="2">
        <v>0.499</v>
      </c>
      <c r="Y139" s="6">
        <f t="shared" si="22"/>
        <v>1.332052000747444E-2</v>
      </c>
      <c r="AA139">
        <v>3759601</v>
      </c>
      <c r="AB139">
        <v>29464</v>
      </c>
      <c r="AD139" t="s">
        <v>5</v>
      </c>
      <c r="AE139">
        <v>173</v>
      </c>
      <c r="AF139">
        <v>3</v>
      </c>
      <c r="AH139" t="s">
        <v>11329</v>
      </c>
      <c r="AI139" t="s">
        <v>11328</v>
      </c>
      <c r="AK139" t="s">
        <v>11327</v>
      </c>
      <c r="AL139">
        <v>2</v>
      </c>
      <c r="AM139" s="5">
        <f t="shared" si="18"/>
        <v>6.8965517241379309E-2</v>
      </c>
      <c r="AN139" s="4">
        <f t="shared" si="23"/>
        <v>1.0445364216793535E-4</v>
      </c>
      <c r="AO139" s="3"/>
      <c r="AP139">
        <v>0</v>
      </c>
      <c r="AR139" t="s">
        <v>1</v>
      </c>
      <c r="AT139" s="2">
        <v>2.6539999999999999</v>
      </c>
      <c r="AU139" s="1">
        <f t="shared" si="19"/>
        <v>0.93557000978824889</v>
      </c>
      <c r="AV139" s="1">
        <f t="shared" si="20"/>
        <v>0.67124868248211877</v>
      </c>
      <c r="AW139" s="1">
        <f t="shared" si="21"/>
        <v>0.40692735517598871</v>
      </c>
    </row>
    <row r="140" spans="1:49" x14ac:dyDescent="0.2">
      <c r="A140">
        <v>138</v>
      </c>
      <c r="B140" t="s">
        <v>11326</v>
      </c>
      <c r="C140" t="s">
        <v>11325</v>
      </c>
      <c r="D140" t="s">
        <v>11324</v>
      </c>
      <c r="F140" t="s">
        <v>11323</v>
      </c>
      <c r="G140" t="s">
        <v>15</v>
      </c>
      <c r="H140" t="s">
        <v>14</v>
      </c>
      <c r="I140" t="s">
        <v>11322</v>
      </c>
      <c r="J140" t="s">
        <v>11321</v>
      </c>
      <c r="K140" t="s">
        <v>11320</v>
      </c>
      <c r="L140" t="s">
        <v>11319</v>
      </c>
      <c r="M140" t="s">
        <v>2226</v>
      </c>
      <c r="N140">
        <v>2</v>
      </c>
      <c r="O140" t="s">
        <v>11318</v>
      </c>
      <c r="P140" t="s">
        <v>11317</v>
      </c>
      <c r="Q140" t="s">
        <v>11316</v>
      </c>
      <c r="R140" s="7">
        <v>34008</v>
      </c>
      <c r="S140" s="8">
        <f t="shared" si="16"/>
        <v>1993</v>
      </c>
      <c r="T140" s="8">
        <v>1993</v>
      </c>
      <c r="U140" s="8">
        <f t="shared" si="17"/>
        <v>29</v>
      </c>
      <c r="V140" s="7">
        <v>34008</v>
      </c>
      <c r="W140" t="s">
        <v>11315</v>
      </c>
      <c r="X140" s="2">
        <v>1.59</v>
      </c>
      <c r="Y140" s="6">
        <f t="shared" si="22"/>
        <v>4.2444141907583888E-2</v>
      </c>
      <c r="AA140">
        <v>52728</v>
      </c>
      <c r="AB140">
        <v>16791</v>
      </c>
      <c r="AD140" t="s">
        <v>5</v>
      </c>
      <c r="AE140">
        <v>1141</v>
      </c>
      <c r="AF140">
        <v>1</v>
      </c>
      <c r="AH140" t="s">
        <v>11314</v>
      </c>
      <c r="AI140" t="s">
        <v>11313</v>
      </c>
      <c r="AJ140" t="s">
        <v>11312</v>
      </c>
      <c r="AK140" t="s">
        <v>11311</v>
      </c>
      <c r="AL140">
        <v>14</v>
      </c>
      <c r="AM140" s="5">
        <f t="shared" si="18"/>
        <v>0.48275862068965519</v>
      </c>
      <c r="AN140" s="4">
        <f t="shared" si="23"/>
        <v>7.3117549517554741E-4</v>
      </c>
      <c r="AO140" s="3"/>
      <c r="AP140">
        <v>0</v>
      </c>
      <c r="AR140" t="s">
        <v>1</v>
      </c>
      <c r="AT140" s="2" t="s">
        <v>0</v>
      </c>
      <c r="AU140" s="1">
        <f t="shared" si="19"/>
        <v>2.9930251983861385</v>
      </c>
      <c r="AV140" s="1">
        <f t="shared" si="20"/>
        <v>2.1587658701379717</v>
      </c>
      <c r="AW140" s="1">
        <f t="shared" si="21"/>
        <v>1.3245065418898048</v>
      </c>
    </row>
    <row r="141" spans="1:49" x14ac:dyDescent="0.2">
      <c r="A141">
        <v>139</v>
      </c>
      <c r="B141" t="s">
        <v>11310</v>
      </c>
      <c r="C141" t="s">
        <v>11309</v>
      </c>
      <c r="F141" t="s">
        <v>11308</v>
      </c>
      <c r="G141" t="s">
        <v>15</v>
      </c>
      <c r="H141" t="s">
        <v>14</v>
      </c>
      <c r="I141" t="s">
        <v>11307</v>
      </c>
      <c r="N141">
        <v>3</v>
      </c>
      <c r="O141" t="s">
        <v>11306</v>
      </c>
      <c r="P141" t="s">
        <v>11305</v>
      </c>
      <c r="Q141" t="s">
        <v>2929</v>
      </c>
      <c r="R141" s="7">
        <v>34001</v>
      </c>
      <c r="S141" s="8">
        <f t="shared" si="16"/>
        <v>1993</v>
      </c>
      <c r="T141" s="8">
        <v>1993</v>
      </c>
      <c r="U141" s="8">
        <f t="shared" si="17"/>
        <v>29</v>
      </c>
      <c r="V141" s="7">
        <v>34001</v>
      </c>
      <c r="W141" t="s">
        <v>9975</v>
      </c>
      <c r="X141" s="2">
        <v>0.14899999999999999</v>
      </c>
      <c r="Y141" s="6">
        <f t="shared" si="22"/>
        <v>3.977469902031446E-3</v>
      </c>
      <c r="AA141">
        <v>5431972</v>
      </c>
      <c r="AB141">
        <v>15425</v>
      </c>
      <c r="AC141">
        <v>15738906</v>
      </c>
      <c r="AD141" t="s">
        <v>5</v>
      </c>
      <c r="AE141">
        <v>36</v>
      </c>
      <c r="AF141">
        <v>2</v>
      </c>
      <c r="AH141" t="s">
        <v>11304</v>
      </c>
      <c r="AL141">
        <v>0</v>
      </c>
      <c r="AM141" s="5">
        <f t="shared" si="18"/>
        <v>0</v>
      </c>
      <c r="AN141" s="4">
        <f t="shared" si="23"/>
        <v>0</v>
      </c>
      <c r="AO141" s="3"/>
      <c r="AP141">
        <v>0</v>
      </c>
      <c r="AR141" t="s">
        <v>1</v>
      </c>
      <c r="AT141" s="2" t="s">
        <v>0</v>
      </c>
      <c r="AU141" s="1">
        <f t="shared" si="19"/>
        <v>0.2784228931422012</v>
      </c>
      <c r="AV141" s="1">
        <f t="shared" si="20"/>
        <v>0.19887349510157229</v>
      </c>
      <c r="AW141" s="1">
        <f t="shared" si="21"/>
        <v>0.11932409706094337</v>
      </c>
    </row>
    <row r="142" spans="1:49" x14ac:dyDescent="0.2">
      <c r="A142">
        <v>140</v>
      </c>
      <c r="B142" t="s">
        <v>11303</v>
      </c>
      <c r="F142" t="s">
        <v>11302</v>
      </c>
      <c r="G142" t="s">
        <v>15</v>
      </c>
      <c r="H142" t="s">
        <v>14</v>
      </c>
      <c r="I142" t="s">
        <v>11301</v>
      </c>
      <c r="J142">
        <v>60025555</v>
      </c>
      <c r="K142" t="s">
        <v>1785</v>
      </c>
      <c r="L142" t="s">
        <v>151</v>
      </c>
      <c r="M142" t="s">
        <v>150</v>
      </c>
      <c r="N142">
        <v>3</v>
      </c>
      <c r="O142" t="s">
        <v>11300</v>
      </c>
      <c r="P142" t="s">
        <v>11299</v>
      </c>
      <c r="Q142" t="s">
        <v>11298</v>
      </c>
      <c r="R142" s="7">
        <v>34001</v>
      </c>
      <c r="S142" s="8">
        <f t="shared" si="16"/>
        <v>1993</v>
      </c>
      <c r="T142" s="8">
        <v>1993</v>
      </c>
      <c r="U142" s="8">
        <f t="shared" si="17"/>
        <v>29</v>
      </c>
      <c r="V142" s="7">
        <v>34001</v>
      </c>
      <c r="W142" t="s">
        <v>1707</v>
      </c>
      <c r="X142" s="2">
        <v>0.21099999999999999</v>
      </c>
      <c r="Y142" s="6">
        <f t="shared" si="22"/>
        <v>5.6325244921384904E-3</v>
      </c>
      <c r="AA142">
        <v>9168516</v>
      </c>
      <c r="AB142">
        <v>18936</v>
      </c>
      <c r="AD142" t="s">
        <v>5</v>
      </c>
      <c r="AE142" t="s">
        <v>1706</v>
      </c>
      <c r="AF142">
        <v>2</v>
      </c>
      <c r="AH142" t="s">
        <v>11297</v>
      </c>
      <c r="AI142" t="s">
        <v>11296</v>
      </c>
      <c r="AK142" t="s">
        <v>11295</v>
      </c>
      <c r="AL142">
        <v>2</v>
      </c>
      <c r="AM142" s="5">
        <f t="shared" si="18"/>
        <v>6.8965517241379309E-2</v>
      </c>
      <c r="AN142" s="4">
        <f t="shared" si="23"/>
        <v>1.0445364216793535E-4</v>
      </c>
      <c r="AO142" s="3"/>
      <c r="AP142">
        <v>0</v>
      </c>
      <c r="AR142" t="s">
        <v>1</v>
      </c>
      <c r="AT142" s="2">
        <v>0.52500000000000002</v>
      </c>
      <c r="AU142" s="1">
        <f t="shared" si="19"/>
        <v>0.39741032371473234</v>
      </c>
      <c r="AV142" s="1">
        <f t="shared" si="20"/>
        <v>0.28684890671532126</v>
      </c>
      <c r="AW142" s="1">
        <f t="shared" si="21"/>
        <v>0.17628748971591018</v>
      </c>
    </row>
    <row r="143" spans="1:49" x14ac:dyDescent="0.2">
      <c r="A143">
        <v>141</v>
      </c>
      <c r="B143" t="s">
        <v>11294</v>
      </c>
      <c r="F143" t="s">
        <v>11293</v>
      </c>
      <c r="G143" t="s">
        <v>15</v>
      </c>
      <c r="H143" t="s">
        <v>14</v>
      </c>
      <c r="I143" t="s">
        <v>11292</v>
      </c>
      <c r="J143">
        <v>60092258</v>
      </c>
      <c r="K143" t="s">
        <v>9254</v>
      </c>
      <c r="L143" t="s">
        <v>1711</v>
      </c>
      <c r="M143" t="s">
        <v>150</v>
      </c>
      <c r="N143">
        <v>3</v>
      </c>
      <c r="O143" t="s">
        <v>11291</v>
      </c>
      <c r="P143" t="s">
        <v>11290</v>
      </c>
      <c r="Q143" t="s">
        <v>11289</v>
      </c>
      <c r="R143" s="7">
        <v>34001</v>
      </c>
      <c r="S143" s="8">
        <f t="shared" si="16"/>
        <v>1993</v>
      </c>
      <c r="T143" s="8">
        <v>1993</v>
      </c>
      <c r="U143" s="8">
        <f t="shared" si="17"/>
        <v>29</v>
      </c>
      <c r="V143" s="7">
        <v>34001</v>
      </c>
      <c r="W143" t="s">
        <v>1707</v>
      </c>
      <c r="X143" s="2">
        <v>0.21099999999999999</v>
      </c>
      <c r="Y143" s="6">
        <f t="shared" si="22"/>
        <v>5.6325244921384904E-3</v>
      </c>
      <c r="AA143">
        <v>9168516</v>
      </c>
      <c r="AB143">
        <v>18936</v>
      </c>
      <c r="AD143" t="s">
        <v>5</v>
      </c>
      <c r="AE143" t="s">
        <v>1706</v>
      </c>
      <c r="AF143">
        <v>2</v>
      </c>
      <c r="AH143" t="s">
        <v>11288</v>
      </c>
      <c r="AI143" t="s">
        <v>11287</v>
      </c>
      <c r="AK143" t="s">
        <v>11286</v>
      </c>
      <c r="AL143">
        <v>0</v>
      </c>
      <c r="AM143" s="5">
        <f t="shared" si="18"/>
        <v>0</v>
      </c>
      <c r="AN143" s="4">
        <f t="shared" si="23"/>
        <v>0</v>
      </c>
      <c r="AO143" s="3"/>
      <c r="AP143">
        <v>0</v>
      </c>
      <c r="AR143" t="s">
        <v>1</v>
      </c>
      <c r="AT143" s="2">
        <v>0.52500000000000002</v>
      </c>
      <c r="AU143" s="1">
        <f t="shared" si="19"/>
        <v>0.39427671444969431</v>
      </c>
      <c r="AV143" s="1">
        <f t="shared" si="20"/>
        <v>0.28162622460692455</v>
      </c>
      <c r="AW143" s="1">
        <f t="shared" si="21"/>
        <v>0.1689757347641547</v>
      </c>
    </row>
    <row r="144" spans="1:49" x14ac:dyDescent="0.2">
      <c r="A144">
        <v>142</v>
      </c>
      <c r="B144" t="s">
        <v>11285</v>
      </c>
      <c r="F144" t="s">
        <v>11284</v>
      </c>
      <c r="G144" t="s">
        <v>15</v>
      </c>
      <c r="H144" t="s">
        <v>14</v>
      </c>
      <c r="I144" t="s">
        <v>11283</v>
      </c>
      <c r="J144">
        <v>60022148</v>
      </c>
      <c r="K144" t="s">
        <v>11282</v>
      </c>
      <c r="L144" t="s">
        <v>3718</v>
      </c>
      <c r="M144" t="s">
        <v>493</v>
      </c>
      <c r="N144">
        <v>1</v>
      </c>
      <c r="O144" t="s">
        <v>11281</v>
      </c>
      <c r="P144">
        <v>7004751445</v>
      </c>
      <c r="Q144">
        <v>60022148</v>
      </c>
      <c r="R144" s="7">
        <v>34001</v>
      </c>
      <c r="S144" s="8">
        <f t="shared" si="16"/>
        <v>1993</v>
      </c>
      <c r="T144" s="8">
        <v>1993</v>
      </c>
      <c r="U144" s="8">
        <f t="shared" si="17"/>
        <v>29</v>
      </c>
      <c r="V144" s="7">
        <v>34001</v>
      </c>
      <c r="W144" t="s">
        <v>11221</v>
      </c>
      <c r="X144" s="2">
        <v>0.182</v>
      </c>
      <c r="Y144" s="6">
        <f t="shared" si="22"/>
        <v>4.8583860548303574E-3</v>
      </c>
      <c r="AA144">
        <v>9168524</v>
      </c>
      <c r="AB144">
        <v>26075</v>
      </c>
      <c r="AD144" t="s">
        <v>5</v>
      </c>
      <c r="AE144" t="s">
        <v>11220</v>
      </c>
      <c r="AF144">
        <v>2</v>
      </c>
      <c r="AH144" t="s">
        <v>11280</v>
      </c>
      <c r="AI144" t="s">
        <v>11279</v>
      </c>
      <c r="AK144" t="s">
        <v>11278</v>
      </c>
      <c r="AL144">
        <v>24</v>
      </c>
      <c r="AM144" s="5">
        <f t="shared" si="18"/>
        <v>0.82758620689655171</v>
      </c>
      <c r="AN144" s="4">
        <f t="shared" si="23"/>
        <v>1.2534437060152241E-3</v>
      </c>
      <c r="AO144" s="3"/>
      <c r="AP144">
        <v>0</v>
      </c>
      <c r="AR144" t="s">
        <v>1</v>
      </c>
      <c r="AT144" s="2">
        <v>0.35199999999999998</v>
      </c>
      <c r="AU144" s="1">
        <f t="shared" si="19"/>
        <v>0.37769033501858174</v>
      </c>
      <c r="AV144" s="1">
        <f t="shared" si="20"/>
        <v>0.30559148804227909</v>
      </c>
      <c r="AW144" s="1">
        <f t="shared" si="21"/>
        <v>0.23349264106597642</v>
      </c>
    </row>
    <row r="145" spans="1:49" x14ac:dyDescent="0.2">
      <c r="A145">
        <v>143</v>
      </c>
      <c r="B145" t="s">
        <v>11277</v>
      </c>
      <c r="F145" t="s">
        <v>11276</v>
      </c>
      <c r="G145" t="s">
        <v>15</v>
      </c>
      <c r="H145" t="s">
        <v>14</v>
      </c>
      <c r="I145" t="s">
        <v>11275</v>
      </c>
      <c r="J145">
        <v>60008435</v>
      </c>
      <c r="K145" t="s">
        <v>4156</v>
      </c>
      <c r="L145" t="s">
        <v>4155</v>
      </c>
      <c r="M145" t="s">
        <v>150</v>
      </c>
      <c r="N145">
        <v>2</v>
      </c>
      <c r="O145" t="s">
        <v>11274</v>
      </c>
      <c r="P145" t="s">
        <v>11273</v>
      </c>
      <c r="Q145" t="s">
        <v>11222</v>
      </c>
      <c r="R145" s="7">
        <v>34001</v>
      </c>
      <c r="S145" s="8">
        <f t="shared" si="16"/>
        <v>1993</v>
      </c>
      <c r="T145" s="8">
        <v>1993</v>
      </c>
      <c r="U145" s="8">
        <f t="shared" si="17"/>
        <v>29</v>
      </c>
      <c r="V145" s="7">
        <v>34001</v>
      </c>
      <c r="W145" t="s">
        <v>1707</v>
      </c>
      <c r="X145" s="2">
        <v>0.21099999999999999</v>
      </c>
      <c r="Y145" s="6">
        <f t="shared" si="22"/>
        <v>5.6325244921384904E-3</v>
      </c>
      <c r="AA145">
        <v>9168516</v>
      </c>
      <c r="AB145">
        <v>18936</v>
      </c>
      <c r="AD145" t="s">
        <v>5</v>
      </c>
      <c r="AE145" t="s">
        <v>1706</v>
      </c>
      <c r="AF145">
        <v>2</v>
      </c>
      <c r="AH145" t="s">
        <v>11272</v>
      </c>
      <c r="AI145" t="s">
        <v>11271</v>
      </c>
      <c r="AK145" t="s">
        <v>11270</v>
      </c>
      <c r="AL145">
        <v>0</v>
      </c>
      <c r="AM145" s="5">
        <f t="shared" si="18"/>
        <v>0</v>
      </c>
      <c r="AN145" s="4">
        <f t="shared" si="23"/>
        <v>0</v>
      </c>
      <c r="AO145" s="3"/>
      <c r="AP145">
        <v>0</v>
      </c>
      <c r="AR145" t="s">
        <v>1</v>
      </c>
      <c r="AT145" s="2">
        <v>0.52500000000000002</v>
      </c>
      <c r="AU145" s="1">
        <f t="shared" si="19"/>
        <v>0.39427671444969431</v>
      </c>
      <c r="AV145" s="1">
        <f t="shared" si="20"/>
        <v>0.28162622460692455</v>
      </c>
      <c r="AW145" s="1">
        <f t="shared" si="21"/>
        <v>0.1689757347641547</v>
      </c>
    </row>
    <row r="146" spans="1:49" x14ac:dyDescent="0.2">
      <c r="A146">
        <v>144</v>
      </c>
      <c r="B146" t="s">
        <v>11269</v>
      </c>
      <c r="F146" t="s">
        <v>11268</v>
      </c>
      <c r="G146" t="s">
        <v>15</v>
      </c>
      <c r="H146" t="s">
        <v>14</v>
      </c>
      <c r="I146" t="s">
        <v>11267</v>
      </c>
      <c r="J146">
        <v>60011001</v>
      </c>
      <c r="K146" t="s">
        <v>3707</v>
      </c>
      <c r="L146" t="s">
        <v>3706</v>
      </c>
      <c r="M146" t="s">
        <v>150</v>
      </c>
      <c r="N146">
        <v>2</v>
      </c>
      <c r="O146" t="s">
        <v>11266</v>
      </c>
      <c r="P146" t="s">
        <v>11265</v>
      </c>
      <c r="Q146" t="s">
        <v>11264</v>
      </c>
      <c r="R146" s="7">
        <v>34001</v>
      </c>
      <c r="S146" s="8">
        <f t="shared" si="16"/>
        <v>1993</v>
      </c>
      <c r="T146" s="8">
        <v>1993</v>
      </c>
      <c r="U146" s="8">
        <f t="shared" si="17"/>
        <v>29</v>
      </c>
      <c r="V146" s="7">
        <v>34001</v>
      </c>
      <c r="W146" t="s">
        <v>1707</v>
      </c>
      <c r="X146" s="2">
        <v>0.21099999999999999</v>
      </c>
      <c r="Y146" s="6">
        <f t="shared" si="22"/>
        <v>5.6325244921384904E-3</v>
      </c>
      <c r="AA146">
        <v>9168516</v>
      </c>
      <c r="AB146">
        <v>18936</v>
      </c>
      <c r="AD146" t="s">
        <v>5</v>
      </c>
      <c r="AE146" t="s">
        <v>1706</v>
      </c>
      <c r="AF146">
        <v>2</v>
      </c>
      <c r="AH146" t="s">
        <v>11263</v>
      </c>
      <c r="AI146" t="s">
        <v>11262</v>
      </c>
      <c r="AK146" t="s">
        <v>11261</v>
      </c>
      <c r="AL146">
        <v>9</v>
      </c>
      <c r="AM146" s="5">
        <f t="shared" si="18"/>
        <v>0.31034482758620691</v>
      </c>
      <c r="AN146" s="4">
        <f t="shared" si="23"/>
        <v>4.7004138975570908E-4</v>
      </c>
      <c r="AO146" s="3"/>
      <c r="AP146">
        <v>0</v>
      </c>
      <c r="AR146" t="s">
        <v>1</v>
      </c>
      <c r="AT146" s="2">
        <v>0.52500000000000002</v>
      </c>
      <c r="AU146" s="1">
        <f t="shared" si="19"/>
        <v>0.40837795614236561</v>
      </c>
      <c r="AV146" s="1">
        <f t="shared" si="20"/>
        <v>0.30512829409470993</v>
      </c>
      <c r="AW146" s="1">
        <f t="shared" si="21"/>
        <v>0.20187863204705436</v>
      </c>
    </row>
    <row r="147" spans="1:49" x14ac:dyDescent="0.2">
      <c r="A147">
        <v>145</v>
      </c>
      <c r="B147" t="s">
        <v>11260</v>
      </c>
      <c r="F147" t="s">
        <v>11259</v>
      </c>
      <c r="G147" t="s">
        <v>15</v>
      </c>
      <c r="H147" t="s">
        <v>14</v>
      </c>
      <c r="I147" t="s">
        <v>11258</v>
      </c>
      <c r="J147">
        <v>60021208</v>
      </c>
      <c r="K147" t="s">
        <v>1762</v>
      </c>
      <c r="L147" t="s">
        <v>151</v>
      </c>
      <c r="M147" t="s">
        <v>150</v>
      </c>
      <c r="N147">
        <v>3</v>
      </c>
      <c r="O147" t="s">
        <v>11257</v>
      </c>
      <c r="P147" t="s">
        <v>11256</v>
      </c>
      <c r="Q147" t="s">
        <v>11255</v>
      </c>
      <c r="R147" s="7">
        <v>34001</v>
      </c>
      <c r="S147" s="8">
        <f t="shared" si="16"/>
        <v>1993</v>
      </c>
      <c r="T147" s="8">
        <v>1993</v>
      </c>
      <c r="U147" s="8">
        <f t="shared" si="17"/>
        <v>29</v>
      </c>
      <c r="V147" s="7">
        <v>34001</v>
      </c>
      <c r="W147" t="s">
        <v>11221</v>
      </c>
      <c r="X147" s="2">
        <v>0.182</v>
      </c>
      <c r="Y147" s="6">
        <f t="shared" si="22"/>
        <v>4.8583860548303574E-3</v>
      </c>
      <c r="AA147">
        <v>9168524</v>
      </c>
      <c r="AB147">
        <v>26075</v>
      </c>
      <c r="AD147" t="s">
        <v>5</v>
      </c>
      <c r="AE147" t="s">
        <v>11220</v>
      </c>
      <c r="AF147">
        <v>2</v>
      </c>
      <c r="AH147" t="s">
        <v>11254</v>
      </c>
      <c r="AI147" t="s">
        <v>11253</v>
      </c>
      <c r="AK147" t="s">
        <v>11252</v>
      </c>
      <c r="AL147">
        <v>4</v>
      </c>
      <c r="AM147" s="5">
        <f t="shared" si="18"/>
        <v>0.13793103448275862</v>
      </c>
      <c r="AN147" s="4">
        <f t="shared" si="23"/>
        <v>2.089072843358707E-4</v>
      </c>
      <c r="AO147" s="3"/>
      <c r="AP147">
        <v>0</v>
      </c>
      <c r="AR147" t="s">
        <v>1</v>
      </c>
      <c r="AT147" s="2">
        <v>0.35199999999999998</v>
      </c>
      <c r="AU147" s="1">
        <f t="shared" si="19"/>
        <v>0.34635424236820112</v>
      </c>
      <c r="AV147" s="1">
        <f t="shared" si="20"/>
        <v>0.25336466695831139</v>
      </c>
      <c r="AW147" s="1">
        <f t="shared" si="21"/>
        <v>0.16037509154842167</v>
      </c>
    </row>
    <row r="148" spans="1:49" x14ac:dyDescent="0.2">
      <c r="A148">
        <v>146</v>
      </c>
      <c r="B148" t="s">
        <v>11251</v>
      </c>
      <c r="F148" t="s">
        <v>11250</v>
      </c>
      <c r="G148" t="s">
        <v>15</v>
      </c>
      <c r="H148" t="s">
        <v>14</v>
      </c>
      <c r="I148" t="s">
        <v>11249</v>
      </c>
      <c r="J148">
        <v>60003336</v>
      </c>
      <c r="K148" t="s">
        <v>11248</v>
      </c>
      <c r="L148" t="s">
        <v>151</v>
      </c>
      <c r="M148" t="s">
        <v>150</v>
      </c>
      <c r="N148">
        <v>3</v>
      </c>
      <c r="O148" t="s">
        <v>11247</v>
      </c>
      <c r="P148" t="s">
        <v>11246</v>
      </c>
      <c r="Q148" t="s">
        <v>11245</v>
      </c>
      <c r="R148" s="7">
        <v>34001</v>
      </c>
      <c r="S148" s="8">
        <f t="shared" si="16"/>
        <v>1993</v>
      </c>
      <c r="T148" s="8">
        <v>1993</v>
      </c>
      <c r="U148" s="8">
        <f t="shared" si="17"/>
        <v>29</v>
      </c>
      <c r="V148" s="7">
        <v>34001</v>
      </c>
      <c r="W148" t="s">
        <v>1707</v>
      </c>
      <c r="X148" s="2">
        <v>0.21099999999999999</v>
      </c>
      <c r="Y148" s="6">
        <f t="shared" si="22"/>
        <v>5.6325244921384904E-3</v>
      </c>
      <c r="AA148">
        <v>9168516</v>
      </c>
      <c r="AB148">
        <v>18936</v>
      </c>
      <c r="AD148" t="s">
        <v>5</v>
      </c>
      <c r="AE148" t="s">
        <v>1706</v>
      </c>
      <c r="AF148">
        <v>2</v>
      </c>
      <c r="AH148" t="s">
        <v>11244</v>
      </c>
      <c r="AI148" t="s">
        <v>11243</v>
      </c>
      <c r="AK148" t="s">
        <v>11242</v>
      </c>
      <c r="AL148">
        <v>9</v>
      </c>
      <c r="AM148" s="5">
        <f t="shared" si="18"/>
        <v>0.31034482758620691</v>
      </c>
      <c r="AN148" s="4">
        <f t="shared" si="23"/>
        <v>4.7004138975570908E-4</v>
      </c>
      <c r="AO148" s="3"/>
      <c r="AP148">
        <v>0</v>
      </c>
      <c r="AR148" t="s">
        <v>1</v>
      </c>
      <c r="AT148" s="2">
        <v>0.52500000000000002</v>
      </c>
      <c r="AU148" s="1">
        <f t="shared" si="19"/>
        <v>0.40837795614236561</v>
      </c>
      <c r="AV148" s="1">
        <f t="shared" si="20"/>
        <v>0.30512829409470993</v>
      </c>
      <c r="AW148" s="1">
        <f t="shared" si="21"/>
        <v>0.20187863204705436</v>
      </c>
    </row>
    <row r="149" spans="1:49" x14ac:dyDescent="0.2">
      <c r="A149">
        <v>147</v>
      </c>
      <c r="B149" t="s">
        <v>11241</v>
      </c>
      <c r="F149" t="s">
        <v>11240</v>
      </c>
      <c r="G149" t="s">
        <v>15</v>
      </c>
      <c r="H149" t="s">
        <v>14</v>
      </c>
      <c r="I149" t="s">
        <v>11239</v>
      </c>
      <c r="J149">
        <v>60014662</v>
      </c>
      <c r="K149" t="s">
        <v>1276</v>
      </c>
      <c r="L149" t="s">
        <v>896</v>
      </c>
      <c r="M149" t="s">
        <v>10</v>
      </c>
      <c r="N149">
        <v>1</v>
      </c>
      <c r="O149" t="s">
        <v>11238</v>
      </c>
      <c r="P149">
        <v>24463325600</v>
      </c>
      <c r="Q149">
        <v>60014662</v>
      </c>
      <c r="R149" s="7">
        <v>34001</v>
      </c>
      <c r="S149" s="8">
        <f t="shared" si="16"/>
        <v>1993</v>
      </c>
      <c r="T149" s="8">
        <v>1993</v>
      </c>
      <c r="U149" s="8">
        <f t="shared" si="17"/>
        <v>29</v>
      </c>
      <c r="V149" s="7">
        <v>34001</v>
      </c>
      <c r="W149" t="s">
        <v>11221</v>
      </c>
      <c r="X149" s="2">
        <v>0.182</v>
      </c>
      <c r="Y149" s="6">
        <f t="shared" si="22"/>
        <v>4.8583860548303574E-3</v>
      </c>
      <c r="AA149">
        <v>9168524</v>
      </c>
      <c r="AB149">
        <v>26075</v>
      </c>
      <c r="AD149" t="s">
        <v>5</v>
      </c>
      <c r="AE149" t="s">
        <v>11220</v>
      </c>
      <c r="AF149">
        <v>2</v>
      </c>
      <c r="AH149" t="s">
        <v>11237</v>
      </c>
      <c r="AI149" t="s">
        <v>11236</v>
      </c>
      <c r="AK149" t="s">
        <v>11235</v>
      </c>
      <c r="AL149">
        <v>4</v>
      </c>
      <c r="AM149" s="5">
        <f t="shared" si="18"/>
        <v>0.13793103448275862</v>
      </c>
      <c r="AN149" s="4">
        <f t="shared" si="23"/>
        <v>2.089072843358707E-4</v>
      </c>
      <c r="AO149" s="3"/>
      <c r="AP149">
        <v>0</v>
      </c>
      <c r="AR149" t="s">
        <v>1</v>
      </c>
      <c r="AT149" s="2">
        <v>0.35199999999999998</v>
      </c>
      <c r="AU149" s="1">
        <f t="shared" si="19"/>
        <v>0.34635424236820112</v>
      </c>
      <c r="AV149" s="1">
        <f t="shared" si="20"/>
        <v>0.25336466695831139</v>
      </c>
      <c r="AW149" s="1">
        <f t="shared" si="21"/>
        <v>0.16037509154842167</v>
      </c>
    </row>
    <row r="150" spans="1:49" x14ac:dyDescent="0.2">
      <c r="A150">
        <v>148</v>
      </c>
      <c r="B150" t="s">
        <v>11234</v>
      </c>
      <c r="F150" t="s">
        <v>11233</v>
      </c>
      <c r="G150" t="s">
        <v>15</v>
      </c>
      <c r="H150" t="s">
        <v>14</v>
      </c>
      <c r="I150" t="s">
        <v>6513</v>
      </c>
      <c r="J150">
        <v>60031293</v>
      </c>
      <c r="K150" t="s">
        <v>6409</v>
      </c>
      <c r="L150" t="s">
        <v>151</v>
      </c>
      <c r="M150" t="s">
        <v>150</v>
      </c>
      <c r="N150">
        <v>3</v>
      </c>
      <c r="O150" t="s">
        <v>11232</v>
      </c>
      <c r="P150" t="s">
        <v>11231</v>
      </c>
      <c r="Q150" t="s">
        <v>11230</v>
      </c>
      <c r="R150" s="7">
        <v>34001</v>
      </c>
      <c r="S150" s="8">
        <f t="shared" si="16"/>
        <v>1993</v>
      </c>
      <c r="T150" s="8">
        <v>1993</v>
      </c>
      <c r="U150" s="8">
        <f t="shared" si="17"/>
        <v>29</v>
      </c>
      <c r="V150" s="7">
        <v>34001</v>
      </c>
      <c r="W150" t="s">
        <v>11221</v>
      </c>
      <c r="X150" s="2">
        <v>0.182</v>
      </c>
      <c r="Y150" s="6">
        <f t="shared" si="22"/>
        <v>4.8583860548303574E-3</v>
      </c>
      <c r="AA150">
        <v>9168524</v>
      </c>
      <c r="AB150">
        <v>26075</v>
      </c>
      <c r="AD150" t="s">
        <v>5</v>
      </c>
      <c r="AE150" t="s">
        <v>11220</v>
      </c>
      <c r="AF150">
        <v>2</v>
      </c>
      <c r="AH150" t="s">
        <v>3473</v>
      </c>
      <c r="AI150" t="s">
        <v>11229</v>
      </c>
      <c r="AK150" t="s">
        <v>11228</v>
      </c>
      <c r="AL150">
        <v>13</v>
      </c>
      <c r="AM150" s="5">
        <f t="shared" si="18"/>
        <v>0.44827586206896552</v>
      </c>
      <c r="AN150" s="4">
        <f t="shared" si="23"/>
        <v>6.7894867409157972E-4</v>
      </c>
      <c r="AO150" s="3"/>
      <c r="AP150">
        <v>0</v>
      </c>
      <c r="AR150" t="s">
        <v>1</v>
      </c>
      <c r="AT150" s="2">
        <v>0.35199999999999998</v>
      </c>
      <c r="AU150" s="1">
        <f t="shared" si="19"/>
        <v>0.36045548406087241</v>
      </c>
      <c r="AV150" s="1">
        <f t="shared" si="20"/>
        <v>0.27686673644609688</v>
      </c>
      <c r="AW150" s="1">
        <f t="shared" si="21"/>
        <v>0.1932779888313213</v>
      </c>
    </row>
    <row r="151" spans="1:49" x14ac:dyDescent="0.2">
      <c r="A151">
        <v>149</v>
      </c>
      <c r="B151" t="s">
        <v>11227</v>
      </c>
      <c r="F151" t="s">
        <v>11226</v>
      </c>
      <c r="G151" t="s">
        <v>15</v>
      </c>
      <c r="H151" t="s">
        <v>14</v>
      </c>
      <c r="I151" t="s">
        <v>11225</v>
      </c>
      <c r="J151">
        <v>60008435</v>
      </c>
      <c r="K151" t="s">
        <v>4156</v>
      </c>
      <c r="L151" t="s">
        <v>4155</v>
      </c>
      <c r="M151" t="s">
        <v>150</v>
      </c>
      <c r="N151">
        <v>2</v>
      </c>
      <c r="O151" t="s">
        <v>11224</v>
      </c>
      <c r="P151" t="s">
        <v>11223</v>
      </c>
      <c r="Q151" t="s">
        <v>11222</v>
      </c>
      <c r="R151" s="7">
        <v>34001</v>
      </c>
      <c r="S151" s="8">
        <f t="shared" si="16"/>
        <v>1993</v>
      </c>
      <c r="T151" s="8">
        <v>1993</v>
      </c>
      <c r="U151" s="8">
        <f t="shared" si="17"/>
        <v>29</v>
      </c>
      <c r="V151" s="7">
        <v>34001</v>
      </c>
      <c r="W151" t="s">
        <v>11221</v>
      </c>
      <c r="X151" s="2">
        <v>0.182</v>
      </c>
      <c r="Y151" s="6">
        <f t="shared" si="22"/>
        <v>4.8583860548303574E-3</v>
      </c>
      <c r="AA151">
        <v>9168524</v>
      </c>
      <c r="AB151">
        <v>26075</v>
      </c>
      <c r="AD151" t="s">
        <v>5</v>
      </c>
      <c r="AE151" t="s">
        <v>11220</v>
      </c>
      <c r="AF151">
        <v>2</v>
      </c>
      <c r="AH151" t="s">
        <v>10193</v>
      </c>
      <c r="AI151" t="s">
        <v>11219</v>
      </c>
      <c r="AK151" t="s">
        <v>11218</v>
      </c>
      <c r="AL151">
        <v>4</v>
      </c>
      <c r="AM151" s="5">
        <f t="shared" si="18"/>
        <v>0.13793103448275862</v>
      </c>
      <c r="AN151" s="4">
        <f t="shared" si="23"/>
        <v>2.089072843358707E-4</v>
      </c>
      <c r="AO151" s="3"/>
      <c r="AP151">
        <v>0</v>
      </c>
      <c r="AR151" t="s">
        <v>1</v>
      </c>
      <c r="AT151" s="2">
        <v>0.35199999999999998</v>
      </c>
      <c r="AU151" s="1">
        <f t="shared" si="19"/>
        <v>0.34635424236820112</v>
      </c>
      <c r="AV151" s="1">
        <f t="shared" si="20"/>
        <v>0.25336466695831139</v>
      </c>
      <c r="AW151" s="1">
        <f t="shared" si="21"/>
        <v>0.16037509154842167</v>
      </c>
    </row>
    <row r="152" spans="1:49" x14ac:dyDescent="0.2">
      <c r="A152">
        <v>150</v>
      </c>
      <c r="B152" t="s">
        <v>11217</v>
      </c>
      <c r="F152" t="s">
        <v>11216</v>
      </c>
      <c r="G152" t="s">
        <v>15</v>
      </c>
      <c r="H152" t="s">
        <v>14</v>
      </c>
      <c r="I152" t="s">
        <v>11215</v>
      </c>
      <c r="J152">
        <v>60107350</v>
      </c>
      <c r="K152" t="s">
        <v>4086</v>
      </c>
      <c r="L152" t="s">
        <v>4085</v>
      </c>
      <c r="M152" t="s">
        <v>150</v>
      </c>
      <c r="N152">
        <v>5</v>
      </c>
      <c r="O152" t="s">
        <v>11214</v>
      </c>
      <c r="P152" t="s">
        <v>11213</v>
      </c>
      <c r="Q152" t="s">
        <v>11212</v>
      </c>
      <c r="R152" s="7">
        <v>34001</v>
      </c>
      <c r="S152" s="8">
        <f t="shared" si="16"/>
        <v>1993</v>
      </c>
      <c r="T152" s="8">
        <v>1993</v>
      </c>
      <c r="U152" s="8">
        <f t="shared" si="17"/>
        <v>29</v>
      </c>
      <c r="V152" s="7">
        <v>34001</v>
      </c>
      <c r="W152" t="s">
        <v>1707</v>
      </c>
      <c r="X152" s="2">
        <v>0.21099999999999999</v>
      </c>
      <c r="Y152" s="6">
        <f t="shared" si="22"/>
        <v>5.6325244921384904E-3</v>
      </c>
      <c r="AA152">
        <v>9168516</v>
      </c>
      <c r="AB152">
        <v>18936</v>
      </c>
      <c r="AD152" t="s">
        <v>5</v>
      </c>
      <c r="AE152" t="s">
        <v>1706</v>
      </c>
      <c r="AF152">
        <v>2</v>
      </c>
      <c r="AH152" t="s">
        <v>11211</v>
      </c>
      <c r="AI152" t="s">
        <v>11210</v>
      </c>
      <c r="AK152" t="s">
        <v>11209</v>
      </c>
      <c r="AL152">
        <v>2</v>
      </c>
      <c r="AM152" s="5">
        <f t="shared" si="18"/>
        <v>6.8965517241379309E-2</v>
      </c>
      <c r="AN152" s="4">
        <f t="shared" si="23"/>
        <v>1.0445364216793535E-4</v>
      </c>
      <c r="AO152" s="3"/>
      <c r="AP152">
        <v>0</v>
      </c>
      <c r="AR152" t="s">
        <v>1</v>
      </c>
      <c r="AT152" s="2">
        <v>0.52500000000000002</v>
      </c>
      <c r="AU152" s="1">
        <f t="shared" si="19"/>
        <v>0.39741032371473234</v>
      </c>
      <c r="AV152" s="1">
        <f t="shared" si="20"/>
        <v>0.28684890671532126</v>
      </c>
      <c r="AW152" s="1">
        <f t="shared" si="21"/>
        <v>0.17628748971591018</v>
      </c>
    </row>
    <row r="153" spans="1:49" x14ac:dyDescent="0.2">
      <c r="A153">
        <v>151</v>
      </c>
      <c r="B153" t="s">
        <v>11208</v>
      </c>
      <c r="C153" t="s">
        <v>11207</v>
      </c>
      <c r="F153" t="s">
        <v>11206</v>
      </c>
      <c r="G153" t="s">
        <v>15</v>
      </c>
      <c r="H153" t="s">
        <v>14</v>
      </c>
      <c r="I153" t="s">
        <v>11205</v>
      </c>
      <c r="J153">
        <v>60108318</v>
      </c>
      <c r="K153" t="s">
        <v>2709</v>
      </c>
      <c r="L153" t="s">
        <v>997</v>
      </c>
      <c r="M153" t="s">
        <v>10</v>
      </c>
      <c r="N153">
        <v>3</v>
      </c>
      <c r="O153" t="s">
        <v>11204</v>
      </c>
      <c r="P153" t="s">
        <v>11203</v>
      </c>
      <c r="Q153" t="s">
        <v>11202</v>
      </c>
      <c r="R153" s="7">
        <v>34001</v>
      </c>
      <c r="S153" s="8">
        <f t="shared" si="16"/>
        <v>1993</v>
      </c>
      <c r="T153" s="8">
        <v>1993</v>
      </c>
      <c r="U153" s="8">
        <f t="shared" si="17"/>
        <v>29</v>
      </c>
      <c r="V153" s="7">
        <v>34001</v>
      </c>
      <c r="W153" t="s">
        <v>2565</v>
      </c>
      <c r="X153" s="2">
        <v>1.365</v>
      </c>
      <c r="Y153" s="6">
        <f t="shared" si="22"/>
        <v>3.6437895411227675E-2</v>
      </c>
      <c r="AA153">
        <v>189545</v>
      </c>
      <c r="AB153">
        <v>17393</v>
      </c>
      <c r="AD153" t="s">
        <v>5</v>
      </c>
      <c r="AE153">
        <v>42</v>
      </c>
      <c r="AF153">
        <v>1</v>
      </c>
      <c r="AH153" t="s">
        <v>11201</v>
      </c>
      <c r="AI153" t="s">
        <v>11200</v>
      </c>
      <c r="AK153" t="s">
        <v>11199</v>
      </c>
      <c r="AL153">
        <v>93</v>
      </c>
      <c r="AM153" s="5">
        <f t="shared" si="18"/>
        <v>3.2068965517241379</v>
      </c>
      <c r="AN153" s="4">
        <f t="shared" si="23"/>
        <v>4.8570943608089931E-3</v>
      </c>
      <c r="AO153" s="3"/>
      <c r="AP153">
        <v>0</v>
      </c>
      <c r="AQ153" t="s">
        <v>4772</v>
      </c>
      <c r="AR153" t="s">
        <v>11198</v>
      </c>
      <c r="AS153" t="s">
        <v>4770</v>
      </c>
      <c r="AT153" s="2" t="s">
        <v>0</v>
      </c>
      <c r="AU153" s="1">
        <f t="shared" si="19"/>
        <v>2.6963655096102066</v>
      </c>
      <c r="AV153" s="1">
        <f t="shared" si="20"/>
        <v>2.0647494886018336</v>
      </c>
      <c r="AW153" s="1">
        <f t="shared" si="21"/>
        <v>1.4331334675934597</v>
      </c>
    </row>
    <row r="154" spans="1:49" x14ac:dyDescent="0.2">
      <c r="A154">
        <v>152</v>
      </c>
      <c r="B154" t="s">
        <v>11197</v>
      </c>
      <c r="F154" t="s">
        <v>11196</v>
      </c>
      <c r="G154" t="s">
        <v>15</v>
      </c>
      <c r="H154" t="s">
        <v>14</v>
      </c>
      <c r="I154" t="s">
        <v>11195</v>
      </c>
      <c r="N154">
        <v>5</v>
      </c>
      <c r="O154" t="s">
        <v>11194</v>
      </c>
      <c r="P154" t="s">
        <v>11193</v>
      </c>
      <c r="Q154" t="s">
        <v>8202</v>
      </c>
      <c r="R154" s="7">
        <v>34001</v>
      </c>
      <c r="S154" s="8">
        <f t="shared" si="16"/>
        <v>1993</v>
      </c>
      <c r="T154" s="8">
        <v>1993</v>
      </c>
      <c r="U154" s="8">
        <f t="shared" si="17"/>
        <v>29</v>
      </c>
      <c r="V154" s="7">
        <v>34001</v>
      </c>
      <c r="W154" t="s">
        <v>1769</v>
      </c>
      <c r="X154" s="2">
        <v>0.14099999999999999</v>
      </c>
      <c r="Y154" s="6">
        <f t="shared" si="22"/>
        <v>3.7639144710498915E-3</v>
      </c>
      <c r="AA154">
        <v>402508</v>
      </c>
      <c r="AB154">
        <v>20868</v>
      </c>
      <c r="AD154" t="s">
        <v>5</v>
      </c>
      <c r="AE154">
        <v>48</v>
      </c>
      <c r="AF154">
        <v>2</v>
      </c>
      <c r="AH154" t="s">
        <v>11192</v>
      </c>
      <c r="AI154" t="s">
        <v>11191</v>
      </c>
      <c r="AK154" t="s">
        <v>11190</v>
      </c>
      <c r="AL154">
        <v>0</v>
      </c>
      <c r="AM154" s="5">
        <f t="shared" si="18"/>
        <v>0</v>
      </c>
      <c r="AN154" s="4">
        <f t="shared" si="23"/>
        <v>0</v>
      </c>
      <c r="AO154" s="3"/>
      <c r="AP154">
        <v>0</v>
      </c>
      <c r="AR154" t="s">
        <v>1</v>
      </c>
      <c r="AT154" s="2" t="s">
        <v>0</v>
      </c>
      <c r="AU154" s="1">
        <f t="shared" si="19"/>
        <v>0.26347401297349238</v>
      </c>
      <c r="AV154" s="1">
        <f t="shared" si="20"/>
        <v>0.18819572355249459</v>
      </c>
      <c r="AW154" s="1">
        <f t="shared" si="21"/>
        <v>0.11291743413149673</v>
      </c>
    </row>
    <row r="155" spans="1:49" x14ac:dyDescent="0.2">
      <c r="A155">
        <v>153</v>
      </c>
      <c r="B155" t="s">
        <v>11189</v>
      </c>
      <c r="F155" t="s">
        <v>11188</v>
      </c>
      <c r="G155" t="s">
        <v>15</v>
      </c>
      <c r="H155" t="s">
        <v>14</v>
      </c>
      <c r="I155" t="s">
        <v>11181</v>
      </c>
      <c r="N155">
        <v>1</v>
      </c>
      <c r="O155" t="s">
        <v>11187</v>
      </c>
      <c r="P155">
        <v>6603244472</v>
      </c>
      <c r="R155" s="7">
        <v>34001</v>
      </c>
      <c r="S155" s="8">
        <f t="shared" si="16"/>
        <v>1993</v>
      </c>
      <c r="T155" s="8">
        <v>1993</v>
      </c>
      <c r="U155" s="8">
        <f t="shared" si="17"/>
        <v>29</v>
      </c>
      <c r="V155" s="7">
        <v>34001</v>
      </c>
      <c r="W155" t="s">
        <v>1769</v>
      </c>
      <c r="X155" s="2">
        <v>0.14099999999999999</v>
      </c>
      <c r="Y155" s="6">
        <f t="shared" si="22"/>
        <v>3.7639144710498915E-3</v>
      </c>
      <c r="AA155">
        <v>402508</v>
      </c>
      <c r="AB155">
        <v>20868</v>
      </c>
      <c r="AD155" t="s">
        <v>5</v>
      </c>
      <c r="AE155">
        <v>48</v>
      </c>
      <c r="AF155">
        <v>2</v>
      </c>
      <c r="AH155" t="s">
        <v>11186</v>
      </c>
      <c r="AI155" t="s">
        <v>11185</v>
      </c>
      <c r="AK155" t="s">
        <v>11184</v>
      </c>
      <c r="AL155">
        <v>0</v>
      </c>
      <c r="AM155" s="5">
        <f t="shared" si="18"/>
        <v>0</v>
      </c>
      <c r="AN155" s="4">
        <f t="shared" si="23"/>
        <v>0</v>
      </c>
      <c r="AO155" s="3"/>
      <c r="AP155">
        <v>0</v>
      </c>
      <c r="AR155" t="s">
        <v>1</v>
      </c>
      <c r="AT155" s="2" t="s">
        <v>0</v>
      </c>
      <c r="AU155" s="1">
        <f t="shared" si="19"/>
        <v>0.26347401297349238</v>
      </c>
      <c r="AV155" s="1">
        <f t="shared" si="20"/>
        <v>0.18819572355249459</v>
      </c>
      <c r="AW155" s="1">
        <f t="shared" si="21"/>
        <v>0.11291743413149673</v>
      </c>
    </row>
    <row r="156" spans="1:49" x14ac:dyDescent="0.2">
      <c r="A156">
        <v>154</v>
      </c>
      <c r="B156" t="s">
        <v>11183</v>
      </c>
      <c r="F156" t="s">
        <v>11182</v>
      </c>
      <c r="G156" t="s">
        <v>15</v>
      </c>
      <c r="H156" t="s">
        <v>14</v>
      </c>
      <c r="I156" t="s">
        <v>11181</v>
      </c>
      <c r="N156">
        <v>2</v>
      </c>
      <c r="O156" t="s">
        <v>11180</v>
      </c>
      <c r="P156" t="s">
        <v>11179</v>
      </c>
      <c r="Q156" t="s">
        <v>1557</v>
      </c>
      <c r="R156" s="7">
        <v>34001</v>
      </c>
      <c r="S156" s="8">
        <f t="shared" si="16"/>
        <v>1993</v>
      </c>
      <c r="T156" s="8">
        <v>1993</v>
      </c>
      <c r="U156" s="8">
        <f t="shared" si="17"/>
        <v>29</v>
      </c>
      <c r="V156" s="7">
        <v>34001</v>
      </c>
      <c r="W156" t="s">
        <v>1769</v>
      </c>
      <c r="X156" s="2">
        <v>0.14099999999999999</v>
      </c>
      <c r="Y156" s="6">
        <f t="shared" si="22"/>
        <v>3.7639144710498915E-3</v>
      </c>
      <c r="AA156">
        <v>402508</v>
      </c>
      <c r="AB156">
        <v>20868</v>
      </c>
      <c r="AD156" t="s">
        <v>5</v>
      </c>
      <c r="AE156">
        <v>48</v>
      </c>
      <c r="AF156">
        <v>2</v>
      </c>
      <c r="AH156" t="s">
        <v>11178</v>
      </c>
      <c r="AI156" t="s">
        <v>11177</v>
      </c>
      <c r="AK156" t="s">
        <v>11176</v>
      </c>
      <c r="AL156">
        <v>0</v>
      </c>
      <c r="AM156" s="5">
        <f t="shared" si="18"/>
        <v>0</v>
      </c>
      <c r="AN156" s="4">
        <f t="shared" si="23"/>
        <v>0</v>
      </c>
      <c r="AO156" s="3"/>
      <c r="AP156">
        <v>0</v>
      </c>
      <c r="AR156" t="s">
        <v>1</v>
      </c>
      <c r="AT156" s="2" t="s">
        <v>0</v>
      </c>
      <c r="AU156" s="1">
        <f t="shared" si="19"/>
        <v>0.26347401297349238</v>
      </c>
      <c r="AV156" s="1">
        <f t="shared" si="20"/>
        <v>0.18819572355249459</v>
      </c>
      <c r="AW156" s="1">
        <f t="shared" si="21"/>
        <v>0.11291743413149673</v>
      </c>
    </row>
    <row r="157" spans="1:49" x14ac:dyDescent="0.2">
      <c r="A157">
        <v>155</v>
      </c>
      <c r="B157" t="s">
        <v>11175</v>
      </c>
      <c r="F157" t="s">
        <v>11174</v>
      </c>
      <c r="G157" t="s">
        <v>15</v>
      </c>
      <c r="H157" t="s">
        <v>14</v>
      </c>
      <c r="I157" t="s">
        <v>11173</v>
      </c>
      <c r="N157">
        <v>2</v>
      </c>
      <c r="O157" t="s">
        <v>11172</v>
      </c>
      <c r="P157" t="s">
        <v>11171</v>
      </c>
      <c r="Q157" t="s">
        <v>1557</v>
      </c>
      <c r="R157" s="7">
        <v>34001</v>
      </c>
      <c r="S157" s="8">
        <f t="shared" si="16"/>
        <v>1993</v>
      </c>
      <c r="T157" s="8">
        <v>1993</v>
      </c>
      <c r="U157" s="8">
        <f t="shared" si="17"/>
        <v>29</v>
      </c>
      <c r="V157" s="7">
        <v>34001</v>
      </c>
      <c r="W157" t="s">
        <v>1769</v>
      </c>
      <c r="X157" s="2">
        <v>0.14099999999999999</v>
      </c>
      <c r="Y157" s="6">
        <f t="shared" si="22"/>
        <v>3.7639144710498915E-3</v>
      </c>
      <c r="AA157">
        <v>402508</v>
      </c>
      <c r="AB157">
        <v>20868</v>
      </c>
      <c r="AD157" t="s">
        <v>5</v>
      </c>
      <c r="AE157">
        <v>48</v>
      </c>
      <c r="AF157">
        <v>2</v>
      </c>
      <c r="AH157" t="s">
        <v>11170</v>
      </c>
      <c r="AI157" t="s">
        <v>11169</v>
      </c>
      <c r="AK157" t="s">
        <v>11168</v>
      </c>
      <c r="AL157">
        <v>0</v>
      </c>
      <c r="AM157" s="5">
        <f t="shared" si="18"/>
        <v>0</v>
      </c>
      <c r="AN157" s="4">
        <f t="shared" si="23"/>
        <v>0</v>
      </c>
      <c r="AO157" s="3"/>
      <c r="AP157">
        <v>0</v>
      </c>
      <c r="AR157" t="s">
        <v>1</v>
      </c>
      <c r="AT157" s="2" t="s">
        <v>0</v>
      </c>
      <c r="AU157" s="1">
        <f t="shared" si="19"/>
        <v>0.26347401297349238</v>
      </c>
      <c r="AV157" s="1">
        <f t="shared" si="20"/>
        <v>0.18819572355249459</v>
      </c>
      <c r="AW157" s="1">
        <f t="shared" si="21"/>
        <v>0.11291743413149673</v>
      </c>
    </row>
    <row r="158" spans="1:49" x14ac:dyDescent="0.2">
      <c r="A158">
        <v>156</v>
      </c>
      <c r="B158" t="s">
        <v>11167</v>
      </c>
      <c r="F158" t="s">
        <v>11166</v>
      </c>
      <c r="G158" t="s">
        <v>15</v>
      </c>
      <c r="H158" t="s">
        <v>14</v>
      </c>
      <c r="I158" t="s">
        <v>11165</v>
      </c>
      <c r="N158">
        <v>1</v>
      </c>
      <c r="O158" t="s">
        <v>11164</v>
      </c>
      <c r="P158">
        <v>7004513461</v>
      </c>
      <c r="R158" s="7">
        <v>34001</v>
      </c>
      <c r="S158" s="8">
        <f t="shared" si="16"/>
        <v>1993</v>
      </c>
      <c r="T158" s="8">
        <v>1993</v>
      </c>
      <c r="U158" s="8">
        <f t="shared" si="17"/>
        <v>29</v>
      </c>
      <c r="V158" s="7">
        <v>34001</v>
      </c>
      <c r="W158" t="s">
        <v>1769</v>
      </c>
      <c r="X158" s="2">
        <v>0.14099999999999999</v>
      </c>
      <c r="Y158" s="6">
        <f t="shared" si="22"/>
        <v>3.7639144710498915E-3</v>
      </c>
      <c r="AA158">
        <v>402508</v>
      </c>
      <c r="AB158">
        <v>20868</v>
      </c>
      <c r="AD158" t="s">
        <v>5</v>
      </c>
      <c r="AE158">
        <v>48</v>
      </c>
      <c r="AF158">
        <v>2</v>
      </c>
      <c r="AH158" t="s">
        <v>11163</v>
      </c>
      <c r="AI158" t="s">
        <v>11162</v>
      </c>
      <c r="AK158" t="s">
        <v>11161</v>
      </c>
      <c r="AL158">
        <v>0</v>
      </c>
      <c r="AM158" s="5">
        <f t="shared" si="18"/>
        <v>0</v>
      </c>
      <c r="AN158" s="4">
        <f t="shared" si="23"/>
        <v>0</v>
      </c>
      <c r="AO158" s="3"/>
      <c r="AP158">
        <v>0</v>
      </c>
      <c r="AR158" t="s">
        <v>1</v>
      </c>
      <c r="AT158" s="2" t="s">
        <v>0</v>
      </c>
      <c r="AU158" s="1">
        <f t="shared" si="19"/>
        <v>0.26347401297349238</v>
      </c>
      <c r="AV158" s="1">
        <f t="shared" si="20"/>
        <v>0.18819572355249459</v>
      </c>
      <c r="AW158" s="1">
        <f t="shared" si="21"/>
        <v>0.11291743413149673</v>
      </c>
    </row>
    <row r="159" spans="1:49" x14ac:dyDescent="0.2">
      <c r="A159">
        <v>157</v>
      </c>
      <c r="B159" t="s">
        <v>11160</v>
      </c>
      <c r="F159" t="s">
        <v>11159</v>
      </c>
      <c r="G159" t="s">
        <v>15</v>
      </c>
      <c r="H159" t="s">
        <v>14</v>
      </c>
      <c r="I159" t="s">
        <v>11158</v>
      </c>
      <c r="N159">
        <v>3</v>
      </c>
      <c r="O159" t="s">
        <v>11157</v>
      </c>
      <c r="P159" t="s">
        <v>11156</v>
      </c>
      <c r="Q159" t="s">
        <v>2929</v>
      </c>
      <c r="R159" s="7">
        <v>34001</v>
      </c>
      <c r="S159" s="8">
        <f t="shared" si="16"/>
        <v>1993</v>
      </c>
      <c r="T159" s="8">
        <v>1993</v>
      </c>
      <c r="U159" s="8">
        <f t="shared" si="17"/>
        <v>29</v>
      </c>
      <c r="V159" s="7">
        <v>34001</v>
      </c>
      <c r="W159" t="s">
        <v>1769</v>
      </c>
      <c r="X159" s="2">
        <v>0.14099999999999999</v>
      </c>
      <c r="Y159" s="6">
        <f t="shared" si="22"/>
        <v>3.7639144710498915E-3</v>
      </c>
      <c r="AA159">
        <v>402508</v>
      </c>
      <c r="AB159">
        <v>20868</v>
      </c>
      <c r="AD159" t="s">
        <v>5</v>
      </c>
      <c r="AE159">
        <v>48</v>
      </c>
      <c r="AF159">
        <v>2</v>
      </c>
      <c r="AH159" t="s">
        <v>11155</v>
      </c>
      <c r="AI159" t="s">
        <v>11154</v>
      </c>
      <c r="AK159" t="s">
        <v>11153</v>
      </c>
      <c r="AL159">
        <v>0</v>
      </c>
      <c r="AM159" s="5">
        <f t="shared" si="18"/>
        <v>0</v>
      </c>
      <c r="AN159" s="4">
        <f t="shared" si="23"/>
        <v>0</v>
      </c>
      <c r="AO159" s="3"/>
      <c r="AP159">
        <v>0</v>
      </c>
      <c r="AR159" t="s">
        <v>1</v>
      </c>
      <c r="AT159" s="2" t="s">
        <v>0</v>
      </c>
      <c r="AU159" s="1">
        <f t="shared" si="19"/>
        <v>0.26347401297349238</v>
      </c>
      <c r="AV159" s="1">
        <f t="shared" si="20"/>
        <v>0.18819572355249459</v>
      </c>
      <c r="AW159" s="1">
        <f t="shared" si="21"/>
        <v>0.11291743413149673</v>
      </c>
    </row>
    <row r="160" spans="1:49" x14ac:dyDescent="0.2">
      <c r="A160">
        <v>158</v>
      </c>
      <c r="B160" t="s">
        <v>11152</v>
      </c>
      <c r="F160" t="s">
        <v>11151</v>
      </c>
      <c r="G160" t="s">
        <v>15</v>
      </c>
      <c r="H160" t="s">
        <v>14</v>
      </c>
      <c r="I160" t="s">
        <v>11150</v>
      </c>
      <c r="N160">
        <v>1</v>
      </c>
      <c r="O160" t="s">
        <v>11149</v>
      </c>
      <c r="P160">
        <v>7003404766</v>
      </c>
      <c r="R160" s="7">
        <v>34001</v>
      </c>
      <c r="S160" s="8">
        <f t="shared" si="16"/>
        <v>1993</v>
      </c>
      <c r="T160" s="8">
        <v>1993</v>
      </c>
      <c r="U160" s="8">
        <f t="shared" si="17"/>
        <v>29</v>
      </c>
      <c r="V160" s="7">
        <v>34001</v>
      </c>
      <c r="W160" t="s">
        <v>1769</v>
      </c>
      <c r="X160" s="2">
        <v>0.14099999999999999</v>
      </c>
      <c r="Y160" s="6">
        <f t="shared" si="22"/>
        <v>3.7639144710498915E-3</v>
      </c>
      <c r="AA160">
        <v>402508</v>
      </c>
      <c r="AB160">
        <v>20868</v>
      </c>
      <c r="AD160" t="s">
        <v>5</v>
      </c>
      <c r="AE160">
        <v>48</v>
      </c>
      <c r="AF160">
        <v>2</v>
      </c>
      <c r="AH160" t="s">
        <v>11148</v>
      </c>
      <c r="AI160" t="s">
        <v>11147</v>
      </c>
      <c r="AK160" t="s">
        <v>11146</v>
      </c>
      <c r="AL160">
        <v>3</v>
      </c>
      <c r="AM160" s="5">
        <f t="shared" si="18"/>
        <v>0.10344827586206896</v>
      </c>
      <c r="AN160" s="4">
        <f t="shared" si="23"/>
        <v>1.5668046325190301E-4</v>
      </c>
      <c r="AO160" s="3"/>
      <c r="AP160">
        <v>0</v>
      </c>
      <c r="AR160" t="s">
        <v>1</v>
      </c>
      <c r="AT160" s="2" t="s">
        <v>0</v>
      </c>
      <c r="AU160" s="1">
        <f t="shared" si="19"/>
        <v>0.26817442687104948</v>
      </c>
      <c r="AV160" s="1">
        <f t="shared" si="20"/>
        <v>0.19602974671508971</v>
      </c>
      <c r="AW160" s="1">
        <f t="shared" si="21"/>
        <v>0.12388506655912994</v>
      </c>
    </row>
    <row r="161" spans="1:49" x14ac:dyDescent="0.2">
      <c r="A161">
        <v>159</v>
      </c>
      <c r="B161" t="s">
        <v>11145</v>
      </c>
      <c r="F161" t="s">
        <v>11144</v>
      </c>
      <c r="G161" t="s">
        <v>15</v>
      </c>
      <c r="H161" t="s">
        <v>14</v>
      </c>
      <c r="I161" t="s">
        <v>11143</v>
      </c>
      <c r="N161">
        <v>1</v>
      </c>
      <c r="O161" t="s">
        <v>11142</v>
      </c>
      <c r="P161">
        <v>6505871234</v>
      </c>
      <c r="R161" s="7">
        <v>34001</v>
      </c>
      <c r="S161" s="8">
        <f t="shared" si="16"/>
        <v>1993</v>
      </c>
      <c r="T161" s="8">
        <v>1993</v>
      </c>
      <c r="U161" s="8">
        <f t="shared" si="17"/>
        <v>29</v>
      </c>
      <c r="V161" s="7">
        <v>34001</v>
      </c>
      <c r="W161" t="s">
        <v>1769</v>
      </c>
      <c r="X161" s="2">
        <v>0.14099999999999999</v>
      </c>
      <c r="Y161" s="6">
        <f t="shared" si="22"/>
        <v>3.7639144710498915E-3</v>
      </c>
      <c r="AA161">
        <v>402508</v>
      </c>
      <c r="AB161">
        <v>20868</v>
      </c>
      <c r="AD161" t="s">
        <v>5</v>
      </c>
      <c r="AE161">
        <v>48</v>
      </c>
      <c r="AF161">
        <v>2</v>
      </c>
      <c r="AH161" t="s">
        <v>11141</v>
      </c>
      <c r="AI161" t="s">
        <v>11140</v>
      </c>
      <c r="AK161" t="s">
        <v>11139</v>
      </c>
      <c r="AL161">
        <v>0</v>
      </c>
      <c r="AM161" s="5">
        <f t="shared" si="18"/>
        <v>0</v>
      </c>
      <c r="AN161" s="4">
        <f t="shared" si="23"/>
        <v>0</v>
      </c>
      <c r="AO161" s="3"/>
      <c r="AP161">
        <v>0</v>
      </c>
      <c r="AR161" t="s">
        <v>1</v>
      </c>
      <c r="AT161" s="2" t="s">
        <v>0</v>
      </c>
      <c r="AU161" s="1">
        <f t="shared" si="19"/>
        <v>0.26347401297349238</v>
      </c>
      <c r="AV161" s="1">
        <f t="shared" si="20"/>
        <v>0.18819572355249459</v>
      </c>
      <c r="AW161" s="1">
        <f t="shared" si="21"/>
        <v>0.11291743413149673</v>
      </c>
    </row>
    <row r="162" spans="1:49" x14ac:dyDescent="0.2">
      <c r="A162">
        <v>160</v>
      </c>
      <c r="B162" t="s">
        <v>11138</v>
      </c>
      <c r="C162" t="s">
        <v>11137</v>
      </c>
      <c r="F162" t="s">
        <v>11136</v>
      </c>
      <c r="G162" t="s">
        <v>15</v>
      </c>
      <c r="H162" t="s">
        <v>14</v>
      </c>
      <c r="I162" t="s">
        <v>11135</v>
      </c>
      <c r="J162" t="s">
        <v>11134</v>
      </c>
      <c r="K162" t="s">
        <v>11133</v>
      </c>
      <c r="L162" t="s">
        <v>11132</v>
      </c>
      <c r="M162" t="s">
        <v>705</v>
      </c>
      <c r="N162">
        <v>2</v>
      </c>
      <c r="O162" t="s">
        <v>11131</v>
      </c>
      <c r="P162" t="s">
        <v>11130</v>
      </c>
      <c r="Q162" t="s">
        <v>11129</v>
      </c>
      <c r="R162" s="7">
        <v>33989</v>
      </c>
      <c r="S162" s="8">
        <f t="shared" si="16"/>
        <v>1993</v>
      </c>
      <c r="T162" s="8">
        <v>1993</v>
      </c>
      <c r="U162" s="8">
        <f t="shared" si="17"/>
        <v>29</v>
      </c>
      <c r="V162" s="7">
        <v>33989</v>
      </c>
      <c r="W162" t="s">
        <v>11128</v>
      </c>
      <c r="X162" s="2" t="s">
        <v>0</v>
      </c>
      <c r="Y162" s="6" t="e">
        <f t="shared" si="22"/>
        <v>#VALUE!</v>
      </c>
      <c r="AA162">
        <v>2955075</v>
      </c>
      <c r="AB162">
        <v>27551</v>
      </c>
      <c r="AC162">
        <v>12864854</v>
      </c>
      <c r="AD162" t="s">
        <v>5</v>
      </c>
      <c r="AE162">
        <v>21</v>
      </c>
      <c r="AF162">
        <v>3</v>
      </c>
      <c r="AH162" t="s">
        <v>11127</v>
      </c>
      <c r="AI162" t="s">
        <v>11126</v>
      </c>
      <c r="AK162" t="s">
        <v>11125</v>
      </c>
      <c r="AL162">
        <v>11</v>
      </c>
      <c r="AM162" s="5">
        <f t="shared" si="18"/>
        <v>0.37931034482758619</v>
      </c>
      <c r="AN162" s="4">
        <f t="shared" si="23"/>
        <v>5.7449503192364435E-4</v>
      </c>
      <c r="AO162" s="3"/>
      <c r="AP162">
        <v>0</v>
      </c>
      <c r="AR162" t="s">
        <v>1</v>
      </c>
      <c r="AT162" s="2">
        <v>1.9470000000000001</v>
      </c>
      <c r="AU162" s="1" t="e">
        <f t="shared" si="19"/>
        <v>#VALUE!</v>
      </c>
      <c r="AV162" s="1" t="e">
        <f t="shared" si="20"/>
        <v>#VALUE!</v>
      </c>
      <c r="AW162" s="1" t="e">
        <f t="shared" si="21"/>
        <v>#VALUE!</v>
      </c>
    </row>
    <row r="163" spans="1:49" x14ac:dyDescent="0.2">
      <c r="A163">
        <v>161</v>
      </c>
      <c r="B163" t="s">
        <v>11124</v>
      </c>
      <c r="C163" t="s">
        <v>11123</v>
      </c>
      <c r="F163" t="s">
        <v>11122</v>
      </c>
      <c r="G163" t="s">
        <v>15</v>
      </c>
      <c r="H163" t="s">
        <v>14</v>
      </c>
      <c r="I163" t="s">
        <v>11121</v>
      </c>
      <c r="N163">
        <v>1</v>
      </c>
      <c r="O163" t="s">
        <v>11120</v>
      </c>
      <c r="P163">
        <v>8309773700</v>
      </c>
      <c r="R163" s="7">
        <v>33970</v>
      </c>
      <c r="S163" s="8">
        <f t="shared" si="16"/>
        <v>1993</v>
      </c>
      <c r="T163" s="8">
        <v>1993</v>
      </c>
      <c r="U163" s="8">
        <f t="shared" si="17"/>
        <v>29</v>
      </c>
      <c r="V163" s="7">
        <v>1993</v>
      </c>
      <c r="W163" t="s">
        <v>11119</v>
      </c>
      <c r="X163" s="2">
        <v>0</v>
      </c>
      <c r="Y163" s="6">
        <f t="shared" si="22"/>
        <v>0</v>
      </c>
      <c r="AA163">
        <v>1296612</v>
      </c>
      <c r="AB163">
        <v>23067</v>
      </c>
      <c r="AC163">
        <v>23776277</v>
      </c>
      <c r="AD163" t="s">
        <v>5</v>
      </c>
      <c r="AE163">
        <v>20</v>
      </c>
      <c r="AF163">
        <v>4</v>
      </c>
      <c r="AH163" t="s">
        <v>11118</v>
      </c>
      <c r="AI163" t="s">
        <v>11117</v>
      </c>
      <c r="AK163" t="s">
        <v>11116</v>
      </c>
      <c r="AL163">
        <v>0</v>
      </c>
      <c r="AM163" s="5">
        <f t="shared" si="18"/>
        <v>0</v>
      </c>
      <c r="AN163" s="4">
        <f t="shared" si="23"/>
        <v>0</v>
      </c>
      <c r="AO163" s="3"/>
      <c r="AP163">
        <v>0</v>
      </c>
      <c r="AR163" t="s">
        <v>1</v>
      </c>
      <c r="AT163" s="2" t="s">
        <v>0</v>
      </c>
      <c r="AU163" s="1">
        <f t="shared" si="19"/>
        <v>0</v>
      </c>
      <c r="AV163" s="1">
        <f t="shared" si="20"/>
        <v>0</v>
      </c>
      <c r="AW163" s="1">
        <f t="shared" si="21"/>
        <v>0</v>
      </c>
    </row>
    <row r="164" spans="1:49" x14ac:dyDescent="0.2">
      <c r="A164">
        <v>162</v>
      </c>
      <c r="B164" t="s">
        <v>11115</v>
      </c>
      <c r="C164" t="s">
        <v>11114</v>
      </c>
      <c r="F164" t="s">
        <v>11113</v>
      </c>
      <c r="G164" t="s">
        <v>15</v>
      </c>
      <c r="H164" t="s">
        <v>14</v>
      </c>
      <c r="R164" s="7">
        <v>33970</v>
      </c>
      <c r="S164" s="8">
        <f t="shared" si="16"/>
        <v>1993</v>
      </c>
      <c r="T164" s="8">
        <v>1993</v>
      </c>
      <c r="U164" s="8">
        <f t="shared" si="17"/>
        <v>29</v>
      </c>
      <c r="V164" s="7">
        <v>1993</v>
      </c>
      <c r="W164" t="s">
        <v>11112</v>
      </c>
      <c r="X164" s="2">
        <v>12.555999999999999</v>
      </c>
      <c r="Y164" s="6">
        <f t="shared" si="22"/>
        <v>0.33517524892554923</v>
      </c>
      <c r="AA164">
        <v>368075</v>
      </c>
      <c r="AB164">
        <v>23571</v>
      </c>
      <c r="AD164" t="s">
        <v>5</v>
      </c>
      <c r="AE164">
        <v>259</v>
      </c>
      <c r="AF164">
        <v>5096</v>
      </c>
      <c r="AH164">
        <v>759</v>
      </c>
      <c r="AL164">
        <v>1</v>
      </c>
      <c r="AM164" s="5">
        <f t="shared" si="18"/>
        <v>3.4482758620689655E-2</v>
      </c>
      <c r="AN164" s="4">
        <f t="shared" si="23"/>
        <v>5.2226821083967674E-5</v>
      </c>
      <c r="AO164" s="3"/>
      <c r="AP164">
        <v>0</v>
      </c>
      <c r="AR164" t="s">
        <v>1</v>
      </c>
      <c r="AT164" s="2">
        <v>47.728000000000002</v>
      </c>
      <c r="AU164" s="1">
        <f t="shared" si="19"/>
        <v>23.463834229420964</v>
      </c>
      <c r="AV164" s="1">
        <f t="shared" si="20"/>
        <v>16.76137378733166</v>
      </c>
      <c r="AW164" s="1">
        <f t="shared" si="21"/>
        <v>10.058913345242354</v>
      </c>
    </row>
    <row r="165" spans="1:49" x14ac:dyDescent="0.2">
      <c r="A165">
        <v>163</v>
      </c>
      <c r="B165" t="s">
        <v>11111</v>
      </c>
      <c r="C165" t="s">
        <v>11110</v>
      </c>
      <c r="F165" t="s">
        <v>11109</v>
      </c>
      <c r="G165" t="s">
        <v>15</v>
      </c>
      <c r="H165" t="s">
        <v>14</v>
      </c>
      <c r="I165" t="s">
        <v>11108</v>
      </c>
      <c r="J165">
        <v>60016253</v>
      </c>
      <c r="K165" t="s">
        <v>11107</v>
      </c>
      <c r="L165" t="s">
        <v>11106</v>
      </c>
      <c r="M165" t="s">
        <v>303</v>
      </c>
      <c r="N165">
        <v>1</v>
      </c>
      <c r="O165" t="s">
        <v>11105</v>
      </c>
      <c r="P165">
        <v>7003806263</v>
      </c>
      <c r="Q165">
        <v>60016253</v>
      </c>
      <c r="R165" s="7">
        <v>33970</v>
      </c>
      <c r="S165" s="8">
        <f t="shared" si="16"/>
        <v>1993</v>
      </c>
      <c r="T165" s="8">
        <v>1993</v>
      </c>
      <c r="U165" s="8">
        <f t="shared" si="17"/>
        <v>29</v>
      </c>
      <c r="V165" s="7">
        <v>34060</v>
      </c>
      <c r="W165" t="s">
        <v>8568</v>
      </c>
      <c r="X165" s="2" t="s">
        <v>0</v>
      </c>
      <c r="Y165" s="6" t="e">
        <f t="shared" si="22"/>
        <v>#VALUE!</v>
      </c>
      <c r="AA165" t="s">
        <v>8567</v>
      </c>
      <c r="AB165">
        <v>19716</v>
      </c>
      <c r="AC165">
        <v>19183240</v>
      </c>
      <c r="AD165" t="s">
        <v>5</v>
      </c>
      <c r="AE165">
        <v>125</v>
      </c>
      <c r="AF165">
        <v>2</v>
      </c>
      <c r="AH165" t="s">
        <v>11104</v>
      </c>
      <c r="AI165" t="s">
        <v>11103</v>
      </c>
      <c r="AK165" t="s">
        <v>11102</v>
      </c>
      <c r="AL165">
        <v>6</v>
      </c>
      <c r="AM165" s="5">
        <f t="shared" si="18"/>
        <v>0.20689655172413793</v>
      </c>
      <c r="AN165" s="4">
        <f t="shared" si="23"/>
        <v>3.1336092650380602E-4</v>
      </c>
      <c r="AO165" s="3"/>
      <c r="AP165">
        <v>0</v>
      </c>
      <c r="AR165" t="s">
        <v>1</v>
      </c>
      <c r="AT165" s="2" t="s">
        <v>0</v>
      </c>
      <c r="AU165" s="1" t="e">
        <f t="shared" si="19"/>
        <v>#VALUE!</v>
      </c>
      <c r="AV165" s="1" t="e">
        <f t="shared" si="20"/>
        <v>#VALUE!</v>
      </c>
      <c r="AW165" s="1" t="e">
        <f t="shared" si="21"/>
        <v>#VALUE!</v>
      </c>
    </row>
    <row r="166" spans="1:49" x14ac:dyDescent="0.2">
      <c r="A166">
        <v>164</v>
      </c>
      <c r="B166" t="s">
        <v>11101</v>
      </c>
      <c r="C166" t="s">
        <v>11100</v>
      </c>
      <c r="F166" t="s">
        <v>11099</v>
      </c>
      <c r="G166" t="s">
        <v>15</v>
      </c>
      <c r="H166" t="s">
        <v>14</v>
      </c>
      <c r="I166" t="s">
        <v>1494</v>
      </c>
      <c r="J166" t="s">
        <v>1493</v>
      </c>
      <c r="K166" t="s">
        <v>1492</v>
      </c>
      <c r="L166" t="s">
        <v>1491</v>
      </c>
      <c r="M166" t="s">
        <v>1490</v>
      </c>
      <c r="N166">
        <v>3</v>
      </c>
      <c r="O166" t="s">
        <v>11098</v>
      </c>
      <c r="P166" t="s">
        <v>11097</v>
      </c>
      <c r="Q166" t="s">
        <v>11096</v>
      </c>
      <c r="R166" s="7">
        <v>33970</v>
      </c>
      <c r="S166" s="8">
        <f t="shared" si="16"/>
        <v>1993</v>
      </c>
      <c r="T166" s="8">
        <v>1993</v>
      </c>
      <c r="U166" s="8">
        <f t="shared" si="17"/>
        <v>29</v>
      </c>
      <c r="V166" s="7">
        <v>34001</v>
      </c>
      <c r="W166" t="s">
        <v>11095</v>
      </c>
      <c r="X166" s="2" t="s">
        <v>0</v>
      </c>
      <c r="Y166" s="6" t="e">
        <f t="shared" si="22"/>
        <v>#VALUE!</v>
      </c>
      <c r="AA166">
        <v>9328629</v>
      </c>
      <c r="AB166">
        <v>39561</v>
      </c>
      <c r="AC166">
        <v>14388677</v>
      </c>
      <c r="AD166" t="s">
        <v>5</v>
      </c>
      <c r="AE166">
        <v>106</v>
      </c>
      <c r="AF166">
        <v>1</v>
      </c>
      <c r="AH166" t="s">
        <v>11094</v>
      </c>
      <c r="AI166" t="s">
        <v>11093</v>
      </c>
      <c r="AJ166" t="s">
        <v>11092</v>
      </c>
      <c r="AK166" t="s">
        <v>11091</v>
      </c>
      <c r="AL166">
        <v>11</v>
      </c>
      <c r="AM166" s="5">
        <f t="shared" si="18"/>
        <v>0.37931034482758619</v>
      </c>
      <c r="AN166" s="4">
        <f t="shared" si="23"/>
        <v>5.7449503192364435E-4</v>
      </c>
      <c r="AO166" s="3"/>
      <c r="AP166">
        <v>0</v>
      </c>
      <c r="AR166" t="s">
        <v>1</v>
      </c>
      <c r="AT166" s="2" t="s">
        <v>0</v>
      </c>
      <c r="AU166" s="1" t="e">
        <f t="shared" si="19"/>
        <v>#VALUE!</v>
      </c>
      <c r="AV166" s="1" t="e">
        <f t="shared" si="20"/>
        <v>#VALUE!</v>
      </c>
      <c r="AW166" s="1" t="e">
        <f t="shared" si="21"/>
        <v>#VALUE!</v>
      </c>
    </row>
    <row r="167" spans="1:49" x14ac:dyDescent="0.2">
      <c r="A167">
        <v>165</v>
      </c>
      <c r="B167" t="s">
        <v>11090</v>
      </c>
      <c r="C167" t="s">
        <v>11089</v>
      </c>
      <c r="F167" t="s">
        <v>11088</v>
      </c>
      <c r="G167" t="s">
        <v>15</v>
      </c>
      <c r="H167" t="s">
        <v>14</v>
      </c>
      <c r="I167" t="s">
        <v>11087</v>
      </c>
      <c r="N167">
        <v>4</v>
      </c>
      <c r="O167" t="s">
        <v>11086</v>
      </c>
      <c r="P167" t="s">
        <v>11085</v>
      </c>
      <c r="Q167" t="s">
        <v>6458</v>
      </c>
      <c r="R167" s="7">
        <v>33970</v>
      </c>
      <c r="S167" s="8">
        <f t="shared" si="16"/>
        <v>1993</v>
      </c>
      <c r="T167" s="8">
        <v>1993</v>
      </c>
      <c r="U167" s="8">
        <f t="shared" si="17"/>
        <v>29</v>
      </c>
      <c r="V167" s="7">
        <v>34029</v>
      </c>
      <c r="W167" t="s">
        <v>11084</v>
      </c>
      <c r="X167" s="2">
        <v>0.14899999999999999</v>
      </c>
      <c r="Y167" s="6">
        <f t="shared" si="22"/>
        <v>3.977469902031446E-3</v>
      </c>
      <c r="AA167">
        <v>281425</v>
      </c>
      <c r="AB167">
        <v>21100416801</v>
      </c>
      <c r="AC167">
        <v>15593584</v>
      </c>
      <c r="AD167" t="s">
        <v>5</v>
      </c>
      <c r="AE167">
        <v>105</v>
      </c>
      <c r="AF167">
        <v>2</v>
      </c>
      <c r="AH167" t="s">
        <v>11083</v>
      </c>
      <c r="AI167" t="s">
        <v>11082</v>
      </c>
      <c r="AK167" t="s">
        <v>11081</v>
      </c>
      <c r="AL167">
        <v>0</v>
      </c>
      <c r="AM167" s="5">
        <f t="shared" si="18"/>
        <v>0</v>
      </c>
      <c r="AN167" s="4">
        <f t="shared" si="23"/>
        <v>0</v>
      </c>
      <c r="AO167" s="3"/>
      <c r="AP167">
        <v>0</v>
      </c>
      <c r="AR167" t="s">
        <v>1</v>
      </c>
      <c r="AT167" s="2">
        <v>0.24299999999999999</v>
      </c>
      <c r="AU167" s="1">
        <f t="shared" si="19"/>
        <v>0.2784228931422012</v>
      </c>
      <c r="AV167" s="1">
        <f t="shared" si="20"/>
        <v>0.19887349510157229</v>
      </c>
      <c r="AW167" s="1">
        <f t="shared" si="21"/>
        <v>0.11932409706094337</v>
      </c>
    </row>
    <row r="168" spans="1:49" x14ac:dyDescent="0.2">
      <c r="A168">
        <v>166</v>
      </c>
      <c r="B168" t="s">
        <v>11080</v>
      </c>
      <c r="C168" t="s">
        <v>11079</v>
      </c>
      <c r="F168" t="s">
        <v>11078</v>
      </c>
      <c r="G168" t="s">
        <v>15</v>
      </c>
      <c r="H168" t="s">
        <v>14</v>
      </c>
      <c r="I168" t="s">
        <v>11077</v>
      </c>
      <c r="J168">
        <v>60025555</v>
      </c>
      <c r="K168" t="s">
        <v>1785</v>
      </c>
      <c r="L168" t="s">
        <v>151</v>
      </c>
      <c r="M168" t="s">
        <v>150</v>
      </c>
      <c r="N168">
        <v>2</v>
      </c>
      <c r="O168" t="s">
        <v>11076</v>
      </c>
      <c r="P168" t="s">
        <v>11075</v>
      </c>
      <c r="Q168" t="s">
        <v>2566</v>
      </c>
      <c r="R168" s="7">
        <v>33970</v>
      </c>
      <c r="S168" s="8">
        <f t="shared" si="16"/>
        <v>1993</v>
      </c>
      <c r="T168" s="8">
        <v>1993</v>
      </c>
      <c r="U168" s="8">
        <f t="shared" si="17"/>
        <v>29</v>
      </c>
      <c r="V168" s="7">
        <v>1993</v>
      </c>
      <c r="W168" t="s">
        <v>11074</v>
      </c>
      <c r="X168" s="2">
        <v>0.185</v>
      </c>
      <c r="Y168" s="6">
        <f t="shared" si="22"/>
        <v>4.9384693414484399E-3</v>
      </c>
      <c r="AA168">
        <v>9136339</v>
      </c>
      <c r="AB168">
        <v>3300147409</v>
      </c>
      <c r="AC168">
        <v>13488163</v>
      </c>
      <c r="AD168" t="s">
        <v>5</v>
      </c>
      <c r="AE168">
        <v>113</v>
      </c>
      <c r="AF168">
        <v>8</v>
      </c>
      <c r="AH168" t="s">
        <v>11073</v>
      </c>
      <c r="AL168">
        <v>0</v>
      </c>
      <c r="AM168" s="5">
        <f t="shared" si="18"/>
        <v>0</v>
      </c>
      <c r="AN168" s="4">
        <f t="shared" si="23"/>
        <v>0</v>
      </c>
      <c r="AO168" s="3"/>
      <c r="AP168">
        <v>1</v>
      </c>
      <c r="AR168" t="s">
        <v>1</v>
      </c>
      <c r="AT168" s="2" t="s">
        <v>0</v>
      </c>
      <c r="AU168" s="1">
        <f t="shared" si="19"/>
        <v>0.34569285390139076</v>
      </c>
      <c r="AV168" s="1">
        <f t="shared" si="20"/>
        <v>0.24692346707242199</v>
      </c>
      <c r="AW168" s="1">
        <f t="shared" si="21"/>
        <v>0.1481540802434532</v>
      </c>
    </row>
    <row r="169" spans="1:49" x14ac:dyDescent="0.2">
      <c r="A169">
        <v>167</v>
      </c>
      <c r="B169" t="s">
        <v>11072</v>
      </c>
      <c r="C169" t="s">
        <v>11071</v>
      </c>
      <c r="F169" t="s">
        <v>11070</v>
      </c>
      <c r="G169" t="s">
        <v>15</v>
      </c>
      <c r="H169" t="s">
        <v>14</v>
      </c>
      <c r="I169" t="s">
        <v>11069</v>
      </c>
      <c r="J169">
        <v>60010023</v>
      </c>
      <c r="K169" t="s">
        <v>11068</v>
      </c>
      <c r="L169" t="s">
        <v>11067</v>
      </c>
      <c r="M169" t="s">
        <v>721</v>
      </c>
      <c r="N169">
        <v>2</v>
      </c>
      <c r="O169" t="s">
        <v>11066</v>
      </c>
      <c r="P169" t="s">
        <v>11065</v>
      </c>
      <c r="Q169" t="s">
        <v>11064</v>
      </c>
      <c r="R169" s="7">
        <v>33970</v>
      </c>
      <c r="S169" s="8">
        <f t="shared" si="16"/>
        <v>1993</v>
      </c>
      <c r="T169" s="8">
        <v>1993</v>
      </c>
      <c r="U169" s="8">
        <f t="shared" si="17"/>
        <v>29</v>
      </c>
      <c r="V169" s="7">
        <v>34029</v>
      </c>
      <c r="W169" t="s">
        <v>504</v>
      </c>
      <c r="X169" s="2">
        <v>0.69299999999999995</v>
      </c>
      <c r="Y169" s="6">
        <f t="shared" si="22"/>
        <v>1.8499239208777128E-2</v>
      </c>
      <c r="AA169">
        <v>3076962</v>
      </c>
      <c r="AB169">
        <v>21084</v>
      </c>
      <c r="AC169">
        <v>13653032</v>
      </c>
      <c r="AD169" t="s">
        <v>5</v>
      </c>
      <c r="AE169">
        <v>18</v>
      </c>
      <c r="AF169">
        <v>1</v>
      </c>
      <c r="AH169" t="s">
        <v>11063</v>
      </c>
      <c r="AI169" t="s">
        <v>11062</v>
      </c>
      <c r="AJ169" t="s">
        <v>11061</v>
      </c>
      <c r="AK169" t="s">
        <v>11060</v>
      </c>
      <c r="AL169">
        <v>16</v>
      </c>
      <c r="AM169" s="5">
        <f t="shared" si="18"/>
        <v>0.55172413793103448</v>
      </c>
      <c r="AN169" s="4">
        <f t="shared" si="23"/>
        <v>8.3562913734348278E-4</v>
      </c>
      <c r="AO169" s="3"/>
      <c r="AP169">
        <v>0</v>
      </c>
      <c r="AR169" t="s">
        <v>1</v>
      </c>
      <c r="AT169" s="2">
        <v>1.833</v>
      </c>
      <c r="AU169" s="1">
        <f t="shared" si="19"/>
        <v>1.3200156187347034</v>
      </c>
      <c r="AV169" s="1">
        <f t="shared" si="20"/>
        <v>0.96674341730603053</v>
      </c>
      <c r="AW169" s="1">
        <f t="shared" si="21"/>
        <v>0.61347121587735765</v>
      </c>
    </row>
    <row r="170" spans="1:49" x14ac:dyDescent="0.2">
      <c r="A170">
        <v>168</v>
      </c>
      <c r="B170" t="s">
        <v>11059</v>
      </c>
      <c r="C170" t="s">
        <v>11058</v>
      </c>
      <c r="F170" t="s">
        <v>11057</v>
      </c>
      <c r="G170" t="s">
        <v>15</v>
      </c>
      <c r="H170" t="s">
        <v>14</v>
      </c>
      <c r="I170" t="s">
        <v>11056</v>
      </c>
      <c r="J170">
        <v>60009512</v>
      </c>
      <c r="K170" t="s">
        <v>1595</v>
      </c>
      <c r="L170" t="s">
        <v>1594</v>
      </c>
      <c r="M170" t="s">
        <v>818</v>
      </c>
      <c r="N170">
        <v>2</v>
      </c>
      <c r="O170" t="s">
        <v>11055</v>
      </c>
      <c r="P170" t="s">
        <v>11054</v>
      </c>
      <c r="Q170" t="s">
        <v>11053</v>
      </c>
      <c r="R170" s="7">
        <v>33970</v>
      </c>
      <c r="S170" s="8">
        <f t="shared" si="16"/>
        <v>1993</v>
      </c>
      <c r="T170" s="8">
        <v>1993</v>
      </c>
      <c r="U170" s="8">
        <f t="shared" si="17"/>
        <v>29</v>
      </c>
      <c r="V170" s="7">
        <v>33977</v>
      </c>
      <c r="W170" t="s">
        <v>160</v>
      </c>
      <c r="X170" s="2">
        <v>2.0070000000000001</v>
      </c>
      <c r="Y170" s="6">
        <f t="shared" si="22"/>
        <v>5.3575718747497406E-2</v>
      </c>
      <c r="AA170">
        <v>948276</v>
      </c>
      <c r="AB170">
        <v>27962</v>
      </c>
      <c r="AC170">
        <v>19448007</v>
      </c>
      <c r="AD170" t="s">
        <v>5</v>
      </c>
      <c r="AE170">
        <v>20</v>
      </c>
      <c r="AF170">
        <v>1</v>
      </c>
      <c r="AH170" t="s">
        <v>11052</v>
      </c>
      <c r="AI170" t="s">
        <v>11051</v>
      </c>
      <c r="AK170" t="s">
        <v>11050</v>
      </c>
      <c r="AL170">
        <v>14</v>
      </c>
      <c r="AM170" s="5">
        <f t="shared" si="18"/>
        <v>0.48275862068965519</v>
      </c>
      <c r="AN170" s="4">
        <f t="shared" si="23"/>
        <v>7.3117549517554741E-4</v>
      </c>
      <c r="AO170" s="3"/>
      <c r="AP170">
        <v>0</v>
      </c>
      <c r="AR170" t="s">
        <v>1</v>
      </c>
      <c r="AT170" s="2">
        <v>4.72</v>
      </c>
      <c r="AU170" s="1">
        <f t="shared" si="19"/>
        <v>3.7722355771800844</v>
      </c>
      <c r="AV170" s="1">
        <f t="shared" si="20"/>
        <v>2.7153447121336476</v>
      </c>
      <c r="AW170" s="1">
        <f t="shared" si="21"/>
        <v>1.6584538470872101</v>
      </c>
    </row>
    <row r="171" spans="1:49" x14ac:dyDescent="0.2">
      <c r="A171">
        <v>169</v>
      </c>
      <c r="B171" t="s">
        <v>11049</v>
      </c>
      <c r="C171" t="s">
        <v>11048</v>
      </c>
      <c r="F171" t="s">
        <v>11047</v>
      </c>
      <c r="G171" t="s">
        <v>15</v>
      </c>
      <c r="H171" t="s">
        <v>14</v>
      </c>
      <c r="I171" t="s">
        <v>11046</v>
      </c>
      <c r="J171" t="s">
        <v>11040</v>
      </c>
      <c r="K171" t="s">
        <v>11045</v>
      </c>
      <c r="L171" t="s">
        <v>11044</v>
      </c>
      <c r="M171" t="s">
        <v>11043</v>
      </c>
      <c r="N171">
        <v>3</v>
      </c>
      <c r="O171" t="s">
        <v>11042</v>
      </c>
      <c r="P171" t="s">
        <v>11041</v>
      </c>
      <c r="Q171" t="s">
        <v>11040</v>
      </c>
      <c r="R171" s="7">
        <v>33970</v>
      </c>
      <c r="S171" s="8">
        <f t="shared" si="16"/>
        <v>1993</v>
      </c>
      <c r="T171" s="8">
        <v>1993</v>
      </c>
      <c r="U171" s="8">
        <f t="shared" si="17"/>
        <v>29</v>
      </c>
      <c r="V171" s="7">
        <v>34187</v>
      </c>
      <c r="W171" t="s">
        <v>160</v>
      </c>
      <c r="X171" s="2">
        <v>2.0070000000000001</v>
      </c>
      <c r="Y171" s="6">
        <f t="shared" si="22"/>
        <v>5.3575718747497406E-2</v>
      </c>
      <c r="AA171">
        <v>948276</v>
      </c>
      <c r="AB171">
        <v>27962</v>
      </c>
      <c r="AC171">
        <v>19448007</v>
      </c>
      <c r="AD171" t="s">
        <v>5</v>
      </c>
      <c r="AE171">
        <v>20</v>
      </c>
      <c r="AF171">
        <v>15</v>
      </c>
      <c r="AH171" t="s">
        <v>11039</v>
      </c>
      <c r="AI171" t="s">
        <v>11038</v>
      </c>
      <c r="AK171" t="s">
        <v>11037</v>
      </c>
      <c r="AL171">
        <v>28</v>
      </c>
      <c r="AM171" s="5">
        <f t="shared" si="18"/>
        <v>0.96551724137931039</v>
      </c>
      <c r="AN171" s="4">
        <f t="shared" si="23"/>
        <v>1.4623509903510948E-3</v>
      </c>
      <c r="AO171" s="3"/>
      <c r="AP171">
        <v>0</v>
      </c>
      <c r="AR171" t="s">
        <v>1</v>
      </c>
      <c r="AT171" s="2">
        <v>4.72</v>
      </c>
      <c r="AU171" s="1">
        <f t="shared" si="19"/>
        <v>3.7941708420353515</v>
      </c>
      <c r="AV171" s="1">
        <f t="shared" si="20"/>
        <v>2.751903486892425</v>
      </c>
      <c r="AW171" s="1">
        <f t="shared" si="21"/>
        <v>1.7096361317494986</v>
      </c>
    </row>
    <row r="172" spans="1:49" x14ac:dyDescent="0.2">
      <c r="A172">
        <v>170</v>
      </c>
      <c r="B172" t="s">
        <v>11036</v>
      </c>
      <c r="C172" t="s">
        <v>11035</v>
      </c>
      <c r="F172" t="s">
        <v>11034</v>
      </c>
      <c r="G172" t="s">
        <v>15</v>
      </c>
      <c r="H172" t="s">
        <v>14</v>
      </c>
      <c r="I172" t="s">
        <v>11033</v>
      </c>
      <c r="J172">
        <v>60019674</v>
      </c>
      <c r="K172" t="s">
        <v>11032</v>
      </c>
      <c r="L172" t="s">
        <v>1817</v>
      </c>
      <c r="M172" t="s">
        <v>10</v>
      </c>
      <c r="N172">
        <v>1</v>
      </c>
      <c r="O172" t="s">
        <v>11031</v>
      </c>
      <c r="P172">
        <v>6602411908</v>
      </c>
      <c r="Q172">
        <v>60019674</v>
      </c>
      <c r="R172" s="7">
        <v>33970</v>
      </c>
      <c r="S172" s="8">
        <f t="shared" si="16"/>
        <v>1993</v>
      </c>
      <c r="T172" s="8">
        <v>1993</v>
      </c>
      <c r="U172" s="8">
        <f t="shared" si="17"/>
        <v>29</v>
      </c>
      <c r="V172" s="7">
        <v>34215</v>
      </c>
      <c r="W172" t="s">
        <v>160</v>
      </c>
      <c r="X172" s="2">
        <v>2.0070000000000001</v>
      </c>
      <c r="Y172" s="6">
        <f t="shared" si="22"/>
        <v>5.3575718747497406E-2</v>
      </c>
      <c r="AA172">
        <v>948276</v>
      </c>
      <c r="AB172">
        <v>27962</v>
      </c>
      <c r="AC172">
        <v>19448007</v>
      </c>
      <c r="AD172" t="s">
        <v>5</v>
      </c>
      <c r="AE172">
        <v>20</v>
      </c>
      <c r="AF172">
        <v>17</v>
      </c>
      <c r="AH172" t="s">
        <v>11030</v>
      </c>
      <c r="AI172" t="s">
        <v>11029</v>
      </c>
      <c r="AK172" t="s">
        <v>11028</v>
      </c>
      <c r="AL172">
        <v>1</v>
      </c>
      <c r="AM172" s="5">
        <f t="shared" si="18"/>
        <v>3.4482758620689655E-2</v>
      </c>
      <c r="AN172" s="4">
        <f t="shared" si="23"/>
        <v>5.2226821083967674E-5</v>
      </c>
      <c r="AO172" s="3"/>
      <c r="AP172">
        <v>0</v>
      </c>
      <c r="AR172" t="s">
        <v>1</v>
      </c>
      <c r="AT172" s="2">
        <v>4.72</v>
      </c>
      <c r="AU172" s="1">
        <f t="shared" si="19"/>
        <v>3.7518671169573374</v>
      </c>
      <c r="AV172" s="1">
        <f t="shared" si="20"/>
        <v>2.6813972784290687</v>
      </c>
      <c r="AW172" s="1">
        <f t="shared" si="21"/>
        <v>1.6109274399007996</v>
      </c>
    </row>
    <row r="173" spans="1:49" x14ac:dyDescent="0.2">
      <c r="A173">
        <v>171</v>
      </c>
      <c r="B173" t="s">
        <v>11027</v>
      </c>
      <c r="C173" t="s">
        <v>11026</v>
      </c>
      <c r="F173" t="s">
        <v>11025</v>
      </c>
      <c r="G173" t="s">
        <v>15</v>
      </c>
      <c r="H173" t="s">
        <v>14</v>
      </c>
      <c r="I173" t="s">
        <v>11024</v>
      </c>
      <c r="J173" t="s">
        <v>11023</v>
      </c>
      <c r="K173" t="s">
        <v>11022</v>
      </c>
      <c r="L173" t="s">
        <v>11021</v>
      </c>
      <c r="M173" t="s">
        <v>736</v>
      </c>
      <c r="N173">
        <v>4</v>
      </c>
      <c r="O173" t="s">
        <v>11020</v>
      </c>
      <c r="P173" t="s">
        <v>11019</v>
      </c>
      <c r="Q173" t="s">
        <v>11018</v>
      </c>
      <c r="R173" s="7">
        <v>33970</v>
      </c>
      <c r="S173" s="8">
        <f t="shared" si="16"/>
        <v>1993</v>
      </c>
      <c r="T173" s="8">
        <v>1993</v>
      </c>
      <c r="U173" s="8">
        <f t="shared" si="17"/>
        <v>29</v>
      </c>
      <c r="V173" s="7">
        <v>1993</v>
      </c>
      <c r="W173" t="s">
        <v>11017</v>
      </c>
      <c r="X173" s="2">
        <v>0.46300000000000002</v>
      </c>
      <c r="Y173" s="6">
        <f t="shared" si="22"/>
        <v>1.2359520568057447E-2</v>
      </c>
      <c r="AA173">
        <v>36862</v>
      </c>
      <c r="AB173">
        <v>19141</v>
      </c>
      <c r="AC173" t="s">
        <v>11016</v>
      </c>
      <c r="AD173" t="s">
        <v>5</v>
      </c>
      <c r="AE173">
        <v>28</v>
      </c>
      <c r="AF173">
        <v>4</v>
      </c>
      <c r="AH173" t="s">
        <v>11015</v>
      </c>
      <c r="AI173" t="s">
        <v>11014</v>
      </c>
      <c r="AJ173" t="s">
        <v>11013</v>
      </c>
      <c r="AK173" t="s">
        <v>11012</v>
      </c>
      <c r="AL173">
        <v>7</v>
      </c>
      <c r="AM173" s="5">
        <f t="shared" si="18"/>
        <v>0.2413793103448276</v>
      </c>
      <c r="AN173" s="4">
        <f t="shared" si="23"/>
        <v>3.655877475877737E-4</v>
      </c>
      <c r="AO173" s="3"/>
      <c r="AP173">
        <v>1</v>
      </c>
      <c r="AR173" t="s">
        <v>1</v>
      </c>
      <c r="AT173" s="2">
        <v>1.403</v>
      </c>
      <c r="AU173" s="1">
        <f t="shared" si="19"/>
        <v>0.87613407219165451</v>
      </c>
      <c r="AV173" s="1">
        <f t="shared" si="20"/>
        <v>0.63625541578226108</v>
      </c>
      <c r="AW173" s="1">
        <f t="shared" si="21"/>
        <v>0.39637675937286754</v>
      </c>
    </row>
    <row r="174" spans="1:49" x14ac:dyDescent="0.2">
      <c r="A174">
        <v>172</v>
      </c>
      <c r="B174" t="s">
        <v>11011</v>
      </c>
      <c r="C174" t="s">
        <v>11010</v>
      </c>
      <c r="F174" t="s">
        <v>11009</v>
      </c>
      <c r="G174" t="s">
        <v>15</v>
      </c>
      <c r="H174" t="s">
        <v>14</v>
      </c>
      <c r="I174" t="s">
        <v>11008</v>
      </c>
      <c r="N174">
        <v>2</v>
      </c>
      <c r="O174" t="s">
        <v>11007</v>
      </c>
      <c r="P174" t="s">
        <v>11006</v>
      </c>
      <c r="Q174" t="s">
        <v>1557</v>
      </c>
      <c r="R174" s="7">
        <v>33970</v>
      </c>
      <c r="S174" s="8">
        <f t="shared" si="16"/>
        <v>1993</v>
      </c>
      <c r="T174" s="8">
        <v>1993</v>
      </c>
      <c r="U174" s="8">
        <f t="shared" si="17"/>
        <v>29</v>
      </c>
      <c r="V174" s="7">
        <v>1993</v>
      </c>
      <c r="W174" t="s">
        <v>6733</v>
      </c>
      <c r="X174" s="2" t="s">
        <v>0</v>
      </c>
      <c r="Y174" s="6" t="e">
        <f t="shared" si="22"/>
        <v>#VALUE!</v>
      </c>
      <c r="AA174">
        <v>3875024</v>
      </c>
      <c r="AB174">
        <v>110132</v>
      </c>
      <c r="AD174" t="s">
        <v>5</v>
      </c>
      <c r="AE174">
        <v>59</v>
      </c>
      <c r="AF174">
        <v>563</v>
      </c>
      <c r="AH174" t="s">
        <v>11005</v>
      </c>
      <c r="AI174" t="s">
        <v>11004</v>
      </c>
      <c r="AJ174" t="s">
        <v>11003</v>
      </c>
      <c r="AK174" t="s">
        <v>11002</v>
      </c>
      <c r="AL174">
        <v>0</v>
      </c>
      <c r="AM174" s="5">
        <f t="shared" si="18"/>
        <v>0</v>
      </c>
      <c r="AN174" s="4">
        <f t="shared" si="23"/>
        <v>0</v>
      </c>
      <c r="AO174" s="3"/>
      <c r="AP174">
        <v>0</v>
      </c>
      <c r="AR174" t="s">
        <v>1</v>
      </c>
      <c r="AT174" s="2" t="s">
        <v>0</v>
      </c>
      <c r="AU174" s="1" t="e">
        <f t="shared" si="19"/>
        <v>#VALUE!</v>
      </c>
      <c r="AV174" s="1" t="e">
        <f t="shared" si="20"/>
        <v>#VALUE!</v>
      </c>
      <c r="AW174" s="1" t="e">
        <f t="shared" si="21"/>
        <v>#VALUE!</v>
      </c>
    </row>
    <row r="175" spans="1:49" x14ac:dyDescent="0.2">
      <c r="A175">
        <v>173</v>
      </c>
      <c r="B175" t="s">
        <v>11001</v>
      </c>
      <c r="C175" t="s">
        <v>11000</v>
      </c>
      <c r="F175" t="s">
        <v>10999</v>
      </c>
      <c r="G175" t="s">
        <v>15</v>
      </c>
      <c r="H175" t="s">
        <v>14</v>
      </c>
      <c r="I175" t="s">
        <v>1777</v>
      </c>
      <c r="J175">
        <v>60027550</v>
      </c>
      <c r="K175" t="s">
        <v>1833</v>
      </c>
      <c r="L175" t="s">
        <v>1832</v>
      </c>
      <c r="M175" t="s">
        <v>10</v>
      </c>
      <c r="N175">
        <v>1</v>
      </c>
      <c r="O175" t="s">
        <v>10998</v>
      </c>
      <c r="P175">
        <v>7006189110</v>
      </c>
      <c r="Q175">
        <v>60027550</v>
      </c>
      <c r="R175" s="7">
        <v>33970</v>
      </c>
      <c r="S175" s="8">
        <f t="shared" si="16"/>
        <v>1993</v>
      </c>
      <c r="T175" s="8">
        <v>1993</v>
      </c>
      <c r="U175" s="8">
        <f t="shared" si="17"/>
        <v>29</v>
      </c>
      <c r="V175" s="7">
        <v>33970</v>
      </c>
      <c r="W175" t="s">
        <v>10997</v>
      </c>
      <c r="X175" s="2">
        <v>0.33100000000000002</v>
      </c>
      <c r="Y175" s="6">
        <f t="shared" si="22"/>
        <v>8.8358559568618034E-3</v>
      </c>
      <c r="AA175">
        <v>10736077</v>
      </c>
      <c r="AB175">
        <v>93879</v>
      </c>
      <c r="AC175">
        <v>17446171</v>
      </c>
      <c r="AD175" t="s">
        <v>5</v>
      </c>
      <c r="AE175">
        <v>6</v>
      </c>
      <c r="AF175">
        <v>1</v>
      </c>
      <c r="AH175" t="s">
        <v>1774</v>
      </c>
      <c r="AL175">
        <v>0</v>
      </c>
      <c r="AM175" s="5">
        <f t="shared" si="18"/>
        <v>0</v>
      </c>
      <c r="AN175" s="4">
        <f t="shared" si="23"/>
        <v>0</v>
      </c>
      <c r="AO175" s="3"/>
      <c r="AP175">
        <v>0</v>
      </c>
      <c r="AR175" t="s">
        <v>1</v>
      </c>
      <c r="AT175" s="2" t="s">
        <v>0</v>
      </c>
      <c r="AU175" s="1">
        <f t="shared" si="19"/>
        <v>0.6185099169803262</v>
      </c>
      <c r="AV175" s="1">
        <f t="shared" si="20"/>
        <v>0.44179279784309017</v>
      </c>
      <c r="AW175" s="1">
        <f t="shared" si="21"/>
        <v>0.26507567870585408</v>
      </c>
    </row>
    <row r="176" spans="1:49" x14ac:dyDescent="0.2">
      <c r="A176">
        <v>174</v>
      </c>
      <c r="B176" t="s">
        <v>10996</v>
      </c>
      <c r="C176" t="s">
        <v>10995</v>
      </c>
      <c r="F176" t="s">
        <v>10994</v>
      </c>
      <c r="G176" t="s">
        <v>15</v>
      </c>
      <c r="H176" t="s">
        <v>14</v>
      </c>
      <c r="I176" t="s">
        <v>10993</v>
      </c>
      <c r="J176" t="s">
        <v>10992</v>
      </c>
      <c r="K176" t="s">
        <v>10991</v>
      </c>
      <c r="L176" t="s">
        <v>10990</v>
      </c>
      <c r="M176" t="s">
        <v>235</v>
      </c>
      <c r="N176">
        <v>2</v>
      </c>
      <c r="O176" t="s">
        <v>10989</v>
      </c>
      <c r="P176" t="s">
        <v>10988</v>
      </c>
      <c r="Q176" t="s">
        <v>10987</v>
      </c>
      <c r="R176" s="7">
        <v>33970</v>
      </c>
      <c r="S176" s="8">
        <f t="shared" si="16"/>
        <v>1993</v>
      </c>
      <c r="T176" s="8">
        <v>1993</v>
      </c>
      <c r="U176" s="8">
        <f t="shared" si="17"/>
        <v>29</v>
      </c>
      <c r="V176" s="7" t="s">
        <v>10986</v>
      </c>
      <c r="W176" t="s">
        <v>10985</v>
      </c>
      <c r="X176" s="2">
        <v>0.73899999999999999</v>
      </c>
      <c r="Y176" s="6">
        <f t="shared" si="22"/>
        <v>1.9727182936921064E-2</v>
      </c>
      <c r="AA176">
        <v>1791613</v>
      </c>
      <c r="AB176">
        <v>21489</v>
      </c>
      <c r="AC176">
        <v>14390310</v>
      </c>
      <c r="AD176" t="s">
        <v>5</v>
      </c>
      <c r="AE176">
        <v>94</v>
      </c>
      <c r="AF176">
        <v>2</v>
      </c>
      <c r="AH176" t="s">
        <v>10984</v>
      </c>
      <c r="AI176" t="s">
        <v>10983</v>
      </c>
      <c r="AK176" t="s">
        <v>10982</v>
      </c>
      <c r="AL176">
        <v>1</v>
      </c>
      <c r="AM176" s="5">
        <f t="shared" si="18"/>
        <v>3.4482758620689655E-2</v>
      </c>
      <c r="AN176" s="4">
        <f t="shared" si="23"/>
        <v>5.2226821083967674E-5</v>
      </c>
      <c r="AO176" s="3"/>
      <c r="AP176">
        <v>0</v>
      </c>
      <c r="AR176" t="s">
        <v>1</v>
      </c>
      <c r="AT176" s="2">
        <v>1.897</v>
      </c>
      <c r="AU176" s="1">
        <f t="shared" si="19"/>
        <v>1.3824696102169935</v>
      </c>
      <c r="AV176" s="1">
        <f t="shared" si="20"/>
        <v>0.98897048790025155</v>
      </c>
      <c r="AW176" s="1">
        <f t="shared" si="21"/>
        <v>0.59547136558350955</v>
      </c>
    </row>
    <row r="177" spans="1:49" x14ac:dyDescent="0.2">
      <c r="A177">
        <v>175</v>
      </c>
      <c r="B177" t="s">
        <v>10981</v>
      </c>
      <c r="C177" t="s">
        <v>10980</v>
      </c>
      <c r="F177" t="s">
        <v>10979</v>
      </c>
      <c r="G177" t="s">
        <v>15</v>
      </c>
      <c r="H177" t="s">
        <v>14</v>
      </c>
      <c r="I177" t="s">
        <v>10978</v>
      </c>
      <c r="J177" t="s">
        <v>10977</v>
      </c>
      <c r="K177" t="s">
        <v>10976</v>
      </c>
      <c r="L177" t="s">
        <v>10975</v>
      </c>
      <c r="M177" t="s">
        <v>10974</v>
      </c>
      <c r="N177">
        <v>4</v>
      </c>
      <c r="O177" t="s">
        <v>10973</v>
      </c>
      <c r="P177" t="s">
        <v>10972</v>
      </c>
      <c r="Q177" t="s">
        <v>10971</v>
      </c>
      <c r="R177" s="7">
        <v>33970</v>
      </c>
      <c r="S177" s="8">
        <f t="shared" si="16"/>
        <v>1993</v>
      </c>
      <c r="T177" s="8">
        <v>1993</v>
      </c>
      <c r="U177" s="8">
        <f t="shared" si="17"/>
        <v>29</v>
      </c>
      <c r="V177" s="7">
        <v>33970</v>
      </c>
      <c r="W177" t="s">
        <v>9302</v>
      </c>
      <c r="X177" s="2">
        <v>0.81799999999999995</v>
      </c>
      <c r="Y177" s="6">
        <f t="shared" si="22"/>
        <v>2.1836042817863912E-2</v>
      </c>
      <c r="AA177">
        <v>318655</v>
      </c>
      <c r="AB177">
        <v>27010</v>
      </c>
      <c r="AC177">
        <v>17511097</v>
      </c>
      <c r="AD177" t="s">
        <v>5</v>
      </c>
      <c r="AE177">
        <v>57</v>
      </c>
      <c r="AF177">
        <v>1</v>
      </c>
      <c r="AH177" t="s">
        <v>10970</v>
      </c>
      <c r="AI177" t="s">
        <v>10969</v>
      </c>
      <c r="AK177" t="s">
        <v>10968</v>
      </c>
      <c r="AL177">
        <v>15</v>
      </c>
      <c r="AM177" s="5">
        <f t="shared" si="18"/>
        <v>0.51724137931034486</v>
      </c>
      <c r="AN177" s="4">
        <f t="shared" si="23"/>
        <v>7.834023162595151E-4</v>
      </c>
      <c r="AO177" s="3"/>
      <c r="AP177">
        <v>0</v>
      </c>
      <c r="AR177" t="s">
        <v>1</v>
      </c>
      <c r="AT177" s="2">
        <v>3.4209999999999998</v>
      </c>
      <c r="AU177" s="1">
        <f t="shared" si="19"/>
        <v>1.5520250667382591</v>
      </c>
      <c r="AV177" s="1">
        <f t="shared" si="20"/>
        <v>1.1309722567061713</v>
      </c>
      <c r="AW177" s="1">
        <f t="shared" si="21"/>
        <v>0.70991944667408335</v>
      </c>
    </row>
    <row r="178" spans="1:49" x14ac:dyDescent="0.2">
      <c r="A178">
        <v>176</v>
      </c>
      <c r="B178" t="s">
        <v>10967</v>
      </c>
      <c r="C178" t="s">
        <v>10966</v>
      </c>
      <c r="F178" t="s">
        <v>10965</v>
      </c>
      <c r="G178" t="s">
        <v>15</v>
      </c>
      <c r="H178" t="s">
        <v>14</v>
      </c>
      <c r="I178" t="s">
        <v>10964</v>
      </c>
      <c r="J178">
        <v>60011001</v>
      </c>
      <c r="K178" t="s">
        <v>3707</v>
      </c>
      <c r="L178" t="s">
        <v>3706</v>
      </c>
      <c r="M178" t="s">
        <v>150</v>
      </c>
      <c r="N178">
        <v>3</v>
      </c>
      <c r="O178" t="s">
        <v>10963</v>
      </c>
      <c r="P178" t="s">
        <v>10962</v>
      </c>
      <c r="Q178" t="s">
        <v>3703</v>
      </c>
      <c r="R178" s="7">
        <v>33970</v>
      </c>
      <c r="S178" s="8">
        <f t="shared" si="16"/>
        <v>1993</v>
      </c>
      <c r="T178" s="8">
        <v>1993</v>
      </c>
      <c r="U178" s="8">
        <f t="shared" si="17"/>
        <v>29</v>
      </c>
      <c r="V178" s="7">
        <v>34213</v>
      </c>
      <c r="W178" t="s">
        <v>9302</v>
      </c>
      <c r="X178" s="2">
        <v>0.81799999999999995</v>
      </c>
      <c r="Y178" s="6">
        <f t="shared" si="22"/>
        <v>2.1836042817863912E-2</v>
      </c>
      <c r="AA178">
        <v>318655</v>
      </c>
      <c r="AB178">
        <v>27010</v>
      </c>
      <c r="AC178">
        <v>17511097</v>
      </c>
      <c r="AD178" t="s">
        <v>5</v>
      </c>
      <c r="AE178">
        <v>58</v>
      </c>
      <c r="AF178">
        <v>3</v>
      </c>
      <c r="AH178" t="s">
        <v>10961</v>
      </c>
      <c r="AI178" t="s">
        <v>10960</v>
      </c>
      <c r="AK178" t="s">
        <v>10959</v>
      </c>
      <c r="AL178">
        <v>8</v>
      </c>
      <c r="AM178" s="5">
        <f t="shared" si="18"/>
        <v>0.27586206896551724</v>
      </c>
      <c r="AN178" s="4">
        <f t="shared" si="23"/>
        <v>4.1781456867174139E-4</v>
      </c>
      <c r="AO178" s="3"/>
      <c r="AP178">
        <v>0</v>
      </c>
      <c r="AR178" t="s">
        <v>1</v>
      </c>
      <c r="AT178" s="2">
        <v>3.4209999999999998</v>
      </c>
      <c r="AU178" s="1">
        <f t="shared" si="19"/>
        <v>1.541057434310626</v>
      </c>
      <c r="AV178" s="1">
        <f t="shared" si="20"/>
        <v>1.1126928693267826</v>
      </c>
      <c r="AW178" s="1">
        <f t="shared" si="21"/>
        <v>0.68432830434293923</v>
      </c>
    </row>
    <row r="179" spans="1:49" x14ac:dyDescent="0.2">
      <c r="A179">
        <v>177</v>
      </c>
      <c r="B179" t="s">
        <v>10958</v>
      </c>
      <c r="C179" t="s">
        <v>10957</v>
      </c>
      <c r="F179" t="s">
        <v>10956</v>
      </c>
      <c r="G179" t="s">
        <v>15</v>
      </c>
      <c r="H179" t="s">
        <v>14</v>
      </c>
      <c r="I179" t="s">
        <v>10955</v>
      </c>
      <c r="J179">
        <v>60003892</v>
      </c>
      <c r="K179" t="s">
        <v>847</v>
      </c>
      <c r="L179" t="s">
        <v>846</v>
      </c>
      <c r="M179" t="s">
        <v>10</v>
      </c>
      <c r="N179">
        <v>4</v>
      </c>
      <c r="O179" t="s">
        <v>10954</v>
      </c>
      <c r="P179" t="s">
        <v>10953</v>
      </c>
      <c r="Q179" t="s">
        <v>10952</v>
      </c>
      <c r="R179" s="7">
        <v>33970</v>
      </c>
      <c r="S179" s="8">
        <f t="shared" si="16"/>
        <v>1993</v>
      </c>
      <c r="T179" s="8">
        <v>1993</v>
      </c>
      <c r="U179" s="8">
        <f t="shared" si="17"/>
        <v>29</v>
      </c>
      <c r="V179" s="7">
        <v>34182</v>
      </c>
      <c r="W179" t="s">
        <v>9302</v>
      </c>
      <c r="X179" s="2">
        <v>0.81799999999999995</v>
      </c>
      <c r="Y179" s="6">
        <f t="shared" si="22"/>
        <v>2.1836042817863912E-2</v>
      </c>
      <c r="AA179">
        <v>318655</v>
      </c>
      <c r="AB179">
        <v>27010</v>
      </c>
      <c r="AC179">
        <v>17511097</v>
      </c>
      <c r="AD179" t="s">
        <v>5</v>
      </c>
      <c r="AE179">
        <v>58</v>
      </c>
      <c r="AF179">
        <v>2</v>
      </c>
      <c r="AH179" t="s">
        <v>10951</v>
      </c>
      <c r="AI179" t="s">
        <v>10950</v>
      </c>
      <c r="AK179" t="s">
        <v>10949</v>
      </c>
      <c r="AL179">
        <v>29</v>
      </c>
      <c r="AM179" s="5">
        <f t="shared" si="18"/>
        <v>1</v>
      </c>
      <c r="AN179" s="4">
        <f t="shared" si="23"/>
        <v>1.5145778114350624E-3</v>
      </c>
      <c r="AO179" s="3"/>
      <c r="AP179">
        <v>0</v>
      </c>
      <c r="AR179" t="s">
        <v>1</v>
      </c>
      <c r="AT179" s="2">
        <v>3.4209999999999998</v>
      </c>
      <c r="AU179" s="1">
        <f t="shared" si="19"/>
        <v>1.5739603315935256</v>
      </c>
      <c r="AV179" s="1">
        <f t="shared" si="20"/>
        <v>1.1675310314649487</v>
      </c>
      <c r="AW179" s="1">
        <f t="shared" si="21"/>
        <v>0.76110173133637171</v>
      </c>
    </row>
    <row r="180" spans="1:49" x14ac:dyDescent="0.2">
      <c r="A180">
        <v>178</v>
      </c>
      <c r="B180" t="s">
        <v>10948</v>
      </c>
      <c r="C180" t="s">
        <v>10947</v>
      </c>
      <c r="F180" t="s">
        <v>10946</v>
      </c>
      <c r="G180" t="s">
        <v>15</v>
      </c>
      <c r="H180" t="s">
        <v>14</v>
      </c>
      <c r="I180" t="s">
        <v>10945</v>
      </c>
      <c r="J180">
        <v>117291707</v>
      </c>
      <c r="K180" t="s">
        <v>10944</v>
      </c>
      <c r="L180" t="s">
        <v>10943</v>
      </c>
      <c r="M180" t="s">
        <v>59</v>
      </c>
      <c r="N180">
        <v>3</v>
      </c>
      <c r="O180" t="s">
        <v>10942</v>
      </c>
      <c r="P180" t="s">
        <v>10941</v>
      </c>
      <c r="Q180" t="s">
        <v>10940</v>
      </c>
      <c r="R180" s="7">
        <v>33970</v>
      </c>
      <c r="S180" s="8">
        <f t="shared" si="16"/>
        <v>1993</v>
      </c>
      <c r="T180" s="8">
        <v>1993</v>
      </c>
      <c r="U180" s="8">
        <f t="shared" si="17"/>
        <v>29</v>
      </c>
      <c r="V180" s="7">
        <v>33970</v>
      </c>
      <c r="W180" t="s">
        <v>9302</v>
      </c>
      <c r="X180" s="2">
        <v>0.81799999999999995</v>
      </c>
      <c r="Y180" s="6">
        <f t="shared" si="22"/>
        <v>2.1836042817863912E-2</v>
      </c>
      <c r="AA180">
        <v>318655</v>
      </c>
      <c r="AB180">
        <v>27010</v>
      </c>
      <c r="AC180">
        <v>17511097</v>
      </c>
      <c r="AD180" t="s">
        <v>5</v>
      </c>
      <c r="AE180">
        <v>57</v>
      </c>
      <c r="AF180">
        <v>1</v>
      </c>
      <c r="AH180" t="s">
        <v>10939</v>
      </c>
      <c r="AI180" t="s">
        <v>10938</v>
      </c>
      <c r="AK180" t="s">
        <v>10937</v>
      </c>
      <c r="AL180">
        <v>50</v>
      </c>
      <c r="AM180" s="5">
        <f t="shared" si="18"/>
        <v>1.7241379310344827</v>
      </c>
      <c r="AN180" s="4">
        <f t="shared" si="23"/>
        <v>2.6113410541983833E-3</v>
      </c>
      <c r="AO180" s="3"/>
      <c r="AP180">
        <v>0</v>
      </c>
      <c r="AR180" t="s">
        <v>1</v>
      </c>
      <c r="AT180" s="2">
        <v>3.4209999999999998</v>
      </c>
      <c r="AU180" s="1">
        <f t="shared" si="19"/>
        <v>1.6068632288764251</v>
      </c>
      <c r="AV180" s="1">
        <f t="shared" si="20"/>
        <v>1.2223691936031147</v>
      </c>
      <c r="AW180" s="1">
        <f t="shared" si="21"/>
        <v>0.83787515832980419</v>
      </c>
    </row>
    <row r="181" spans="1:49" x14ac:dyDescent="0.2">
      <c r="A181">
        <v>179</v>
      </c>
      <c r="B181" t="s">
        <v>10936</v>
      </c>
      <c r="C181" t="s">
        <v>10935</v>
      </c>
      <c r="F181" t="s">
        <v>10934</v>
      </c>
      <c r="G181" t="s">
        <v>15</v>
      </c>
      <c r="H181" t="s">
        <v>14</v>
      </c>
      <c r="I181" t="s">
        <v>10933</v>
      </c>
      <c r="J181">
        <v>60027550</v>
      </c>
      <c r="K181" t="s">
        <v>1833</v>
      </c>
      <c r="L181" t="s">
        <v>1832</v>
      </c>
      <c r="M181" t="s">
        <v>10</v>
      </c>
      <c r="N181">
        <v>4</v>
      </c>
      <c r="O181" t="s">
        <v>10932</v>
      </c>
      <c r="P181" t="s">
        <v>10931</v>
      </c>
      <c r="Q181" t="s">
        <v>8278</v>
      </c>
      <c r="R181" s="7">
        <v>33970</v>
      </c>
      <c r="S181" s="8">
        <f t="shared" si="16"/>
        <v>1993</v>
      </c>
      <c r="T181" s="8">
        <v>1993</v>
      </c>
      <c r="U181" s="8">
        <f t="shared" si="17"/>
        <v>29</v>
      </c>
      <c r="V181" s="7">
        <v>33970</v>
      </c>
      <c r="W181" t="s">
        <v>9302</v>
      </c>
      <c r="X181" s="2">
        <v>0.81799999999999995</v>
      </c>
      <c r="Y181" s="6">
        <f t="shared" si="22"/>
        <v>2.1836042817863912E-2</v>
      </c>
      <c r="AA181">
        <v>318655</v>
      </c>
      <c r="AB181">
        <v>27010</v>
      </c>
      <c r="AC181">
        <v>17511097</v>
      </c>
      <c r="AD181" t="s">
        <v>5</v>
      </c>
      <c r="AE181">
        <v>57</v>
      </c>
      <c r="AF181">
        <v>1</v>
      </c>
      <c r="AH181" t="s">
        <v>10930</v>
      </c>
      <c r="AI181" t="s">
        <v>10929</v>
      </c>
      <c r="AK181" t="s">
        <v>10928</v>
      </c>
      <c r="AL181">
        <v>18</v>
      </c>
      <c r="AM181" s="5">
        <f t="shared" si="18"/>
        <v>0.62068965517241381</v>
      </c>
      <c r="AN181" s="4">
        <f t="shared" si="23"/>
        <v>9.4008277951141816E-4</v>
      </c>
      <c r="AO181" s="3"/>
      <c r="AP181">
        <v>0</v>
      </c>
      <c r="AR181" t="s">
        <v>1</v>
      </c>
      <c r="AT181" s="2">
        <v>3.4209999999999998</v>
      </c>
      <c r="AU181" s="1">
        <f t="shared" si="19"/>
        <v>1.5567254806358164</v>
      </c>
      <c r="AV181" s="1">
        <f t="shared" si="20"/>
        <v>1.1388062798687666</v>
      </c>
      <c r="AW181" s="1">
        <f t="shared" si="21"/>
        <v>0.72088707910171668</v>
      </c>
    </row>
    <row r="182" spans="1:49" x14ac:dyDescent="0.2">
      <c r="A182">
        <v>180</v>
      </c>
      <c r="B182" t="s">
        <v>10927</v>
      </c>
      <c r="C182" t="s">
        <v>10926</v>
      </c>
      <c r="F182" t="s">
        <v>10925</v>
      </c>
      <c r="G182" t="s">
        <v>15</v>
      </c>
      <c r="H182" t="s">
        <v>14</v>
      </c>
      <c r="I182" t="s">
        <v>10924</v>
      </c>
      <c r="J182">
        <v>60001343</v>
      </c>
      <c r="K182" t="s">
        <v>10923</v>
      </c>
      <c r="L182" t="s">
        <v>10922</v>
      </c>
      <c r="M182" t="s">
        <v>508</v>
      </c>
      <c r="N182">
        <v>2</v>
      </c>
      <c r="O182" t="s">
        <v>10921</v>
      </c>
      <c r="P182" t="s">
        <v>10920</v>
      </c>
      <c r="Q182" t="s">
        <v>10919</v>
      </c>
      <c r="R182" s="7">
        <v>33970</v>
      </c>
      <c r="S182" s="8">
        <f t="shared" si="16"/>
        <v>1993</v>
      </c>
      <c r="T182" s="8">
        <v>1993</v>
      </c>
      <c r="U182" s="8">
        <f t="shared" si="17"/>
        <v>29</v>
      </c>
      <c r="V182" s="7">
        <v>34213</v>
      </c>
      <c r="W182" t="s">
        <v>9302</v>
      </c>
      <c r="X182" s="2">
        <v>0.81799999999999995</v>
      </c>
      <c r="Y182" s="6">
        <f t="shared" si="22"/>
        <v>2.1836042817863912E-2</v>
      </c>
      <c r="AA182">
        <v>318655</v>
      </c>
      <c r="AB182">
        <v>27010</v>
      </c>
      <c r="AC182">
        <v>17511097</v>
      </c>
      <c r="AD182" t="s">
        <v>5</v>
      </c>
      <c r="AE182">
        <v>58</v>
      </c>
      <c r="AF182">
        <v>3</v>
      </c>
      <c r="AH182" t="s">
        <v>10918</v>
      </c>
      <c r="AI182" t="s">
        <v>10917</v>
      </c>
      <c r="AK182" t="s">
        <v>10916</v>
      </c>
      <c r="AL182">
        <v>6</v>
      </c>
      <c r="AM182" s="5">
        <f t="shared" si="18"/>
        <v>0.20689655172413793</v>
      </c>
      <c r="AN182" s="4">
        <f t="shared" si="23"/>
        <v>3.1336092650380602E-4</v>
      </c>
      <c r="AO182" s="3"/>
      <c r="AP182">
        <v>0</v>
      </c>
      <c r="AR182" t="s">
        <v>1</v>
      </c>
      <c r="AT182" s="2">
        <v>3.4209999999999998</v>
      </c>
      <c r="AU182" s="1">
        <f t="shared" si="19"/>
        <v>1.537923825045588</v>
      </c>
      <c r="AV182" s="1">
        <f t="shared" si="20"/>
        <v>1.1074701872183859</v>
      </c>
      <c r="AW182" s="1">
        <f t="shared" si="21"/>
        <v>0.67701654939118383</v>
      </c>
    </row>
    <row r="183" spans="1:49" x14ac:dyDescent="0.2">
      <c r="A183">
        <v>181</v>
      </c>
      <c r="B183" t="s">
        <v>10915</v>
      </c>
      <c r="C183" t="s">
        <v>10914</v>
      </c>
      <c r="F183" t="s">
        <v>10913</v>
      </c>
      <c r="G183" t="s">
        <v>15</v>
      </c>
      <c r="H183" t="s">
        <v>14</v>
      </c>
      <c r="I183" t="s">
        <v>10912</v>
      </c>
      <c r="J183">
        <v>60011604</v>
      </c>
      <c r="K183" t="s">
        <v>10911</v>
      </c>
      <c r="L183" t="s">
        <v>2160</v>
      </c>
      <c r="M183" t="s">
        <v>59</v>
      </c>
      <c r="N183">
        <v>2</v>
      </c>
      <c r="O183" t="s">
        <v>10910</v>
      </c>
      <c r="P183" t="s">
        <v>10909</v>
      </c>
      <c r="Q183" t="s">
        <v>10908</v>
      </c>
      <c r="R183" s="7">
        <v>33970</v>
      </c>
      <c r="S183" s="8">
        <f t="shared" si="16"/>
        <v>1993</v>
      </c>
      <c r="T183" s="8">
        <v>1993</v>
      </c>
      <c r="U183" s="8">
        <f t="shared" si="17"/>
        <v>29</v>
      </c>
      <c r="V183" s="7">
        <v>33970</v>
      </c>
      <c r="W183" t="s">
        <v>9302</v>
      </c>
      <c r="X183" s="2">
        <v>0.81799999999999995</v>
      </c>
      <c r="Y183" s="6">
        <f t="shared" si="22"/>
        <v>2.1836042817863912E-2</v>
      </c>
      <c r="AA183">
        <v>318655</v>
      </c>
      <c r="AB183">
        <v>27010</v>
      </c>
      <c r="AC183">
        <v>17511097</v>
      </c>
      <c r="AD183" t="s">
        <v>5</v>
      </c>
      <c r="AE183">
        <v>57</v>
      </c>
      <c r="AF183">
        <v>1</v>
      </c>
      <c r="AH183" t="s">
        <v>10415</v>
      </c>
      <c r="AI183" t="s">
        <v>10907</v>
      </c>
      <c r="AK183" t="s">
        <v>10906</v>
      </c>
      <c r="AL183">
        <v>11</v>
      </c>
      <c r="AM183" s="5">
        <f t="shared" si="18"/>
        <v>0.37931034482758619</v>
      </c>
      <c r="AN183" s="4">
        <f t="shared" si="23"/>
        <v>5.7449503192364435E-4</v>
      </c>
      <c r="AO183" s="3"/>
      <c r="AP183">
        <v>0</v>
      </c>
      <c r="AR183" t="s">
        <v>1</v>
      </c>
      <c r="AT183" s="2">
        <v>3.4209999999999998</v>
      </c>
      <c r="AU183" s="1">
        <f t="shared" si="19"/>
        <v>1.5457578482081831</v>
      </c>
      <c r="AV183" s="1">
        <f t="shared" si="20"/>
        <v>1.1205268924893779</v>
      </c>
      <c r="AW183" s="1">
        <f t="shared" si="21"/>
        <v>0.69529593677057255</v>
      </c>
    </row>
    <row r="184" spans="1:49" x14ac:dyDescent="0.2">
      <c r="A184">
        <v>182</v>
      </c>
      <c r="B184" t="s">
        <v>10905</v>
      </c>
      <c r="C184" t="s">
        <v>10904</v>
      </c>
      <c r="F184" t="s">
        <v>10903</v>
      </c>
      <c r="G184" t="s">
        <v>15</v>
      </c>
      <c r="H184" t="s">
        <v>14</v>
      </c>
      <c r="I184" t="s">
        <v>10902</v>
      </c>
      <c r="J184" t="s">
        <v>10901</v>
      </c>
      <c r="K184" t="s">
        <v>10900</v>
      </c>
      <c r="L184" t="s">
        <v>10899</v>
      </c>
      <c r="M184" t="s">
        <v>10898</v>
      </c>
      <c r="N184">
        <v>4</v>
      </c>
      <c r="O184" t="s">
        <v>10897</v>
      </c>
      <c r="P184" t="s">
        <v>10896</v>
      </c>
      <c r="Q184" t="s">
        <v>10895</v>
      </c>
      <c r="R184" s="7">
        <v>33970</v>
      </c>
      <c r="S184" s="8">
        <f t="shared" si="16"/>
        <v>1993</v>
      </c>
      <c r="T184" s="8">
        <v>1993</v>
      </c>
      <c r="U184" s="8">
        <f t="shared" si="17"/>
        <v>29</v>
      </c>
      <c r="V184" s="7">
        <v>33970</v>
      </c>
      <c r="W184" t="s">
        <v>9302</v>
      </c>
      <c r="X184" s="2">
        <v>0.81799999999999995</v>
      </c>
      <c r="Y184" s="6">
        <f t="shared" si="22"/>
        <v>2.1836042817863912E-2</v>
      </c>
      <c r="AA184">
        <v>318655</v>
      </c>
      <c r="AB184">
        <v>27010</v>
      </c>
      <c r="AC184">
        <v>17511097</v>
      </c>
      <c r="AD184" t="s">
        <v>5</v>
      </c>
      <c r="AE184">
        <v>57</v>
      </c>
      <c r="AF184">
        <v>1</v>
      </c>
      <c r="AH184" t="s">
        <v>10894</v>
      </c>
      <c r="AI184" t="s">
        <v>10893</v>
      </c>
      <c r="AK184" t="s">
        <v>10892</v>
      </c>
      <c r="AL184">
        <v>70</v>
      </c>
      <c r="AM184" s="5">
        <f t="shared" si="18"/>
        <v>2.4137931034482758</v>
      </c>
      <c r="AN184" s="4">
        <f t="shared" si="23"/>
        <v>3.655877475877737E-3</v>
      </c>
      <c r="AO184" s="3"/>
      <c r="AP184">
        <v>0</v>
      </c>
      <c r="AR184" t="s">
        <v>1</v>
      </c>
      <c r="AT184" s="2">
        <v>3.4209999999999998</v>
      </c>
      <c r="AU184" s="1">
        <f t="shared" si="19"/>
        <v>1.6381993215268058</v>
      </c>
      <c r="AV184" s="1">
        <f t="shared" si="20"/>
        <v>1.2745960146870825</v>
      </c>
      <c r="AW184" s="1">
        <f t="shared" si="21"/>
        <v>0.91099270784735886</v>
      </c>
    </row>
    <row r="185" spans="1:49" x14ac:dyDescent="0.2">
      <c r="A185">
        <v>183</v>
      </c>
      <c r="B185" t="s">
        <v>10891</v>
      </c>
      <c r="C185" t="s">
        <v>10890</v>
      </c>
      <c r="F185" t="s">
        <v>10889</v>
      </c>
      <c r="G185" t="s">
        <v>15</v>
      </c>
      <c r="H185" t="s">
        <v>14</v>
      </c>
      <c r="I185" t="s">
        <v>10888</v>
      </c>
      <c r="J185">
        <v>60031216</v>
      </c>
      <c r="K185" t="s">
        <v>2320</v>
      </c>
      <c r="L185" t="s">
        <v>2319</v>
      </c>
      <c r="M185" t="s">
        <v>59</v>
      </c>
      <c r="N185">
        <v>5</v>
      </c>
      <c r="O185" t="s">
        <v>10887</v>
      </c>
      <c r="P185" t="s">
        <v>10886</v>
      </c>
      <c r="Q185" t="s">
        <v>10885</v>
      </c>
      <c r="R185" s="7">
        <v>33970</v>
      </c>
      <c r="S185" s="8">
        <f t="shared" si="16"/>
        <v>1993</v>
      </c>
      <c r="T185" s="8">
        <v>1993</v>
      </c>
      <c r="U185" s="8">
        <f t="shared" si="17"/>
        <v>29</v>
      </c>
      <c r="V185" s="7">
        <v>33970</v>
      </c>
      <c r="W185" t="s">
        <v>9302</v>
      </c>
      <c r="X185" s="2">
        <v>0.81799999999999995</v>
      </c>
      <c r="Y185" s="6">
        <f t="shared" si="22"/>
        <v>2.1836042817863912E-2</v>
      </c>
      <c r="AA185">
        <v>318655</v>
      </c>
      <c r="AB185">
        <v>27010</v>
      </c>
      <c r="AC185">
        <v>17511097</v>
      </c>
      <c r="AD185" t="s">
        <v>5</v>
      </c>
      <c r="AE185">
        <v>57</v>
      </c>
      <c r="AF185">
        <v>1</v>
      </c>
      <c r="AH185" t="s">
        <v>10884</v>
      </c>
      <c r="AI185" t="s">
        <v>10883</v>
      </c>
      <c r="AK185" t="s">
        <v>10882</v>
      </c>
      <c r="AL185">
        <v>23</v>
      </c>
      <c r="AM185" s="5">
        <f t="shared" si="18"/>
        <v>0.7931034482758621</v>
      </c>
      <c r="AN185" s="4">
        <f t="shared" si="23"/>
        <v>1.2012168849312565E-3</v>
      </c>
      <c r="AO185" s="3"/>
      <c r="AP185">
        <v>0</v>
      </c>
      <c r="AR185" t="s">
        <v>1</v>
      </c>
      <c r="AT185" s="2">
        <v>3.4209999999999998</v>
      </c>
      <c r="AU185" s="1">
        <f t="shared" si="19"/>
        <v>1.5645595037984115</v>
      </c>
      <c r="AV185" s="1">
        <f t="shared" si="20"/>
        <v>1.1518629851397584</v>
      </c>
      <c r="AW185" s="1">
        <f t="shared" si="21"/>
        <v>0.7391664664811054</v>
      </c>
    </row>
    <row r="186" spans="1:49" x14ac:dyDescent="0.2">
      <c r="A186">
        <v>184</v>
      </c>
      <c r="B186" t="s">
        <v>10881</v>
      </c>
      <c r="C186" t="s">
        <v>10880</v>
      </c>
      <c r="F186" t="s">
        <v>10879</v>
      </c>
      <c r="G186" t="s">
        <v>15</v>
      </c>
      <c r="H186" t="s">
        <v>14</v>
      </c>
      <c r="I186" t="s">
        <v>10878</v>
      </c>
      <c r="J186" t="s">
        <v>10873</v>
      </c>
      <c r="K186" t="s">
        <v>10877</v>
      </c>
      <c r="L186" t="s">
        <v>10876</v>
      </c>
      <c r="M186" t="s">
        <v>751</v>
      </c>
      <c r="N186">
        <v>2</v>
      </c>
      <c r="O186" t="s">
        <v>10875</v>
      </c>
      <c r="P186" t="s">
        <v>10874</v>
      </c>
      <c r="Q186" t="s">
        <v>10873</v>
      </c>
      <c r="R186" s="7">
        <v>33970</v>
      </c>
      <c r="S186" s="8">
        <f t="shared" si="16"/>
        <v>1993</v>
      </c>
      <c r="T186" s="8">
        <v>1993</v>
      </c>
      <c r="U186" s="8">
        <f t="shared" si="17"/>
        <v>29</v>
      </c>
      <c r="V186" s="7">
        <v>34121</v>
      </c>
      <c r="W186" t="s">
        <v>10872</v>
      </c>
      <c r="X186" s="2">
        <v>1.351</v>
      </c>
      <c r="Y186" s="6">
        <f t="shared" si="22"/>
        <v>3.6064173407009958E-2</v>
      </c>
      <c r="AA186">
        <v>319317</v>
      </c>
      <c r="AB186">
        <v>16530</v>
      </c>
      <c r="AC186">
        <v>13993054</v>
      </c>
      <c r="AD186" t="s">
        <v>5</v>
      </c>
      <c r="AE186">
        <v>88</v>
      </c>
      <c r="AF186">
        <v>2</v>
      </c>
      <c r="AH186" t="s">
        <v>10871</v>
      </c>
      <c r="AI186" t="s">
        <v>10870</v>
      </c>
      <c r="AJ186" t="s">
        <v>10869</v>
      </c>
      <c r="AK186" t="s">
        <v>10868</v>
      </c>
      <c r="AL186">
        <v>20</v>
      </c>
      <c r="AM186" s="5">
        <f t="shared" si="18"/>
        <v>0.68965517241379315</v>
      </c>
      <c r="AN186" s="4">
        <f t="shared" si="23"/>
        <v>1.0445364216793535E-3</v>
      </c>
      <c r="AO186" s="3"/>
      <c r="AP186">
        <v>0</v>
      </c>
      <c r="AR186" t="s">
        <v>1</v>
      </c>
      <c r="AT186" s="2">
        <v>4.5</v>
      </c>
      <c r="AU186" s="1">
        <f t="shared" si="19"/>
        <v>2.5558282311410778</v>
      </c>
      <c r="AV186" s="1">
        <f t="shared" si="20"/>
        <v>1.8554354914344657</v>
      </c>
      <c r="AW186" s="1">
        <f t="shared" si="21"/>
        <v>1.1550427517278534</v>
      </c>
    </row>
    <row r="187" spans="1:49" x14ac:dyDescent="0.2">
      <c r="A187">
        <v>185</v>
      </c>
      <c r="B187" t="s">
        <v>10867</v>
      </c>
      <c r="C187" t="s">
        <v>10866</v>
      </c>
      <c r="F187" t="s">
        <v>10865</v>
      </c>
      <c r="G187" t="s">
        <v>15</v>
      </c>
      <c r="H187" t="s">
        <v>14</v>
      </c>
      <c r="I187" t="s">
        <v>10864</v>
      </c>
      <c r="J187">
        <v>60009731</v>
      </c>
      <c r="K187" t="s">
        <v>10863</v>
      </c>
      <c r="L187" t="s">
        <v>10862</v>
      </c>
      <c r="M187" t="s">
        <v>59</v>
      </c>
      <c r="N187">
        <v>2</v>
      </c>
      <c r="O187" t="s">
        <v>10861</v>
      </c>
      <c r="P187" t="s">
        <v>10860</v>
      </c>
      <c r="Q187" t="s">
        <v>10859</v>
      </c>
      <c r="R187" s="7">
        <v>33970</v>
      </c>
      <c r="S187" s="8">
        <f t="shared" si="16"/>
        <v>1993</v>
      </c>
      <c r="T187" s="8">
        <v>1993</v>
      </c>
      <c r="U187" s="8">
        <f t="shared" si="17"/>
        <v>29</v>
      </c>
      <c r="V187" s="7">
        <v>33970</v>
      </c>
      <c r="W187" t="s">
        <v>9302</v>
      </c>
      <c r="X187" s="2">
        <v>0.81799999999999995</v>
      </c>
      <c r="Y187" s="6">
        <f t="shared" si="22"/>
        <v>2.1836042817863912E-2</v>
      </c>
      <c r="AA187">
        <v>318655</v>
      </c>
      <c r="AB187">
        <v>27010</v>
      </c>
      <c r="AC187">
        <v>17511097</v>
      </c>
      <c r="AD187" t="s">
        <v>5</v>
      </c>
      <c r="AE187">
        <v>57</v>
      </c>
      <c r="AF187">
        <v>1</v>
      </c>
      <c r="AH187" t="s">
        <v>10858</v>
      </c>
      <c r="AI187" t="s">
        <v>10857</v>
      </c>
      <c r="AK187" t="s">
        <v>10856</v>
      </c>
      <c r="AL187">
        <v>11</v>
      </c>
      <c r="AM187" s="5">
        <f t="shared" si="18"/>
        <v>0.37931034482758619</v>
      </c>
      <c r="AN187" s="4">
        <f t="shared" si="23"/>
        <v>5.7449503192364435E-4</v>
      </c>
      <c r="AO187" s="3"/>
      <c r="AP187">
        <v>0</v>
      </c>
      <c r="AR187" t="s">
        <v>1</v>
      </c>
      <c r="AT187" s="2">
        <v>3.4209999999999998</v>
      </c>
      <c r="AU187" s="1">
        <f t="shared" si="19"/>
        <v>1.5457578482081831</v>
      </c>
      <c r="AV187" s="1">
        <f t="shared" si="20"/>
        <v>1.1205268924893779</v>
      </c>
      <c r="AW187" s="1">
        <f t="shared" si="21"/>
        <v>0.69529593677057255</v>
      </c>
    </row>
    <row r="188" spans="1:49" x14ac:dyDescent="0.2">
      <c r="A188">
        <v>186</v>
      </c>
      <c r="B188" t="s">
        <v>10855</v>
      </c>
      <c r="C188" t="s">
        <v>10854</v>
      </c>
      <c r="F188" t="s">
        <v>10853</v>
      </c>
      <c r="G188" t="s">
        <v>15</v>
      </c>
      <c r="H188" t="s">
        <v>14</v>
      </c>
      <c r="I188" t="s">
        <v>10852</v>
      </c>
      <c r="J188">
        <v>60025858</v>
      </c>
      <c r="K188" t="s">
        <v>10851</v>
      </c>
      <c r="L188" t="s">
        <v>10850</v>
      </c>
      <c r="M188" t="s">
        <v>6158</v>
      </c>
      <c r="N188">
        <v>2</v>
      </c>
      <c r="O188" t="s">
        <v>10849</v>
      </c>
      <c r="P188" t="s">
        <v>10848</v>
      </c>
      <c r="Q188" t="s">
        <v>10847</v>
      </c>
      <c r="R188" s="7">
        <v>33970</v>
      </c>
      <c r="S188" s="8">
        <f t="shared" si="16"/>
        <v>1993</v>
      </c>
      <c r="T188" s="8">
        <v>1993</v>
      </c>
      <c r="U188" s="8">
        <f t="shared" si="17"/>
        <v>29</v>
      </c>
      <c r="V188" s="7">
        <v>33970</v>
      </c>
      <c r="W188" t="s">
        <v>9302</v>
      </c>
      <c r="X188" s="2">
        <v>0.81799999999999995</v>
      </c>
      <c r="Y188" s="6">
        <f t="shared" si="22"/>
        <v>2.1836042817863912E-2</v>
      </c>
      <c r="AA188">
        <v>318655</v>
      </c>
      <c r="AB188">
        <v>27010</v>
      </c>
      <c r="AC188">
        <v>17511097</v>
      </c>
      <c r="AD188" t="s">
        <v>5</v>
      </c>
      <c r="AE188">
        <v>57</v>
      </c>
      <c r="AF188">
        <v>1</v>
      </c>
      <c r="AH188" s="9">
        <v>44536</v>
      </c>
      <c r="AI188" t="s">
        <v>10846</v>
      </c>
      <c r="AK188" t="s">
        <v>10845</v>
      </c>
      <c r="AL188">
        <v>6</v>
      </c>
      <c r="AM188" s="5">
        <f t="shared" si="18"/>
        <v>0.20689655172413793</v>
      </c>
      <c r="AN188" s="4">
        <f t="shared" si="23"/>
        <v>3.1336092650380602E-4</v>
      </c>
      <c r="AO188" s="3"/>
      <c r="AP188">
        <v>0</v>
      </c>
      <c r="AR188" t="s">
        <v>1</v>
      </c>
      <c r="AT188" s="2">
        <v>3.4209999999999998</v>
      </c>
      <c r="AU188" s="1">
        <f t="shared" si="19"/>
        <v>1.537923825045588</v>
      </c>
      <c r="AV188" s="1">
        <f t="shared" si="20"/>
        <v>1.1074701872183859</v>
      </c>
      <c r="AW188" s="1">
        <f t="shared" si="21"/>
        <v>0.67701654939118383</v>
      </c>
    </row>
    <row r="189" spans="1:49" x14ac:dyDescent="0.2">
      <c r="A189">
        <v>187</v>
      </c>
      <c r="B189" t="s">
        <v>10844</v>
      </c>
      <c r="C189" t="s">
        <v>10843</v>
      </c>
      <c r="F189" t="s">
        <v>10842</v>
      </c>
      <c r="G189" t="s">
        <v>15</v>
      </c>
      <c r="H189" t="s">
        <v>14</v>
      </c>
      <c r="I189" t="s">
        <v>10841</v>
      </c>
      <c r="J189" t="s">
        <v>10840</v>
      </c>
      <c r="K189" t="s">
        <v>10839</v>
      </c>
      <c r="L189" t="s">
        <v>10838</v>
      </c>
      <c r="M189" t="s">
        <v>235</v>
      </c>
      <c r="N189">
        <v>3</v>
      </c>
      <c r="O189" t="s">
        <v>10837</v>
      </c>
      <c r="P189" t="s">
        <v>10836</v>
      </c>
      <c r="Q189" t="s">
        <v>10835</v>
      </c>
      <c r="R189" s="7">
        <v>33970</v>
      </c>
      <c r="S189" s="8">
        <f t="shared" si="16"/>
        <v>1993</v>
      </c>
      <c r="T189" s="8">
        <v>1993</v>
      </c>
      <c r="U189" s="8">
        <f t="shared" si="17"/>
        <v>29</v>
      </c>
      <c r="V189" s="7">
        <v>34213</v>
      </c>
      <c r="W189" t="s">
        <v>9302</v>
      </c>
      <c r="X189" s="2">
        <v>0.81799999999999995</v>
      </c>
      <c r="Y189" s="6">
        <f t="shared" si="22"/>
        <v>2.1836042817863912E-2</v>
      </c>
      <c r="AA189">
        <v>318655</v>
      </c>
      <c r="AB189">
        <v>27010</v>
      </c>
      <c r="AC189">
        <v>17511097</v>
      </c>
      <c r="AD189" t="s">
        <v>5</v>
      </c>
      <c r="AE189">
        <v>58</v>
      </c>
      <c r="AF189">
        <v>3</v>
      </c>
      <c r="AH189" t="s">
        <v>10834</v>
      </c>
      <c r="AI189" t="s">
        <v>10833</v>
      </c>
      <c r="AK189" t="s">
        <v>10832</v>
      </c>
      <c r="AL189">
        <v>19</v>
      </c>
      <c r="AM189" s="5">
        <f t="shared" si="18"/>
        <v>0.65517241379310343</v>
      </c>
      <c r="AN189" s="4">
        <f t="shared" si="23"/>
        <v>9.9230960059538574E-4</v>
      </c>
      <c r="AO189" s="3"/>
      <c r="AP189">
        <v>0</v>
      </c>
      <c r="AR189" t="s">
        <v>1</v>
      </c>
      <c r="AT189" s="2">
        <v>3.4209999999999998</v>
      </c>
      <c r="AU189" s="1">
        <f t="shared" si="19"/>
        <v>1.5582922852683354</v>
      </c>
      <c r="AV189" s="1">
        <f t="shared" si="20"/>
        <v>1.1414176209229649</v>
      </c>
      <c r="AW189" s="1">
        <f t="shared" si="21"/>
        <v>0.72454295657759438</v>
      </c>
    </row>
    <row r="190" spans="1:49" x14ac:dyDescent="0.2">
      <c r="A190">
        <v>188</v>
      </c>
      <c r="B190" t="s">
        <v>10831</v>
      </c>
      <c r="C190" t="s">
        <v>10830</v>
      </c>
      <c r="F190" t="s">
        <v>10829</v>
      </c>
      <c r="G190" t="s">
        <v>15</v>
      </c>
      <c r="H190" t="s">
        <v>14</v>
      </c>
      <c r="I190" t="s">
        <v>10828</v>
      </c>
      <c r="J190" t="s">
        <v>10827</v>
      </c>
      <c r="K190" t="s">
        <v>10826</v>
      </c>
      <c r="L190" t="s">
        <v>10825</v>
      </c>
      <c r="M190" t="s">
        <v>751</v>
      </c>
      <c r="N190">
        <v>4</v>
      </c>
      <c r="O190" t="s">
        <v>10824</v>
      </c>
      <c r="P190" t="s">
        <v>10823</v>
      </c>
      <c r="Q190" t="s">
        <v>10822</v>
      </c>
      <c r="R190" s="7">
        <v>33970</v>
      </c>
      <c r="S190" s="8">
        <f t="shared" si="16"/>
        <v>1993</v>
      </c>
      <c r="T190" s="8">
        <v>1993</v>
      </c>
      <c r="U190" s="8">
        <f t="shared" si="17"/>
        <v>29</v>
      </c>
      <c r="V190" s="7">
        <v>33970</v>
      </c>
      <c r="W190" t="s">
        <v>9302</v>
      </c>
      <c r="X190" s="2">
        <v>0.81799999999999995</v>
      </c>
      <c r="Y190" s="6">
        <f t="shared" si="22"/>
        <v>2.1836042817863912E-2</v>
      </c>
      <c r="AA190">
        <v>318655</v>
      </c>
      <c r="AB190">
        <v>27010</v>
      </c>
      <c r="AC190">
        <v>17511097</v>
      </c>
      <c r="AD190" t="s">
        <v>5</v>
      </c>
      <c r="AE190">
        <v>57</v>
      </c>
      <c r="AF190">
        <v>1</v>
      </c>
      <c r="AH190" t="s">
        <v>10821</v>
      </c>
      <c r="AI190" t="s">
        <v>10820</v>
      </c>
      <c r="AK190" t="s">
        <v>10819</v>
      </c>
      <c r="AL190">
        <v>6</v>
      </c>
      <c r="AM190" s="5">
        <f t="shared" si="18"/>
        <v>0.20689655172413793</v>
      </c>
      <c r="AN190" s="4">
        <f t="shared" si="23"/>
        <v>3.1336092650380602E-4</v>
      </c>
      <c r="AO190" s="3"/>
      <c r="AP190">
        <v>0</v>
      </c>
      <c r="AR190" t="s">
        <v>1</v>
      </c>
      <c r="AT190" s="2">
        <v>3.4209999999999998</v>
      </c>
      <c r="AU190" s="1">
        <f t="shared" si="19"/>
        <v>1.537923825045588</v>
      </c>
      <c r="AV190" s="1">
        <f t="shared" si="20"/>
        <v>1.1074701872183859</v>
      </c>
      <c r="AW190" s="1">
        <f t="shared" si="21"/>
        <v>0.67701654939118383</v>
      </c>
    </row>
    <row r="191" spans="1:49" x14ac:dyDescent="0.2">
      <c r="A191">
        <v>189</v>
      </c>
      <c r="B191" t="s">
        <v>10818</v>
      </c>
      <c r="C191" t="s">
        <v>10817</v>
      </c>
      <c r="F191" t="s">
        <v>10816</v>
      </c>
      <c r="G191" t="s">
        <v>15</v>
      </c>
      <c r="H191" t="s">
        <v>14</v>
      </c>
      <c r="I191" t="s">
        <v>10815</v>
      </c>
      <c r="J191" t="s">
        <v>10814</v>
      </c>
      <c r="K191" t="s">
        <v>10813</v>
      </c>
      <c r="L191" t="s">
        <v>10812</v>
      </c>
      <c r="M191" t="s">
        <v>235</v>
      </c>
      <c r="N191">
        <v>5</v>
      </c>
      <c r="O191" t="s">
        <v>10811</v>
      </c>
      <c r="P191" t="s">
        <v>10810</v>
      </c>
      <c r="Q191" t="s">
        <v>10809</v>
      </c>
      <c r="R191" s="7">
        <v>33970</v>
      </c>
      <c r="S191" s="8">
        <f t="shared" si="16"/>
        <v>1993</v>
      </c>
      <c r="T191" s="8">
        <v>1993</v>
      </c>
      <c r="U191" s="8">
        <f t="shared" si="17"/>
        <v>29</v>
      </c>
      <c r="V191" s="7">
        <v>33970</v>
      </c>
      <c r="W191" t="s">
        <v>9302</v>
      </c>
      <c r="X191" s="2">
        <v>0.81799999999999995</v>
      </c>
      <c r="Y191" s="6">
        <f t="shared" si="22"/>
        <v>2.1836042817863912E-2</v>
      </c>
      <c r="AA191">
        <v>318655</v>
      </c>
      <c r="AB191">
        <v>27010</v>
      </c>
      <c r="AC191">
        <v>17511097</v>
      </c>
      <c r="AD191" t="s">
        <v>5</v>
      </c>
      <c r="AE191">
        <v>57</v>
      </c>
      <c r="AF191">
        <v>1</v>
      </c>
      <c r="AH191" t="s">
        <v>10808</v>
      </c>
      <c r="AI191" t="s">
        <v>10807</v>
      </c>
      <c r="AK191" t="s">
        <v>10806</v>
      </c>
      <c r="AL191">
        <v>16</v>
      </c>
      <c r="AM191" s="5">
        <f t="shared" si="18"/>
        <v>0.55172413793103448</v>
      </c>
      <c r="AN191" s="4">
        <f t="shared" si="23"/>
        <v>8.3562913734348278E-4</v>
      </c>
      <c r="AO191" s="3"/>
      <c r="AP191">
        <v>0</v>
      </c>
      <c r="AR191" t="s">
        <v>1</v>
      </c>
      <c r="AT191" s="2">
        <v>3.4209999999999998</v>
      </c>
      <c r="AU191" s="1">
        <f t="shared" si="19"/>
        <v>1.5535918713707781</v>
      </c>
      <c r="AV191" s="1">
        <f t="shared" si="20"/>
        <v>1.1335835977603697</v>
      </c>
      <c r="AW191" s="1">
        <f t="shared" si="21"/>
        <v>0.71357532414996117</v>
      </c>
    </row>
    <row r="192" spans="1:49" x14ac:dyDescent="0.2">
      <c r="A192">
        <v>190</v>
      </c>
      <c r="B192" t="s">
        <v>10805</v>
      </c>
      <c r="C192" t="s">
        <v>10804</v>
      </c>
      <c r="F192" t="s">
        <v>10803</v>
      </c>
      <c r="G192" t="s">
        <v>15</v>
      </c>
      <c r="H192" t="s">
        <v>14</v>
      </c>
      <c r="I192" t="s">
        <v>10802</v>
      </c>
      <c r="J192">
        <v>60104946</v>
      </c>
      <c r="K192" t="s">
        <v>10801</v>
      </c>
      <c r="L192" t="s">
        <v>164</v>
      </c>
      <c r="M192" t="s">
        <v>10</v>
      </c>
      <c r="N192">
        <v>1</v>
      </c>
      <c r="O192" t="s">
        <v>10800</v>
      </c>
      <c r="P192">
        <v>6602465350</v>
      </c>
      <c r="Q192">
        <v>60104946</v>
      </c>
      <c r="R192" s="7">
        <v>33970</v>
      </c>
      <c r="S192" s="8">
        <f t="shared" si="16"/>
        <v>1993</v>
      </c>
      <c r="T192" s="8">
        <v>1993</v>
      </c>
      <c r="U192" s="8">
        <f t="shared" si="17"/>
        <v>29</v>
      </c>
      <c r="V192" s="7">
        <v>1993</v>
      </c>
      <c r="W192" t="s">
        <v>10788</v>
      </c>
      <c r="X192" s="2">
        <v>0.47799999999999998</v>
      </c>
      <c r="Y192" s="6">
        <f t="shared" si="22"/>
        <v>1.275993700114786E-2</v>
      </c>
      <c r="AA192">
        <v>10613773</v>
      </c>
      <c r="AB192">
        <v>18156</v>
      </c>
      <c r="AC192">
        <v>10990542</v>
      </c>
      <c r="AD192" t="s">
        <v>5</v>
      </c>
      <c r="AE192">
        <v>1</v>
      </c>
      <c r="AF192">
        <v>2</v>
      </c>
      <c r="AH192" t="s">
        <v>8761</v>
      </c>
      <c r="AI192" t="s">
        <v>10799</v>
      </c>
      <c r="AK192" t="s">
        <v>10798</v>
      </c>
      <c r="AL192">
        <v>0</v>
      </c>
      <c r="AM192" s="5">
        <f t="shared" si="18"/>
        <v>0</v>
      </c>
      <c r="AN192" s="4">
        <f t="shared" si="23"/>
        <v>0</v>
      </c>
      <c r="AO192" s="3"/>
      <c r="AP192">
        <v>0</v>
      </c>
      <c r="AR192" t="s">
        <v>1</v>
      </c>
      <c r="AT192" s="2" t="s">
        <v>0</v>
      </c>
      <c r="AU192" s="1">
        <f t="shared" si="19"/>
        <v>0.8931955900803501</v>
      </c>
      <c r="AV192" s="1">
        <f t="shared" si="20"/>
        <v>0.63799685005739304</v>
      </c>
      <c r="AW192" s="1">
        <f t="shared" si="21"/>
        <v>0.38279811003443581</v>
      </c>
    </row>
    <row r="193" spans="1:49" x14ac:dyDescent="0.2">
      <c r="A193">
        <v>191</v>
      </c>
      <c r="B193" t="s">
        <v>10797</v>
      </c>
      <c r="C193" t="s">
        <v>10796</v>
      </c>
      <c r="F193" t="s">
        <v>10795</v>
      </c>
      <c r="G193" t="s">
        <v>15</v>
      </c>
      <c r="H193" t="s">
        <v>14</v>
      </c>
      <c r="I193" t="s">
        <v>10794</v>
      </c>
      <c r="J193">
        <v>60007592</v>
      </c>
      <c r="K193" t="s">
        <v>10793</v>
      </c>
      <c r="L193" t="s">
        <v>10792</v>
      </c>
      <c r="M193" t="s">
        <v>2508</v>
      </c>
      <c r="N193">
        <v>3</v>
      </c>
      <c r="O193" t="s">
        <v>10791</v>
      </c>
      <c r="P193" t="s">
        <v>10790</v>
      </c>
      <c r="Q193" t="s">
        <v>10789</v>
      </c>
      <c r="R193" s="7">
        <v>33970</v>
      </c>
      <c r="S193" s="8">
        <f t="shared" ref="S193:S256" si="24">YEAR(R193)</f>
        <v>1993</v>
      </c>
      <c r="T193" s="8">
        <v>1993</v>
      </c>
      <c r="U193" s="8">
        <f t="shared" ref="U193:U256" si="25">2022-T193</f>
        <v>29</v>
      </c>
      <c r="V193" s="7">
        <v>1993</v>
      </c>
      <c r="W193" t="s">
        <v>10788</v>
      </c>
      <c r="X193" s="2">
        <v>0.47799999999999998</v>
      </c>
      <c r="Y193" s="6">
        <f t="shared" si="22"/>
        <v>1.275993700114786E-2</v>
      </c>
      <c r="AA193">
        <v>10613773</v>
      </c>
      <c r="AB193">
        <v>18156</v>
      </c>
      <c r="AC193">
        <v>10990542</v>
      </c>
      <c r="AD193" t="s">
        <v>5</v>
      </c>
      <c r="AE193">
        <v>1</v>
      </c>
      <c r="AF193">
        <v>5</v>
      </c>
      <c r="AH193" t="s">
        <v>10787</v>
      </c>
      <c r="AI193" t="s">
        <v>10786</v>
      </c>
      <c r="AK193" t="s">
        <v>10785</v>
      </c>
      <c r="AL193">
        <v>1</v>
      </c>
      <c r="AM193" s="5">
        <f t="shared" ref="AM193:AM256" si="26">AL193/U193</f>
        <v>3.4482758620689655E-2</v>
      </c>
      <c r="AN193" s="4">
        <f t="shared" si="23"/>
        <v>5.2226821083967674E-5</v>
      </c>
      <c r="AO193" s="3"/>
      <c r="AP193">
        <v>0</v>
      </c>
      <c r="AR193" t="s">
        <v>1</v>
      </c>
      <c r="AT193" s="2" t="s">
        <v>0</v>
      </c>
      <c r="AU193" s="1">
        <f t="shared" ref="AU193:AU256" si="27">(Y193*0.7+AN193*0.3)*100</f>
        <v>0.89476239471286911</v>
      </c>
      <c r="AV193" s="1">
        <f t="shared" ref="AV193:AV256" si="28">(Y193*0.5+AN193*0.5)*100</f>
        <v>0.6406081911115914</v>
      </c>
      <c r="AW193" s="1">
        <f t="shared" ref="AW193:AW256" si="29">(Y193*0.3+AN193*0.7)*100</f>
        <v>0.38645398751031357</v>
      </c>
    </row>
    <row r="194" spans="1:49" x14ac:dyDescent="0.2">
      <c r="A194">
        <v>192</v>
      </c>
      <c r="B194" t="s">
        <v>10784</v>
      </c>
      <c r="C194" t="s">
        <v>10783</v>
      </c>
      <c r="F194" t="s">
        <v>10782</v>
      </c>
      <c r="G194" t="s">
        <v>15</v>
      </c>
      <c r="H194" t="s">
        <v>14</v>
      </c>
      <c r="I194" t="s">
        <v>10781</v>
      </c>
      <c r="J194" t="s">
        <v>10780</v>
      </c>
      <c r="K194" t="s">
        <v>10779</v>
      </c>
      <c r="L194" t="s">
        <v>10778</v>
      </c>
      <c r="M194" t="s">
        <v>2341</v>
      </c>
      <c r="N194">
        <v>4</v>
      </c>
      <c r="O194" t="s">
        <v>10777</v>
      </c>
      <c r="P194" t="s">
        <v>10776</v>
      </c>
      <c r="Q194" t="s">
        <v>10775</v>
      </c>
      <c r="R194" s="7">
        <v>33970</v>
      </c>
      <c r="S194" s="8">
        <f t="shared" si="24"/>
        <v>1993</v>
      </c>
      <c r="T194" s="8">
        <v>1993</v>
      </c>
      <c r="U194" s="8">
        <f t="shared" si="25"/>
        <v>29</v>
      </c>
      <c r="V194" s="7">
        <v>1993</v>
      </c>
      <c r="W194" t="s">
        <v>10774</v>
      </c>
      <c r="X194" s="2">
        <v>0.10299999999999999</v>
      </c>
      <c r="Y194" s="6">
        <f t="shared" ref="Y194:Y257" si="30">(X194-$Z$4)/($Z$3-$Z$4)</f>
        <v>2.7495261738875098E-3</v>
      </c>
      <c r="AA194">
        <v>10420967</v>
      </c>
      <c r="AB194">
        <v>24908</v>
      </c>
      <c r="AC194">
        <v>15206440</v>
      </c>
      <c r="AD194" t="s">
        <v>5</v>
      </c>
      <c r="AE194">
        <v>76</v>
      </c>
      <c r="AF194">
        <v>4</v>
      </c>
      <c r="AH194" t="s">
        <v>10773</v>
      </c>
      <c r="AI194" t="s">
        <v>10772</v>
      </c>
      <c r="AJ194" t="s">
        <v>10771</v>
      </c>
      <c r="AK194" t="s">
        <v>10770</v>
      </c>
      <c r="AL194">
        <v>0</v>
      </c>
      <c r="AM194" s="5">
        <f t="shared" si="26"/>
        <v>0</v>
      </c>
      <c r="AN194" s="4">
        <f t="shared" ref="AN194:AN257" si="31">(AM194-$AO$4)/($AO$3-$AO$4)</f>
        <v>0</v>
      </c>
      <c r="AO194" s="3"/>
      <c r="AP194">
        <v>0</v>
      </c>
      <c r="AR194" t="s">
        <v>1</v>
      </c>
      <c r="AT194" s="2" t="s">
        <v>0</v>
      </c>
      <c r="AU194" s="1">
        <f t="shared" si="27"/>
        <v>0.19246683217212568</v>
      </c>
      <c r="AV194" s="1">
        <f t="shared" si="28"/>
        <v>0.13747630869437549</v>
      </c>
      <c r="AW194" s="1">
        <f t="shared" si="29"/>
        <v>8.2485785216625293E-2</v>
      </c>
    </row>
    <row r="195" spans="1:49" x14ac:dyDescent="0.2">
      <c r="A195">
        <v>193</v>
      </c>
      <c r="B195" t="s">
        <v>10769</v>
      </c>
      <c r="C195" t="s">
        <v>10768</v>
      </c>
      <c r="F195" t="s">
        <v>10767</v>
      </c>
      <c r="G195" t="s">
        <v>15</v>
      </c>
      <c r="H195" t="s">
        <v>14</v>
      </c>
      <c r="I195" t="s">
        <v>10766</v>
      </c>
      <c r="J195">
        <v>60014176</v>
      </c>
      <c r="K195" t="s">
        <v>10765</v>
      </c>
      <c r="L195" t="s">
        <v>10764</v>
      </c>
      <c r="M195" t="s">
        <v>493</v>
      </c>
      <c r="N195">
        <v>3</v>
      </c>
      <c r="O195" t="s">
        <v>10763</v>
      </c>
      <c r="P195" t="s">
        <v>10762</v>
      </c>
      <c r="Q195" t="s">
        <v>10761</v>
      </c>
      <c r="R195" s="7">
        <v>33970</v>
      </c>
      <c r="S195" s="8">
        <f t="shared" si="24"/>
        <v>1993</v>
      </c>
      <c r="T195" s="8">
        <v>1993</v>
      </c>
      <c r="U195" s="8">
        <f t="shared" si="25"/>
        <v>29</v>
      </c>
      <c r="V195" s="7">
        <v>34243</v>
      </c>
      <c r="W195" t="s">
        <v>10760</v>
      </c>
      <c r="X195" s="2">
        <v>0.91500000000000004</v>
      </c>
      <c r="Y195" s="6">
        <f t="shared" si="30"/>
        <v>2.4425402418515259E-2</v>
      </c>
      <c r="AA195">
        <v>9528369</v>
      </c>
      <c r="AB195">
        <v>22608</v>
      </c>
      <c r="AC195">
        <v>14697998</v>
      </c>
      <c r="AD195" t="s">
        <v>5</v>
      </c>
      <c r="AE195">
        <v>231</v>
      </c>
      <c r="AF195">
        <v>2</v>
      </c>
      <c r="AH195" t="s">
        <v>10759</v>
      </c>
      <c r="AI195" t="s">
        <v>10758</v>
      </c>
      <c r="AK195" t="s">
        <v>10757</v>
      </c>
      <c r="AL195">
        <v>11</v>
      </c>
      <c r="AM195" s="5">
        <f t="shared" si="26"/>
        <v>0.37931034482758619</v>
      </c>
      <c r="AN195" s="4">
        <f t="shared" si="31"/>
        <v>5.7449503192364435E-4</v>
      </c>
      <c r="AO195" s="3"/>
      <c r="AP195">
        <v>0</v>
      </c>
      <c r="AR195" t="s">
        <v>1</v>
      </c>
      <c r="AT195" s="2">
        <v>2.3220000000000001</v>
      </c>
      <c r="AU195" s="1">
        <f t="shared" si="27"/>
        <v>1.7270130202537772</v>
      </c>
      <c r="AV195" s="1">
        <f t="shared" si="28"/>
        <v>1.2499948725219452</v>
      </c>
      <c r="AW195" s="1">
        <f t="shared" si="29"/>
        <v>0.77297672479011292</v>
      </c>
    </row>
    <row r="196" spans="1:49" x14ac:dyDescent="0.2">
      <c r="A196">
        <v>194</v>
      </c>
      <c r="B196" t="s">
        <v>10756</v>
      </c>
      <c r="C196" t="s">
        <v>10755</v>
      </c>
      <c r="F196" t="s">
        <v>10754</v>
      </c>
      <c r="G196" t="s">
        <v>15</v>
      </c>
      <c r="H196" t="s">
        <v>14</v>
      </c>
      <c r="I196" t="s">
        <v>10753</v>
      </c>
      <c r="J196">
        <v>60016653</v>
      </c>
      <c r="K196" t="s">
        <v>10752</v>
      </c>
      <c r="L196" t="s">
        <v>10751</v>
      </c>
      <c r="M196" t="s">
        <v>59</v>
      </c>
      <c r="N196">
        <v>2</v>
      </c>
      <c r="O196" t="s">
        <v>10750</v>
      </c>
      <c r="P196" t="s">
        <v>10749</v>
      </c>
      <c r="Q196" t="s">
        <v>10748</v>
      </c>
      <c r="R196" s="7">
        <v>33970</v>
      </c>
      <c r="S196" s="8">
        <f t="shared" si="24"/>
        <v>1993</v>
      </c>
      <c r="T196" s="8">
        <v>1993</v>
      </c>
      <c r="U196" s="8">
        <f t="shared" si="25"/>
        <v>29</v>
      </c>
      <c r="V196" s="7" t="s">
        <v>4189</v>
      </c>
      <c r="W196" t="s">
        <v>5091</v>
      </c>
      <c r="X196" s="2">
        <v>0.34699999999999998</v>
      </c>
      <c r="Y196" s="6">
        <f t="shared" si="30"/>
        <v>9.2629668188249116E-3</v>
      </c>
      <c r="AA196" t="s">
        <v>5090</v>
      </c>
      <c r="AB196">
        <v>18817</v>
      </c>
      <c r="AC196">
        <v>15418251</v>
      </c>
      <c r="AD196" t="s">
        <v>5</v>
      </c>
      <c r="AE196">
        <v>4</v>
      </c>
      <c r="AF196">
        <v>3</v>
      </c>
      <c r="AH196" t="s">
        <v>992</v>
      </c>
      <c r="AI196" t="s">
        <v>10747</v>
      </c>
      <c r="AK196" t="s">
        <v>10746</v>
      </c>
      <c r="AL196">
        <v>1</v>
      </c>
      <c r="AM196" s="5">
        <f t="shared" si="26"/>
        <v>3.4482758620689655E-2</v>
      </c>
      <c r="AN196" s="4">
        <f t="shared" si="31"/>
        <v>5.2226821083967674E-5</v>
      </c>
      <c r="AO196" s="3"/>
      <c r="AP196">
        <v>0</v>
      </c>
      <c r="AR196" t="s">
        <v>1</v>
      </c>
      <c r="AT196" s="2" t="s">
        <v>0</v>
      </c>
      <c r="AU196" s="1">
        <f t="shared" si="27"/>
        <v>0.64997448195026286</v>
      </c>
      <c r="AV196" s="1">
        <f t="shared" si="28"/>
        <v>0.46575968199544393</v>
      </c>
      <c r="AW196" s="1">
        <f t="shared" si="29"/>
        <v>0.28154488204062506</v>
      </c>
    </row>
    <row r="197" spans="1:49" x14ac:dyDescent="0.2">
      <c r="A197">
        <v>195</v>
      </c>
      <c r="B197" t="s">
        <v>10745</v>
      </c>
      <c r="C197" t="s">
        <v>10744</v>
      </c>
      <c r="F197" t="s">
        <v>10743</v>
      </c>
      <c r="G197" t="s">
        <v>15</v>
      </c>
      <c r="H197" t="s">
        <v>14</v>
      </c>
      <c r="I197" t="s">
        <v>10742</v>
      </c>
      <c r="J197">
        <v>60031126</v>
      </c>
      <c r="K197" t="s">
        <v>10741</v>
      </c>
      <c r="L197" t="s">
        <v>151</v>
      </c>
      <c r="M197" t="s">
        <v>150</v>
      </c>
      <c r="N197">
        <v>4</v>
      </c>
      <c r="O197" t="s">
        <v>10740</v>
      </c>
      <c r="P197" t="s">
        <v>10739</v>
      </c>
      <c r="Q197" t="s">
        <v>10738</v>
      </c>
      <c r="R197" s="7">
        <v>33970</v>
      </c>
      <c r="S197" s="8">
        <f t="shared" si="24"/>
        <v>1993</v>
      </c>
      <c r="T197" s="8">
        <v>1993</v>
      </c>
      <c r="U197" s="8">
        <f t="shared" si="25"/>
        <v>29</v>
      </c>
      <c r="V197" s="7">
        <v>1993</v>
      </c>
      <c r="W197" t="s">
        <v>1720</v>
      </c>
      <c r="X197" s="2">
        <v>0.111</v>
      </c>
      <c r="Y197" s="6">
        <f t="shared" si="30"/>
        <v>2.9630816048690639E-3</v>
      </c>
      <c r="AA197">
        <v>87566621</v>
      </c>
      <c r="AB197">
        <v>24890</v>
      </c>
      <c r="AC197">
        <v>15206424</v>
      </c>
      <c r="AD197" t="s">
        <v>5</v>
      </c>
      <c r="AE197">
        <v>76</v>
      </c>
      <c r="AF197">
        <v>7</v>
      </c>
      <c r="AH197" t="s">
        <v>10737</v>
      </c>
      <c r="AI197" t="s">
        <v>10736</v>
      </c>
      <c r="AJ197" t="s">
        <v>10735</v>
      </c>
      <c r="AK197" t="s">
        <v>10734</v>
      </c>
      <c r="AL197">
        <v>5</v>
      </c>
      <c r="AM197" s="5">
        <f t="shared" si="26"/>
        <v>0.17241379310344829</v>
      </c>
      <c r="AN197" s="4">
        <f t="shared" si="31"/>
        <v>2.6113410541983838E-4</v>
      </c>
      <c r="AO197" s="3"/>
      <c r="AP197">
        <v>0</v>
      </c>
      <c r="AR197" t="s">
        <v>1</v>
      </c>
      <c r="AT197" s="2" t="s">
        <v>0</v>
      </c>
      <c r="AU197" s="1">
        <f t="shared" si="27"/>
        <v>0.2152497355034296</v>
      </c>
      <c r="AV197" s="1">
        <f t="shared" si="28"/>
        <v>0.16121078551444512</v>
      </c>
      <c r="AW197" s="1">
        <f t="shared" si="29"/>
        <v>0.10717183552546058</v>
      </c>
    </row>
    <row r="198" spans="1:49" x14ac:dyDescent="0.2">
      <c r="A198">
        <v>196</v>
      </c>
      <c r="B198" t="s">
        <v>10733</v>
      </c>
      <c r="C198" t="s">
        <v>10732</v>
      </c>
      <c r="F198" t="s">
        <v>10731</v>
      </c>
      <c r="G198" t="s">
        <v>15</v>
      </c>
      <c r="H198" t="s">
        <v>14</v>
      </c>
      <c r="I198" t="s">
        <v>10730</v>
      </c>
      <c r="J198">
        <v>60000809</v>
      </c>
      <c r="K198" t="s">
        <v>9215</v>
      </c>
      <c r="L198" t="s">
        <v>9214</v>
      </c>
      <c r="M198" t="s">
        <v>150</v>
      </c>
      <c r="N198">
        <v>2</v>
      </c>
      <c r="O198" t="s">
        <v>10729</v>
      </c>
      <c r="P198" t="s">
        <v>10728</v>
      </c>
      <c r="Q198" t="s">
        <v>10727</v>
      </c>
      <c r="R198" s="7">
        <v>33970</v>
      </c>
      <c r="S198" s="8">
        <f t="shared" si="24"/>
        <v>1993</v>
      </c>
      <c r="T198" s="8">
        <v>1993</v>
      </c>
      <c r="U198" s="8">
        <f t="shared" si="25"/>
        <v>29</v>
      </c>
      <c r="V198" s="7">
        <v>1993</v>
      </c>
      <c r="W198" t="s">
        <v>1720</v>
      </c>
      <c r="X198" s="2">
        <v>0.111</v>
      </c>
      <c r="Y198" s="6">
        <f t="shared" si="30"/>
        <v>2.9630816048690639E-3</v>
      </c>
      <c r="AA198">
        <v>87566621</v>
      </c>
      <c r="AB198">
        <v>24890</v>
      </c>
      <c r="AC198">
        <v>15206424</v>
      </c>
      <c r="AD198" t="s">
        <v>5</v>
      </c>
      <c r="AE198">
        <v>76</v>
      </c>
      <c r="AF198">
        <v>4</v>
      </c>
      <c r="AH198" t="s">
        <v>10726</v>
      </c>
      <c r="AI198" t="s">
        <v>10725</v>
      </c>
      <c r="AJ198" t="s">
        <v>10724</v>
      </c>
      <c r="AK198" t="s">
        <v>10723</v>
      </c>
      <c r="AL198">
        <v>0</v>
      </c>
      <c r="AM198" s="5">
        <f t="shared" si="26"/>
        <v>0</v>
      </c>
      <c r="AN198" s="4">
        <f t="shared" si="31"/>
        <v>0</v>
      </c>
      <c r="AO198" s="3"/>
      <c r="AP198">
        <v>0</v>
      </c>
      <c r="AR198" t="s">
        <v>1</v>
      </c>
      <c r="AT198" s="2" t="s">
        <v>0</v>
      </c>
      <c r="AU198" s="1">
        <f t="shared" si="27"/>
        <v>0.20741571234083445</v>
      </c>
      <c r="AV198" s="1">
        <f t="shared" si="28"/>
        <v>0.1481540802434532</v>
      </c>
      <c r="AW198" s="1">
        <f t="shared" si="29"/>
        <v>8.8892448146071903E-2</v>
      </c>
    </row>
    <row r="199" spans="1:49" x14ac:dyDescent="0.2">
      <c r="A199">
        <v>197</v>
      </c>
      <c r="B199" t="s">
        <v>10722</v>
      </c>
      <c r="C199" t="s">
        <v>10721</v>
      </c>
      <c r="F199" t="s">
        <v>10720</v>
      </c>
      <c r="G199" t="s">
        <v>15</v>
      </c>
      <c r="H199" t="s">
        <v>14</v>
      </c>
      <c r="I199" t="s">
        <v>10719</v>
      </c>
      <c r="J199">
        <v>60032530</v>
      </c>
      <c r="K199" t="s">
        <v>10718</v>
      </c>
      <c r="L199" t="s">
        <v>10717</v>
      </c>
      <c r="M199" t="s">
        <v>303</v>
      </c>
      <c r="N199">
        <v>4</v>
      </c>
      <c r="O199" t="s">
        <v>10716</v>
      </c>
      <c r="P199" t="s">
        <v>10715</v>
      </c>
      <c r="Q199" t="s">
        <v>10714</v>
      </c>
      <c r="R199" s="7">
        <v>33970</v>
      </c>
      <c r="S199" s="8">
        <f t="shared" si="24"/>
        <v>1993</v>
      </c>
      <c r="T199" s="8">
        <v>1993</v>
      </c>
      <c r="U199" s="8">
        <f t="shared" si="25"/>
        <v>29</v>
      </c>
      <c r="V199" s="7">
        <v>34121</v>
      </c>
      <c r="W199" t="s">
        <v>10713</v>
      </c>
      <c r="X199" s="2">
        <v>0.76500000000000001</v>
      </c>
      <c r="Y199" s="6">
        <f t="shared" si="30"/>
        <v>2.0421238087611118E-2</v>
      </c>
      <c r="AA199">
        <v>138703</v>
      </c>
      <c r="AB199">
        <v>19793</v>
      </c>
      <c r="AC199">
        <v>15707458</v>
      </c>
      <c r="AD199" t="s">
        <v>5</v>
      </c>
      <c r="AE199">
        <v>67</v>
      </c>
      <c r="AF199">
        <v>3</v>
      </c>
      <c r="AH199" t="s">
        <v>10712</v>
      </c>
      <c r="AI199" t="s">
        <v>10711</v>
      </c>
      <c r="AJ199" t="s">
        <v>10710</v>
      </c>
      <c r="AK199" t="s">
        <v>10709</v>
      </c>
      <c r="AL199">
        <v>0</v>
      </c>
      <c r="AM199" s="5">
        <f t="shared" si="26"/>
        <v>0</v>
      </c>
      <c r="AN199" s="4">
        <f t="shared" si="31"/>
        <v>0</v>
      </c>
      <c r="AO199" s="3"/>
      <c r="AP199">
        <v>0</v>
      </c>
      <c r="AR199" t="s">
        <v>1</v>
      </c>
      <c r="AT199" s="2" t="s">
        <v>0</v>
      </c>
      <c r="AU199" s="1">
        <f t="shared" si="27"/>
        <v>1.4294866661327781</v>
      </c>
      <c r="AV199" s="1">
        <f t="shared" si="28"/>
        <v>1.0210619043805558</v>
      </c>
      <c r="AW199" s="1">
        <f t="shared" si="29"/>
        <v>0.61263714262833358</v>
      </c>
    </row>
    <row r="200" spans="1:49" x14ac:dyDescent="0.2">
      <c r="A200">
        <v>198</v>
      </c>
      <c r="B200" t="s">
        <v>10708</v>
      </c>
      <c r="C200" t="s">
        <v>10707</v>
      </c>
      <c r="F200" t="s">
        <v>10706</v>
      </c>
      <c r="G200" t="s">
        <v>15</v>
      </c>
      <c r="H200" t="s">
        <v>14</v>
      </c>
      <c r="I200" t="s">
        <v>10705</v>
      </c>
      <c r="J200">
        <v>60002561</v>
      </c>
      <c r="K200" t="s">
        <v>10704</v>
      </c>
      <c r="L200" t="s">
        <v>151</v>
      </c>
      <c r="M200" t="s">
        <v>150</v>
      </c>
      <c r="N200">
        <v>2</v>
      </c>
      <c r="O200" t="s">
        <v>10703</v>
      </c>
      <c r="P200" t="s">
        <v>10702</v>
      </c>
      <c r="Q200" t="s">
        <v>10701</v>
      </c>
      <c r="R200" s="7">
        <v>33970</v>
      </c>
      <c r="S200" s="8">
        <f t="shared" si="24"/>
        <v>1993</v>
      </c>
      <c r="T200" s="8">
        <v>1993</v>
      </c>
      <c r="U200" s="8">
        <f t="shared" si="25"/>
        <v>29</v>
      </c>
      <c r="V200" s="7">
        <v>1993</v>
      </c>
      <c r="W200" t="s">
        <v>1720</v>
      </c>
      <c r="X200" s="2">
        <v>0.111</v>
      </c>
      <c r="Y200" s="6">
        <f t="shared" si="30"/>
        <v>2.9630816048690639E-3</v>
      </c>
      <c r="AA200">
        <v>87566621</v>
      </c>
      <c r="AB200">
        <v>24890</v>
      </c>
      <c r="AC200">
        <v>15206424</v>
      </c>
      <c r="AD200" t="s">
        <v>5</v>
      </c>
      <c r="AE200">
        <v>76</v>
      </c>
      <c r="AF200">
        <v>4</v>
      </c>
      <c r="AH200" t="s">
        <v>10700</v>
      </c>
      <c r="AI200" t="s">
        <v>10699</v>
      </c>
      <c r="AJ200" t="s">
        <v>10698</v>
      </c>
      <c r="AK200" t="s">
        <v>10697</v>
      </c>
      <c r="AL200">
        <v>0</v>
      </c>
      <c r="AM200" s="5">
        <f t="shared" si="26"/>
        <v>0</v>
      </c>
      <c r="AN200" s="4">
        <f t="shared" si="31"/>
        <v>0</v>
      </c>
      <c r="AO200" s="3"/>
      <c r="AP200">
        <v>0</v>
      </c>
      <c r="AR200" t="s">
        <v>1</v>
      </c>
      <c r="AT200" s="2" t="s">
        <v>0</v>
      </c>
      <c r="AU200" s="1">
        <f t="shared" si="27"/>
        <v>0.20741571234083445</v>
      </c>
      <c r="AV200" s="1">
        <f t="shared" si="28"/>
        <v>0.1481540802434532</v>
      </c>
      <c r="AW200" s="1">
        <f t="shared" si="29"/>
        <v>8.8892448146071903E-2</v>
      </c>
    </row>
    <row r="201" spans="1:49" x14ac:dyDescent="0.2">
      <c r="A201">
        <v>199</v>
      </c>
      <c r="B201" t="s">
        <v>10696</v>
      </c>
      <c r="C201" t="s">
        <v>10695</v>
      </c>
      <c r="F201" t="s">
        <v>10694</v>
      </c>
      <c r="G201" t="s">
        <v>15</v>
      </c>
      <c r="H201" t="s">
        <v>14</v>
      </c>
      <c r="I201" t="s">
        <v>10693</v>
      </c>
      <c r="J201">
        <v>60103907</v>
      </c>
      <c r="K201" t="s">
        <v>7052</v>
      </c>
      <c r="L201" t="s">
        <v>151</v>
      </c>
      <c r="M201" t="s">
        <v>150</v>
      </c>
      <c r="N201">
        <v>2</v>
      </c>
      <c r="O201" t="s">
        <v>10692</v>
      </c>
      <c r="P201" t="s">
        <v>10691</v>
      </c>
      <c r="Q201" t="s">
        <v>10690</v>
      </c>
      <c r="R201" s="7">
        <v>33970</v>
      </c>
      <c r="S201" s="8">
        <f t="shared" si="24"/>
        <v>1993</v>
      </c>
      <c r="T201" s="8">
        <v>1993</v>
      </c>
      <c r="U201" s="8">
        <f t="shared" si="25"/>
        <v>29</v>
      </c>
      <c r="V201" s="7">
        <v>1993</v>
      </c>
      <c r="W201" t="s">
        <v>1720</v>
      </c>
      <c r="X201" s="2">
        <v>0.111</v>
      </c>
      <c r="Y201" s="6">
        <f t="shared" si="30"/>
        <v>2.9630816048690639E-3</v>
      </c>
      <c r="AA201">
        <v>87566621</v>
      </c>
      <c r="AB201">
        <v>24890</v>
      </c>
      <c r="AC201">
        <v>15206424</v>
      </c>
      <c r="AD201" t="s">
        <v>5</v>
      </c>
      <c r="AE201">
        <v>76</v>
      </c>
      <c r="AF201">
        <v>4</v>
      </c>
      <c r="AH201" t="s">
        <v>10689</v>
      </c>
      <c r="AI201" t="s">
        <v>10688</v>
      </c>
      <c r="AJ201" t="s">
        <v>10687</v>
      </c>
      <c r="AK201" t="s">
        <v>10686</v>
      </c>
      <c r="AL201">
        <v>0</v>
      </c>
      <c r="AM201" s="5">
        <f t="shared" si="26"/>
        <v>0</v>
      </c>
      <c r="AN201" s="4">
        <f t="shared" si="31"/>
        <v>0</v>
      </c>
      <c r="AO201" s="3"/>
      <c r="AP201">
        <v>0</v>
      </c>
      <c r="AR201" t="s">
        <v>1</v>
      </c>
      <c r="AT201" s="2" t="s">
        <v>0</v>
      </c>
      <c r="AU201" s="1">
        <f t="shared" si="27"/>
        <v>0.20741571234083445</v>
      </c>
      <c r="AV201" s="1">
        <f t="shared" si="28"/>
        <v>0.1481540802434532</v>
      </c>
      <c r="AW201" s="1">
        <f t="shared" si="29"/>
        <v>8.8892448146071903E-2</v>
      </c>
    </row>
    <row r="202" spans="1:49" x14ac:dyDescent="0.2">
      <c r="A202">
        <v>200</v>
      </c>
      <c r="B202" t="s">
        <v>10685</v>
      </c>
      <c r="C202" t="s">
        <v>10684</v>
      </c>
      <c r="F202" t="s">
        <v>10683</v>
      </c>
      <c r="G202" t="s">
        <v>15</v>
      </c>
      <c r="H202" t="s">
        <v>14</v>
      </c>
      <c r="I202" t="s">
        <v>8361</v>
      </c>
      <c r="J202">
        <v>60008435</v>
      </c>
      <c r="K202" t="s">
        <v>4156</v>
      </c>
      <c r="L202" t="s">
        <v>4155</v>
      </c>
      <c r="M202" t="s">
        <v>150</v>
      </c>
      <c r="N202">
        <v>5</v>
      </c>
      <c r="O202" t="s">
        <v>10682</v>
      </c>
      <c r="P202" t="s">
        <v>10681</v>
      </c>
      <c r="Q202" t="s">
        <v>8358</v>
      </c>
      <c r="R202" s="7">
        <v>33970</v>
      </c>
      <c r="S202" s="8">
        <f t="shared" si="24"/>
        <v>1993</v>
      </c>
      <c r="T202" s="8">
        <v>1993</v>
      </c>
      <c r="U202" s="8">
        <f t="shared" si="25"/>
        <v>29</v>
      </c>
      <c r="V202" s="7">
        <v>1993</v>
      </c>
      <c r="W202" t="s">
        <v>1720</v>
      </c>
      <c r="X202" s="2">
        <v>0.111</v>
      </c>
      <c r="Y202" s="6">
        <f t="shared" si="30"/>
        <v>2.9630816048690639E-3</v>
      </c>
      <c r="AA202">
        <v>87566621</v>
      </c>
      <c r="AB202">
        <v>24890</v>
      </c>
      <c r="AC202">
        <v>15206424</v>
      </c>
      <c r="AD202" t="s">
        <v>5</v>
      </c>
      <c r="AE202">
        <v>76</v>
      </c>
      <c r="AF202">
        <v>4</v>
      </c>
      <c r="AH202" t="s">
        <v>10680</v>
      </c>
      <c r="AI202" t="s">
        <v>10679</v>
      </c>
      <c r="AJ202" t="s">
        <v>10678</v>
      </c>
      <c r="AK202" t="s">
        <v>10677</v>
      </c>
      <c r="AL202">
        <v>0</v>
      </c>
      <c r="AM202" s="5">
        <f t="shared" si="26"/>
        <v>0</v>
      </c>
      <c r="AN202" s="4">
        <f t="shared" si="31"/>
        <v>0</v>
      </c>
      <c r="AO202" s="3"/>
      <c r="AP202">
        <v>0</v>
      </c>
      <c r="AR202" t="s">
        <v>1</v>
      </c>
      <c r="AT202" s="2" t="s">
        <v>0</v>
      </c>
      <c r="AU202" s="1">
        <f t="shared" si="27"/>
        <v>0.20741571234083445</v>
      </c>
      <c r="AV202" s="1">
        <f t="shared" si="28"/>
        <v>0.1481540802434532</v>
      </c>
      <c r="AW202" s="1">
        <f t="shared" si="29"/>
        <v>8.8892448146071903E-2</v>
      </c>
    </row>
    <row r="203" spans="1:49" x14ac:dyDescent="0.2">
      <c r="A203">
        <v>201</v>
      </c>
      <c r="B203" t="s">
        <v>10676</v>
      </c>
      <c r="C203" t="s">
        <v>10675</v>
      </c>
      <c r="F203" t="s">
        <v>10674</v>
      </c>
      <c r="G203" t="s">
        <v>15</v>
      </c>
      <c r="H203" t="s">
        <v>14</v>
      </c>
      <c r="I203" t="s">
        <v>10673</v>
      </c>
      <c r="J203">
        <v>117463516</v>
      </c>
      <c r="K203" t="s">
        <v>10672</v>
      </c>
      <c r="M203" t="s">
        <v>59</v>
      </c>
      <c r="N203">
        <v>3</v>
      </c>
      <c r="O203" t="s">
        <v>10671</v>
      </c>
      <c r="P203" t="s">
        <v>10670</v>
      </c>
      <c r="Q203" t="s">
        <v>10669</v>
      </c>
      <c r="R203" s="7">
        <v>33970</v>
      </c>
      <c r="S203" s="8">
        <f t="shared" si="24"/>
        <v>1993</v>
      </c>
      <c r="T203" s="8">
        <v>1993</v>
      </c>
      <c r="U203" s="8">
        <f t="shared" si="25"/>
        <v>29</v>
      </c>
      <c r="V203" s="7">
        <v>33970</v>
      </c>
      <c r="W203" t="s">
        <v>9302</v>
      </c>
      <c r="X203" s="2">
        <v>0.81799999999999995</v>
      </c>
      <c r="Y203" s="6">
        <f t="shared" si="30"/>
        <v>2.1836042817863912E-2</v>
      </c>
      <c r="AA203">
        <v>318655</v>
      </c>
      <c r="AB203">
        <v>27010</v>
      </c>
      <c r="AC203">
        <v>17511097</v>
      </c>
      <c r="AD203" t="s">
        <v>5</v>
      </c>
      <c r="AE203">
        <v>57</v>
      </c>
      <c r="AF203">
        <v>1</v>
      </c>
      <c r="AH203" t="s">
        <v>10668</v>
      </c>
      <c r="AI203" t="s">
        <v>10667</v>
      </c>
      <c r="AK203" t="s">
        <v>10666</v>
      </c>
      <c r="AL203">
        <v>30</v>
      </c>
      <c r="AM203" s="5">
        <f t="shared" si="26"/>
        <v>1.0344827586206897</v>
      </c>
      <c r="AN203" s="4">
        <f t="shared" si="31"/>
        <v>1.5668046325190302E-3</v>
      </c>
      <c r="AO203" s="3"/>
      <c r="AP203">
        <v>0</v>
      </c>
      <c r="AR203" t="s">
        <v>1</v>
      </c>
      <c r="AT203" s="2">
        <v>3.4209999999999998</v>
      </c>
      <c r="AU203" s="1">
        <f t="shared" si="27"/>
        <v>1.5755271362260446</v>
      </c>
      <c r="AV203" s="1">
        <f t="shared" si="28"/>
        <v>1.1701423725191471</v>
      </c>
      <c r="AW203" s="1">
        <f t="shared" si="29"/>
        <v>0.76475760881224952</v>
      </c>
    </row>
    <row r="204" spans="1:49" x14ac:dyDescent="0.2">
      <c r="A204">
        <v>202</v>
      </c>
      <c r="B204" t="s">
        <v>10665</v>
      </c>
      <c r="C204" t="s">
        <v>10664</v>
      </c>
      <c r="F204" t="s">
        <v>10663</v>
      </c>
      <c r="G204" t="s">
        <v>15</v>
      </c>
      <c r="H204" t="s">
        <v>14</v>
      </c>
      <c r="I204" t="s">
        <v>10662</v>
      </c>
      <c r="J204" t="s">
        <v>10661</v>
      </c>
      <c r="K204" t="s">
        <v>10660</v>
      </c>
      <c r="L204" t="s">
        <v>10659</v>
      </c>
      <c r="M204" t="s">
        <v>10658</v>
      </c>
      <c r="N204">
        <v>3</v>
      </c>
      <c r="O204" t="s">
        <v>10657</v>
      </c>
      <c r="P204" t="s">
        <v>10656</v>
      </c>
      <c r="Q204" t="s">
        <v>10655</v>
      </c>
      <c r="R204" s="7">
        <v>33970</v>
      </c>
      <c r="S204" s="8">
        <f t="shared" si="24"/>
        <v>1993</v>
      </c>
      <c r="T204" s="8">
        <v>1993</v>
      </c>
      <c r="U204" s="8">
        <f t="shared" si="25"/>
        <v>29</v>
      </c>
      <c r="V204" s="7">
        <v>34151</v>
      </c>
      <c r="W204" t="s">
        <v>10654</v>
      </c>
      <c r="X204" s="2">
        <v>1.552</v>
      </c>
      <c r="Y204" s="6">
        <f t="shared" si="30"/>
        <v>4.1429753610421505E-2</v>
      </c>
      <c r="AA204">
        <v>3076970</v>
      </c>
      <c r="AB204">
        <v>21594</v>
      </c>
      <c r="AC204">
        <v>13653113</v>
      </c>
      <c r="AD204" t="s">
        <v>5</v>
      </c>
      <c r="AE204">
        <v>18</v>
      </c>
      <c r="AF204">
        <v>3</v>
      </c>
      <c r="AH204" t="s">
        <v>10653</v>
      </c>
      <c r="AI204" t="s">
        <v>10652</v>
      </c>
      <c r="AK204" t="s">
        <v>10651</v>
      </c>
      <c r="AL204">
        <v>10</v>
      </c>
      <c r="AM204" s="5">
        <f t="shared" si="26"/>
        <v>0.34482758620689657</v>
      </c>
      <c r="AN204" s="4">
        <f t="shared" si="31"/>
        <v>5.2226821083967677E-4</v>
      </c>
      <c r="AO204" s="3"/>
      <c r="AP204">
        <v>0</v>
      </c>
      <c r="AR204" t="s">
        <v>1</v>
      </c>
      <c r="AT204" s="2">
        <v>3.8439999999999999</v>
      </c>
      <c r="AU204" s="1">
        <f t="shared" si="27"/>
        <v>2.9157507990546954</v>
      </c>
      <c r="AV204" s="1">
        <f t="shared" si="28"/>
        <v>2.0976010910630594</v>
      </c>
      <c r="AW204" s="1">
        <f t="shared" si="29"/>
        <v>1.2794513830714225</v>
      </c>
    </row>
    <row r="205" spans="1:49" x14ac:dyDescent="0.2">
      <c r="A205">
        <v>203</v>
      </c>
      <c r="B205" t="s">
        <v>10650</v>
      </c>
      <c r="C205" t="s">
        <v>10649</v>
      </c>
      <c r="F205" t="s">
        <v>10648</v>
      </c>
      <c r="G205" t="s">
        <v>15</v>
      </c>
      <c r="H205" t="s">
        <v>14</v>
      </c>
      <c r="I205" t="s">
        <v>1699</v>
      </c>
      <c r="J205">
        <v>60032318</v>
      </c>
      <c r="K205" t="s">
        <v>1698</v>
      </c>
      <c r="L205" t="s">
        <v>1697</v>
      </c>
      <c r="M205" t="s">
        <v>10</v>
      </c>
      <c r="N205">
        <v>1</v>
      </c>
      <c r="O205" t="s">
        <v>10647</v>
      </c>
      <c r="P205">
        <v>57203231921</v>
      </c>
      <c r="Q205">
        <v>60032318</v>
      </c>
      <c r="R205" s="7">
        <v>33970</v>
      </c>
      <c r="S205" s="8">
        <f t="shared" si="24"/>
        <v>1993</v>
      </c>
      <c r="T205" s="8">
        <v>1993</v>
      </c>
      <c r="U205" s="8">
        <f t="shared" si="25"/>
        <v>29</v>
      </c>
      <c r="V205" s="7">
        <v>34060</v>
      </c>
      <c r="W205" t="s">
        <v>10646</v>
      </c>
      <c r="X205" s="2" t="s">
        <v>0</v>
      </c>
      <c r="Y205" s="6" t="e">
        <f t="shared" si="30"/>
        <v>#VALUE!</v>
      </c>
      <c r="AA205" t="s">
        <v>10645</v>
      </c>
      <c r="AB205">
        <v>12367</v>
      </c>
      <c r="AC205">
        <v>14779730</v>
      </c>
      <c r="AD205" t="s">
        <v>5</v>
      </c>
      <c r="AE205">
        <v>14</v>
      </c>
      <c r="AF205">
        <v>81</v>
      </c>
      <c r="AH205" t="s">
        <v>10644</v>
      </c>
      <c r="AI205" t="s">
        <v>10643</v>
      </c>
      <c r="AK205" t="s">
        <v>10642</v>
      </c>
      <c r="AL205">
        <v>1</v>
      </c>
      <c r="AM205" s="5">
        <f t="shared" si="26"/>
        <v>3.4482758620689655E-2</v>
      </c>
      <c r="AN205" s="4">
        <f t="shared" si="31"/>
        <v>5.2226821083967674E-5</v>
      </c>
      <c r="AO205" s="3"/>
      <c r="AP205">
        <v>0</v>
      </c>
      <c r="AR205" t="s">
        <v>1</v>
      </c>
      <c r="AT205" s="2" t="s">
        <v>0</v>
      </c>
      <c r="AU205" s="1" t="e">
        <f t="shared" si="27"/>
        <v>#VALUE!</v>
      </c>
      <c r="AV205" s="1" t="e">
        <f t="shared" si="28"/>
        <v>#VALUE!</v>
      </c>
      <c r="AW205" s="1" t="e">
        <f t="shared" si="29"/>
        <v>#VALUE!</v>
      </c>
    </row>
    <row r="206" spans="1:49" x14ac:dyDescent="0.2">
      <c r="A206">
        <v>204</v>
      </c>
      <c r="B206" t="s">
        <v>10641</v>
      </c>
      <c r="C206" t="s">
        <v>10640</v>
      </c>
      <c r="F206" t="s">
        <v>10639</v>
      </c>
      <c r="G206" t="s">
        <v>15</v>
      </c>
      <c r="H206" t="s">
        <v>14</v>
      </c>
      <c r="I206" t="s">
        <v>10638</v>
      </c>
      <c r="J206">
        <v>60014036</v>
      </c>
      <c r="K206" t="s">
        <v>10637</v>
      </c>
      <c r="L206" t="s">
        <v>10636</v>
      </c>
      <c r="M206" t="s">
        <v>521</v>
      </c>
      <c r="N206">
        <v>8</v>
      </c>
      <c r="O206" t="s">
        <v>10635</v>
      </c>
      <c r="P206" t="s">
        <v>10634</v>
      </c>
      <c r="Q206" t="s">
        <v>10633</v>
      </c>
      <c r="R206" s="7">
        <v>33970</v>
      </c>
      <c r="S206" s="8">
        <f t="shared" si="24"/>
        <v>1993</v>
      </c>
      <c r="T206" s="8">
        <v>1993</v>
      </c>
      <c r="U206" s="8">
        <f t="shared" si="25"/>
        <v>29</v>
      </c>
      <c r="V206" s="7">
        <v>34029</v>
      </c>
      <c r="W206" t="s">
        <v>10632</v>
      </c>
      <c r="X206" s="2">
        <v>0.61699999999999999</v>
      </c>
      <c r="Y206" s="6">
        <f t="shared" si="30"/>
        <v>1.6470462614452366E-2</v>
      </c>
      <c r="AA206">
        <v>9541020</v>
      </c>
      <c r="AB206">
        <v>13040</v>
      </c>
      <c r="AC206">
        <v>13652079</v>
      </c>
      <c r="AD206" t="s">
        <v>5</v>
      </c>
      <c r="AE206">
        <v>5</v>
      </c>
      <c r="AF206">
        <v>1</v>
      </c>
      <c r="AH206" t="s">
        <v>10631</v>
      </c>
      <c r="AI206" t="s">
        <v>10630</v>
      </c>
      <c r="AJ206" t="s">
        <v>10629</v>
      </c>
      <c r="AK206" t="s">
        <v>10628</v>
      </c>
      <c r="AL206">
        <v>6</v>
      </c>
      <c r="AM206" s="5">
        <f t="shared" si="26"/>
        <v>0.20689655172413793</v>
      </c>
      <c r="AN206" s="4">
        <f t="shared" si="31"/>
        <v>3.1336092650380602E-4</v>
      </c>
      <c r="AO206" s="3"/>
      <c r="AP206">
        <v>0</v>
      </c>
      <c r="AR206" t="s">
        <v>1</v>
      </c>
      <c r="AT206" s="2">
        <v>1.6379999999999999</v>
      </c>
      <c r="AU206" s="1">
        <f t="shared" si="27"/>
        <v>1.1623332108067799</v>
      </c>
      <c r="AV206" s="1">
        <f t="shared" si="28"/>
        <v>0.83919117704780866</v>
      </c>
      <c r="AW206" s="1">
        <f t="shared" si="29"/>
        <v>0.51604914328883744</v>
      </c>
    </row>
    <row r="207" spans="1:49" x14ac:dyDescent="0.2">
      <c r="A207">
        <v>205</v>
      </c>
      <c r="B207" t="s">
        <v>10627</v>
      </c>
      <c r="C207" t="s">
        <v>10626</v>
      </c>
      <c r="F207" t="s">
        <v>10625</v>
      </c>
      <c r="G207" t="s">
        <v>15</v>
      </c>
      <c r="H207" t="s">
        <v>14</v>
      </c>
      <c r="I207" t="s">
        <v>10624</v>
      </c>
      <c r="J207">
        <v>60009507</v>
      </c>
      <c r="K207" t="s">
        <v>10623</v>
      </c>
      <c r="L207" t="s">
        <v>509</v>
      </c>
      <c r="M207" t="s">
        <v>508</v>
      </c>
      <c r="N207">
        <v>2</v>
      </c>
      <c r="O207" t="s">
        <v>10622</v>
      </c>
      <c r="P207" t="s">
        <v>10621</v>
      </c>
      <c r="Q207" t="s">
        <v>10620</v>
      </c>
      <c r="R207" s="7">
        <v>33970</v>
      </c>
      <c r="S207" s="8">
        <f t="shared" si="24"/>
        <v>1993</v>
      </c>
      <c r="T207" s="8">
        <v>1993</v>
      </c>
      <c r="U207" s="8">
        <f t="shared" si="25"/>
        <v>29</v>
      </c>
      <c r="V207" s="7">
        <v>34121</v>
      </c>
      <c r="W207" t="s">
        <v>10606</v>
      </c>
      <c r="X207" s="2">
        <v>0.77200000000000002</v>
      </c>
      <c r="Y207" s="6">
        <f t="shared" si="30"/>
        <v>2.0608099089719976E-2</v>
      </c>
      <c r="AA207">
        <v>223778</v>
      </c>
      <c r="AB207">
        <v>28572</v>
      </c>
      <c r="AC207">
        <v>14697807</v>
      </c>
      <c r="AD207" t="s">
        <v>5</v>
      </c>
      <c r="AE207">
        <v>49</v>
      </c>
      <c r="AF207">
        <v>3</v>
      </c>
      <c r="AH207" t="s">
        <v>10619</v>
      </c>
      <c r="AI207" t="s">
        <v>10618</v>
      </c>
      <c r="AK207" t="s">
        <v>10617</v>
      </c>
      <c r="AL207">
        <v>34</v>
      </c>
      <c r="AM207" s="5">
        <f t="shared" si="26"/>
        <v>1.1724137931034482</v>
      </c>
      <c r="AN207" s="4">
        <f t="shared" si="31"/>
        <v>1.7757119168549007E-3</v>
      </c>
      <c r="AO207" s="3"/>
      <c r="AP207">
        <v>0</v>
      </c>
      <c r="AQ207" t="s">
        <v>10616</v>
      </c>
      <c r="AR207" t="s">
        <v>1</v>
      </c>
      <c r="AS207" t="s">
        <v>10615</v>
      </c>
      <c r="AT207" s="2">
        <v>2.0139999999999998</v>
      </c>
      <c r="AU207" s="1">
        <f t="shared" si="27"/>
        <v>1.4958382937860453</v>
      </c>
      <c r="AV207" s="1">
        <f t="shared" si="28"/>
        <v>1.1191905503287438</v>
      </c>
      <c r="AW207" s="1">
        <f t="shared" si="29"/>
        <v>0.74254280687144225</v>
      </c>
    </row>
    <row r="208" spans="1:49" x14ac:dyDescent="0.2">
      <c r="A208">
        <v>206</v>
      </c>
      <c r="B208" t="s">
        <v>10614</v>
      </c>
      <c r="C208" t="s">
        <v>10613</v>
      </c>
      <c r="F208" t="s">
        <v>10612</v>
      </c>
      <c r="G208" t="s">
        <v>15</v>
      </c>
      <c r="H208" t="s">
        <v>14</v>
      </c>
      <c r="I208" t="s">
        <v>10611</v>
      </c>
      <c r="J208">
        <v>60027251</v>
      </c>
      <c r="K208" t="s">
        <v>10610</v>
      </c>
      <c r="L208" t="s">
        <v>1451</v>
      </c>
      <c r="M208" t="s">
        <v>1450</v>
      </c>
      <c r="N208">
        <v>3</v>
      </c>
      <c r="O208" t="s">
        <v>10609</v>
      </c>
      <c r="P208" t="s">
        <v>10608</v>
      </c>
      <c r="Q208" t="s">
        <v>10607</v>
      </c>
      <c r="R208" s="7">
        <v>33970</v>
      </c>
      <c r="S208" s="8">
        <f t="shared" si="24"/>
        <v>1993</v>
      </c>
      <c r="T208" s="8">
        <v>1993</v>
      </c>
      <c r="U208" s="8">
        <f t="shared" si="25"/>
        <v>29</v>
      </c>
      <c r="V208" s="7">
        <v>1993</v>
      </c>
      <c r="W208" t="s">
        <v>10606</v>
      </c>
      <c r="X208" s="2">
        <v>0.77200000000000002</v>
      </c>
      <c r="Y208" s="6">
        <f t="shared" si="30"/>
        <v>2.0608099089719976E-2</v>
      </c>
      <c r="AA208">
        <v>223778</v>
      </c>
      <c r="AB208">
        <v>28572</v>
      </c>
      <c r="AC208">
        <v>14697807</v>
      </c>
      <c r="AD208" t="s">
        <v>5</v>
      </c>
      <c r="AE208">
        <v>50</v>
      </c>
      <c r="AF208">
        <v>3</v>
      </c>
      <c r="AH208" t="s">
        <v>10605</v>
      </c>
      <c r="AI208" t="s">
        <v>10604</v>
      </c>
      <c r="AK208" t="s">
        <v>10603</v>
      </c>
      <c r="AL208">
        <v>9</v>
      </c>
      <c r="AM208" s="5">
        <f t="shared" si="26"/>
        <v>0.31034482758620691</v>
      </c>
      <c r="AN208" s="4">
        <f t="shared" si="31"/>
        <v>4.7004138975570908E-4</v>
      </c>
      <c r="AO208" s="3"/>
      <c r="AP208">
        <v>0</v>
      </c>
      <c r="AR208" t="s">
        <v>1</v>
      </c>
      <c r="AT208" s="2">
        <v>2.0139999999999998</v>
      </c>
      <c r="AU208" s="1">
        <f t="shared" si="27"/>
        <v>1.4566681779730695</v>
      </c>
      <c r="AV208" s="1">
        <f t="shared" si="28"/>
        <v>1.0539070239737842</v>
      </c>
      <c r="AW208" s="1">
        <f t="shared" si="29"/>
        <v>0.65114586997449886</v>
      </c>
    </row>
    <row r="209" spans="1:49" x14ac:dyDescent="0.2">
      <c r="A209">
        <v>207</v>
      </c>
      <c r="B209" t="s">
        <v>10602</v>
      </c>
      <c r="F209" t="s">
        <v>10601</v>
      </c>
      <c r="G209" t="s">
        <v>15</v>
      </c>
      <c r="H209" t="s">
        <v>14</v>
      </c>
      <c r="I209" t="s">
        <v>10600</v>
      </c>
      <c r="J209">
        <v>60030699</v>
      </c>
      <c r="K209" t="s">
        <v>10599</v>
      </c>
      <c r="L209" t="s">
        <v>10598</v>
      </c>
      <c r="M209" t="s">
        <v>10597</v>
      </c>
      <c r="N209">
        <v>1</v>
      </c>
      <c r="O209" t="s">
        <v>10596</v>
      </c>
      <c r="P209">
        <v>55989735000</v>
      </c>
      <c r="Q209">
        <v>60030699</v>
      </c>
      <c r="R209" s="7">
        <v>33970</v>
      </c>
      <c r="S209" s="8">
        <f t="shared" si="24"/>
        <v>1993</v>
      </c>
      <c r="T209" s="8">
        <v>1993</v>
      </c>
      <c r="U209" s="8">
        <f t="shared" si="25"/>
        <v>29</v>
      </c>
      <c r="V209" s="7">
        <v>1993</v>
      </c>
      <c r="W209" t="s">
        <v>10595</v>
      </c>
      <c r="X209" s="2">
        <v>0.18099999999999999</v>
      </c>
      <c r="Y209" s="6">
        <f t="shared" si="30"/>
        <v>4.8316916259576624E-3</v>
      </c>
      <c r="AA209" t="s">
        <v>10594</v>
      </c>
      <c r="AB209">
        <v>29758</v>
      </c>
      <c r="AD209" t="s">
        <v>5</v>
      </c>
      <c r="AE209">
        <v>40</v>
      </c>
      <c r="AF209">
        <v>4</v>
      </c>
      <c r="AH209" t="s">
        <v>10593</v>
      </c>
      <c r="AI209" t="s">
        <v>10592</v>
      </c>
      <c r="AK209" t="s">
        <v>10591</v>
      </c>
      <c r="AL209">
        <v>0</v>
      </c>
      <c r="AM209" s="5">
        <f t="shared" si="26"/>
        <v>0</v>
      </c>
      <c r="AN209" s="4">
        <f t="shared" si="31"/>
        <v>0</v>
      </c>
      <c r="AO209" s="3"/>
      <c r="AP209">
        <v>0</v>
      </c>
      <c r="AR209" t="s">
        <v>1</v>
      </c>
      <c r="AT209" s="2">
        <v>1.2969999999999999</v>
      </c>
      <c r="AU209" s="1">
        <f t="shared" si="27"/>
        <v>0.33821841381703632</v>
      </c>
      <c r="AV209" s="1">
        <f t="shared" si="28"/>
        <v>0.24158458129788313</v>
      </c>
      <c r="AW209" s="1">
        <f t="shared" si="29"/>
        <v>0.14495074877872988</v>
      </c>
    </row>
    <row r="210" spans="1:49" x14ac:dyDescent="0.2">
      <c r="A210">
        <v>208</v>
      </c>
      <c r="B210" t="s">
        <v>10590</v>
      </c>
      <c r="C210" t="s">
        <v>5648</v>
      </c>
      <c r="F210" t="s">
        <v>10589</v>
      </c>
      <c r="G210" t="s">
        <v>15</v>
      </c>
      <c r="H210" t="s">
        <v>14</v>
      </c>
      <c r="I210" t="s">
        <v>5646</v>
      </c>
      <c r="J210">
        <v>60026242</v>
      </c>
      <c r="K210" t="s">
        <v>2607</v>
      </c>
      <c r="L210" t="s">
        <v>2606</v>
      </c>
      <c r="M210" t="s">
        <v>493</v>
      </c>
      <c r="N210">
        <v>1</v>
      </c>
      <c r="O210" t="s">
        <v>5645</v>
      </c>
      <c r="P210">
        <v>6603048874</v>
      </c>
      <c r="Q210">
        <v>60026242</v>
      </c>
      <c r="R210" s="7">
        <v>33970</v>
      </c>
      <c r="S210" s="8">
        <f t="shared" si="24"/>
        <v>1993</v>
      </c>
      <c r="T210" s="8">
        <v>1993</v>
      </c>
      <c r="U210" s="8">
        <f t="shared" si="25"/>
        <v>29</v>
      </c>
      <c r="V210" s="7">
        <v>34182</v>
      </c>
      <c r="W210" t="s">
        <v>5644</v>
      </c>
      <c r="X210" s="2">
        <v>0.69399999999999995</v>
      </c>
      <c r="Y210" s="6">
        <f t="shared" si="30"/>
        <v>1.8525933637649823E-2</v>
      </c>
      <c r="AA210">
        <v>7038992</v>
      </c>
      <c r="AB210">
        <v>13809</v>
      </c>
      <c r="AC210">
        <v>17127971</v>
      </c>
      <c r="AD210" t="s">
        <v>5</v>
      </c>
      <c r="AE210">
        <v>19</v>
      </c>
      <c r="AF210">
        <v>3</v>
      </c>
      <c r="AH210" t="s">
        <v>10588</v>
      </c>
      <c r="AI210" t="s">
        <v>10587</v>
      </c>
      <c r="AK210" t="s">
        <v>10586</v>
      </c>
      <c r="AL210">
        <v>0</v>
      </c>
      <c r="AM210" s="5">
        <f t="shared" si="26"/>
        <v>0</v>
      </c>
      <c r="AN210" s="4">
        <f t="shared" si="31"/>
        <v>0</v>
      </c>
      <c r="AO210" s="3"/>
      <c r="AP210">
        <v>0</v>
      </c>
      <c r="AR210" t="s">
        <v>1</v>
      </c>
      <c r="AT210" s="2">
        <v>2</v>
      </c>
      <c r="AU210" s="1">
        <f t="shared" si="27"/>
        <v>1.2968153546354877</v>
      </c>
      <c r="AV210" s="1">
        <f t="shared" si="28"/>
        <v>0.92629668188249115</v>
      </c>
      <c r="AW210" s="1">
        <f t="shared" si="29"/>
        <v>0.5557780091294946</v>
      </c>
    </row>
    <row r="211" spans="1:49" x14ac:dyDescent="0.2">
      <c r="A211">
        <v>209</v>
      </c>
      <c r="B211" t="s">
        <v>10585</v>
      </c>
      <c r="C211" t="s">
        <v>10584</v>
      </c>
      <c r="F211" t="s">
        <v>10583</v>
      </c>
      <c r="G211" t="s">
        <v>15</v>
      </c>
      <c r="H211" t="s">
        <v>14</v>
      </c>
      <c r="I211" t="s">
        <v>6979</v>
      </c>
      <c r="J211" t="s">
        <v>10578</v>
      </c>
      <c r="K211" t="s">
        <v>10582</v>
      </c>
      <c r="L211" t="s">
        <v>10581</v>
      </c>
      <c r="M211" t="s">
        <v>235</v>
      </c>
      <c r="N211">
        <v>2</v>
      </c>
      <c r="O211" t="s">
        <v>10580</v>
      </c>
      <c r="P211" t="s">
        <v>10579</v>
      </c>
      <c r="Q211" t="s">
        <v>10578</v>
      </c>
      <c r="R211" s="7">
        <v>33970</v>
      </c>
      <c r="S211" s="8">
        <f t="shared" si="24"/>
        <v>1993</v>
      </c>
      <c r="T211" s="8">
        <v>1993</v>
      </c>
      <c r="U211" s="8">
        <f t="shared" si="25"/>
        <v>29</v>
      </c>
      <c r="V211" s="7">
        <v>1993</v>
      </c>
      <c r="W211" t="s">
        <v>329</v>
      </c>
      <c r="X211" s="2">
        <v>0.28599999999999998</v>
      </c>
      <c r="Y211" s="6">
        <f t="shared" si="30"/>
        <v>7.6346066575905605E-3</v>
      </c>
      <c r="AA211">
        <v>9205071</v>
      </c>
      <c r="AB211">
        <v>28139</v>
      </c>
      <c r="AC211">
        <v>15693937</v>
      </c>
      <c r="AD211" t="s">
        <v>5</v>
      </c>
      <c r="AE211">
        <v>7</v>
      </c>
      <c r="AF211">
        <v>7</v>
      </c>
      <c r="AH211" t="s">
        <v>10577</v>
      </c>
      <c r="AI211" t="s">
        <v>10576</v>
      </c>
      <c r="AK211" t="s">
        <v>10575</v>
      </c>
      <c r="AL211">
        <v>0</v>
      </c>
      <c r="AM211" s="5">
        <f t="shared" si="26"/>
        <v>0</v>
      </c>
      <c r="AN211" s="4">
        <f t="shared" si="31"/>
        <v>0</v>
      </c>
      <c r="AO211" s="3"/>
      <c r="AP211">
        <v>0</v>
      </c>
      <c r="AR211" t="s">
        <v>1</v>
      </c>
      <c r="AT211" s="2" t="s">
        <v>0</v>
      </c>
      <c r="AU211" s="1">
        <f t="shared" si="27"/>
        <v>0.53442246603133925</v>
      </c>
      <c r="AV211" s="1">
        <f t="shared" si="28"/>
        <v>0.38173033287952801</v>
      </c>
      <c r="AW211" s="1">
        <f t="shared" si="29"/>
        <v>0.22903819972771683</v>
      </c>
    </row>
    <row r="212" spans="1:49" x14ac:dyDescent="0.2">
      <c r="A212">
        <v>210</v>
      </c>
      <c r="B212" t="s">
        <v>10574</v>
      </c>
      <c r="C212" t="s">
        <v>10573</v>
      </c>
      <c r="F212" t="s">
        <v>10572</v>
      </c>
      <c r="G212" t="s">
        <v>15</v>
      </c>
      <c r="H212" t="s">
        <v>14</v>
      </c>
      <c r="I212" t="s">
        <v>6979</v>
      </c>
      <c r="J212" t="s">
        <v>10567</v>
      </c>
      <c r="K212" t="s">
        <v>10571</v>
      </c>
      <c r="L212" t="s">
        <v>10570</v>
      </c>
      <c r="M212" t="s">
        <v>235</v>
      </c>
      <c r="N212">
        <v>2</v>
      </c>
      <c r="O212" t="s">
        <v>10569</v>
      </c>
      <c r="P212" t="s">
        <v>10568</v>
      </c>
      <c r="Q212" t="s">
        <v>10567</v>
      </c>
      <c r="R212" s="7">
        <v>33970</v>
      </c>
      <c r="S212" s="8">
        <f t="shared" si="24"/>
        <v>1993</v>
      </c>
      <c r="T212" s="8">
        <v>1993</v>
      </c>
      <c r="U212" s="8">
        <f t="shared" si="25"/>
        <v>29</v>
      </c>
      <c r="V212" s="7">
        <v>1993</v>
      </c>
      <c r="W212" t="s">
        <v>329</v>
      </c>
      <c r="X212" s="2">
        <v>0.28599999999999998</v>
      </c>
      <c r="Y212" s="6">
        <f t="shared" si="30"/>
        <v>7.6346066575905605E-3</v>
      </c>
      <c r="AA212">
        <v>9205071</v>
      </c>
      <c r="AB212">
        <v>28139</v>
      </c>
      <c r="AC212">
        <v>15693937</v>
      </c>
      <c r="AD212" t="s">
        <v>5</v>
      </c>
      <c r="AE212">
        <v>7</v>
      </c>
      <c r="AF212">
        <v>2</v>
      </c>
      <c r="AH212" t="s">
        <v>10566</v>
      </c>
      <c r="AI212" t="s">
        <v>10565</v>
      </c>
      <c r="AK212" t="s">
        <v>10564</v>
      </c>
      <c r="AL212">
        <v>0</v>
      </c>
      <c r="AM212" s="5">
        <f t="shared" si="26"/>
        <v>0</v>
      </c>
      <c r="AN212" s="4">
        <f t="shared" si="31"/>
        <v>0</v>
      </c>
      <c r="AO212" s="3"/>
      <c r="AP212">
        <v>0</v>
      </c>
      <c r="AR212" t="s">
        <v>1</v>
      </c>
      <c r="AT212" s="2" t="s">
        <v>0</v>
      </c>
      <c r="AU212" s="1">
        <f t="shared" si="27"/>
        <v>0.53442246603133925</v>
      </c>
      <c r="AV212" s="1">
        <f t="shared" si="28"/>
        <v>0.38173033287952801</v>
      </c>
      <c r="AW212" s="1">
        <f t="shared" si="29"/>
        <v>0.22903819972771683</v>
      </c>
    </row>
    <row r="213" spans="1:49" x14ac:dyDescent="0.2">
      <c r="A213">
        <v>211</v>
      </c>
      <c r="B213" t="s">
        <v>10563</v>
      </c>
      <c r="C213" t="s">
        <v>10562</v>
      </c>
      <c r="F213" t="s">
        <v>10561</v>
      </c>
      <c r="G213" t="s">
        <v>15</v>
      </c>
      <c r="H213" t="s">
        <v>14</v>
      </c>
      <c r="I213" t="s">
        <v>10560</v>
      </c>
      <c r="J213">
        <v>60027550</v>
      </c>
      <c r="K213" t="s">
        <v>1833</v>
      </c>
      <c r="L213" t="s">
        <v>1832</v>
      </c>
      <c r="M213" t="s">
        <v>10</v>
      </c>
      <c r="N213">
        <v>1</v>
      </c>
      <c r="O213" t="s">
        <v>10559</v>
      </c>
      <c r="P213">
        <v>7005401130</v>
      </c>
      <c r="Q213">
        <v>60027550</v>
      </c>
      <c r="R213" s="7">
        <v>33970</v>
      </c>
      <c r="S213" s="8">
        <f t="shared" si="24"/>
        <v>1993</v>
      </c>
      <c r="T213" s="8">
        <v>1993</v>
      </c>
      <c r="U213" s="8">
        <f t="shared" si="25"/>
        <v>29</v>
      </c>
      <c r="V213" s="7">
        <v>33970</v>
      </c>
      <c r="W213" t="s">
        <v>329</v>
      </c>
      <c r="X213" s="2">
        <v>0.28599999999999998</v>
      </c>
      <c r="Y213" s="6">
        <f t="shared" si="30"/>
        <v>7.6346066575905605E-3</v>
      </c>
      <c r="AA213">
        <v>9205071</v>
      </c>
      <c r="AB213">
        <v>28139</v>
      </c>
      <c r="AC213">
        <v>15693937</v>
      </c>
      <c r="AD213" t="s">
        <v>5</v>
      </c>
      <c r="AE213">
        <v>7</v>
      </c>
      <c r="AF213">
        <v>5</v>
      </c>
      <c r="AH213" t="s">
        <v>10558</v>
      </c>
      <c r="AI213" t="s">
        <v>10557</v>
      </c>
      <c r="AK213" t="s">
        <v>10556</v>
      </c>
      <c r="AL213">
        <v>0</v>
      </c>
      <c r="AM213" s="5">
        <f t="shared" si="26"/>
        <v>0</v>
      </c>
      <c r="AN213" s="4">
        <f t="shared" si="31"/>
        <v>0</v>
      </c>
      <c r="AO213" s="3"/>
      <c r="AP213">
        <v>0</v>
      </c>
      <c r="AR213" t="s">
        <v>1</v>
      </c>
      <c r="AT213" s="2" t="s">
        <v>0</v>
      </c>
      <c r="AU213" s="1">
        <f t="shared" si="27"/>
        <v>0.53442246603133925</v>
      </c>
      <c r="AV213" s="1">
        <f t="shared" si="28"/>
        <v>0.38173033287952801</v>
      </c>
      <c r="AW213" s="1">
        <f t="shared" si="29"/>
        <v>0.22903819972771683</v>
      </c>
    </row>
    <row r="214" spans="1:49" x14ac:dyDescent="0.2">
      <c r="A214">
        <v>212</v>
      </c>
      <c r="B214" t="s">
        <v>10555</v>
      </c>
      <c r="C214" t="s">
        <v>10554</v>
      </c>
      <c r="F214" t="s">
        <v>10553</v>
      </c>
      <c r="G214" t="s">
        <v>15</v>
      </c>
      <c r="H214" t="s">
        <v>14</v>
      </c>
      <c r="I214" t="s">
        <v>10552</v>
      </c>
      <c r="J214">
        <v>60005429</v>
      </c>
      <c r="K214" t="s">
        <v>2412</v>
      </c>
      <c r="L214" t="s">
        <v>2411</v>
      </c>
      <c r="M214" t="s">
        <v>1909</v>
      </c>
      <c r="N214">
        <v>2</v>
      </c>
      <c r="O214" t="s">
        <v>10551</v>
      </c>
      <c r="P214" t="s">
        <v>10550</v>
      </c>
      <c r="Q214" t="s">
        <v>5548</v>
      </c>
      <c r="R214" s="7">
        <v>33970</v>
      </c>
      <c r="S214" s="8">
        <f t="shared" si="24"/>
        <v>1993</v>
      </c>
      <c r="T214" s="8">
        <v>1993</v>
      </c>
      <c r="U214" s="8">
        <f t="shared" si="25"/>
        <v>29</v>
      </c>
      <c r="V214" s="7">
        <v>1993</v>
      </c>
      <c r="W214" t="s">
        <v>329</v>
      </c>
      <c r="X214" s="2">
        <v>0.28599999999999998</v>
      </c>
      <c r="Y214" s="6">
        <f t="shared" si="30"/>
        <v>7.6346066575905605E-3</v>
      </c>
      <c r="AA214">
        <v>9205071</v>
      </c>
      <c r="AB214">
        <v>28139</v>
      </c>
      <c r="AC214">
        <v>15693937</v>
      </c>
      <c r="AD214" t="s">
        <v>5</v>
      </c>
      <c r="AE214">
        <v>7</v>
      </c>
      <c r="AF214">
        <v>8</v>
      </c>
      <c r="AH214" t="s">
        <v>10549</v>
      </c>
      <c r="AI214" t="s">
        <v>10548</v>
      </c>
      <c r="AK214" t="s">
        <v>10547</v>
      </c>
      <c r="AL214">
        <v>0</v>
      </c>
      <c r="AM214" s="5">
        <f t="shared" si="26"/>
        <v>0</v>
      </c>
      <c r="AN214" s="4">
        <f t="shared" si="31"/>
        <v>0</v>
      </c>
      <c r="AO214" s="3"/>
      <c r="AP214">
        <v>0</v>
      </c>
      <c r="AR214" t="s">
        <v>1</v>
      </c>
      <c r="AT214" s="2" t="s">
        <v>0</v>
      </c>
      <c r="AU214" s="1">
        <f t="shared" si="27"/>
        <v>0.53442246603133925</v>
      </c>
      <c r="AV214" s="1">
        <f t="shared" si="28"/>
        <v>0.38173033287952801</v>
      </c>
      <c r="AW214" s="1">
        <f t="shared" si="29"/>
        <v>0.22903819972771683</v>
      </c>
    </row>
    <row r="215" spans="1:49" x14ac:dyDescent="0.2">
      <c r="A215">
        <v>213</v>
      </c>
      <c r="B215" t="s">
        <v>10546</v>
      </c>
      <c r="C215" t="s">
        <v>10545</v>
      </c>
      <c r="F215" t="s">
        <v>10544</v>
      </c>
      <c r="G215" t="s">
        <v>15</v>
      </c>
      <c r="H215" t="s">
        <v>14</v>
      </c>
      <c r="I215" t="s">
        <v>4345</v>
      </c>
      <c r="N215">
        <v>1</v>
      </c>
      <c r="O215" t="s">
        <v>10543</v>
      </c>
      <c r="P215">
        <v>57189501138</v>
      </c>
      <c r="R215" s="7">
        <v>33970</v>
      </c>
      <c r="S215" s="8">
        <f t="shared" si="24"/>
        <v>1993</v>
      </c>
      <c r="T215" s="8">
        <v>1993</v>
      </c>
      <c r="U215" s="8">
        <f t="shared" si="25"/>
        <v>29</v>
      </c>
      <c r="V215" s="7">
        <v>1993</v>
      </c>
      <c r="W215" t="s">
        <v>299</v>
      </c>
      <c r="X215" s="2">
        <v>0.88100000000000001</v>
      </c>
      <c r="Y215" s="6">
        <f t="shared" si="30"/>
        <v>2.3517791836843653E-2</v>
      </c>
      <c r="AA215">
        <v>10459243</v>
      </c>
      <c r="AB215">
        <v>17248</v>
      </c>
      <c r="AD215" t="s">
        <v>5</v>
      </c>
      <c r="AE215">
        <v>35</v>
      </c>
      <c r="AF215">
        <v>5</v>
      </c>
      <c r="AH215" t="s">
        <v>10542</v>
      </c>
      <c r="AL215">
        <v>14</v>
      </c>
      <c r="AM215" s="5">
        <f t="shared" si="26"/>
        <v>0.48275862068965519</v>
      </c>
      <c r="AN215" s="4">
        <f t="shared" si="31"/>
        <v>7.3117549517554741E-4</v>
      </c>
      <c r="AO215" s="3"/>
      <c r="AP215">
        <v>0</v>
      </c>
      <c r="AR215" t="s">
        <v>1</v>
      </c>
      <c r="AT215" s="2" t="s">
        <v>0</v>
      </c>
      <c r="AU215" s="1">
        <f t="shared" si="27"/>
        <v>1.6681806934343222</v>
      </c>
      <c r="AV215" s="1">
        <f t="shared" si="28"/>
        <v>1.21244836660096</v>
      </c>
      <c r="AW215" s="1">
        <f t="shared" si="29"/>
        <v>0.75671603976759783</v>
      </c>
    </row>
    <row r="216" spans="1:49" x14ac:dyDescent="0.2">
      <c r="A216">
        <v>214</v>
      </c>
      <c r="B216" t="s">
        <v>10541</v>
      </c>
      <c r="C216" t="s">
        <v>10540</v>
      </c>
      <c r="F216" t="s">
        <v>10539</v>
      </c>
      <c r="G216" t="s">
        <v>15</v>
      </c>
      <c r="H216" t="s">
        <v>14</v>
      </c>
      <c r="I216" t="s">
        <v>10538</v>
      </c>
      <c r="J216" t="s">
        <v>10537</v>
      </c>
      <c r="K216" t="s">
        <v>10536</v>
      </c>
      <c r="L216" t="s">
        <v>10535</v>
      </c>
      <c r="M216" t="s">
        <v>10534</v>
      </c>
      <c r="N216">
        <v>3</v>
      </c>
      <c r="O216" t="s">
        <v>10533</v>
      </c>
      <c r="P216" t="s">
        <v>10532</v>
      </c>
      <c r="Q216" t="s">
        <v>10531</v>
      </c>
      <c r="R216" s="7">
        <v>33970</v>
      </c>
      <c r="S216" s="8">
        <f t="shared" si="24"/>
        <v>1993</v>
      </c>
      <c r="T216" s="8">
        <v>1993</v>
      </c>
      <c r="U216" s="8">
        <f t="shared" si="25"/>
        <v>29</v>
      </c>
      <c r="V216" s="7">
        <v>1993</v>
      </c>
      <c r="W216" t="s">
        <v>287</v>
      </c>
      <c r="X216" s="2">
        <v>0.30099999999999999</v>
      </c>
      <c r="Y216" s="6">
        <f t="shared" si="30"/>
        <v>8.0350230906809754E-3</v>
      </c>
      <c r="AA216">
        <v>9395075</v>
      </c>
      <c r="AB216">
        <v>14954</v>
      </c>
      <c r="AC216">
        <v>18657125</v>
      </c>
      <c r="AD216" t="s">
        <v>5</v>
      </c>
      <c r="AE216">
        <v>48</v>
      </c>
      <c r="AF216" s="9">
        <v>44289</v>
      </c>
      <c r="AH216" t="s">
        <v>10530</v>
      </c>
      <c r="AI216" t="s">
        <v>10529</v>
      </c>
      <c r="AJ216" t="s">
        <v>10528</v>
      </c>
      <c r="AK216" t="s">
        <v>10527</v>
      </c>
      <c r="AL216">
        <v>13</v>
      </c>
      <c r="AM216" s="5">
        <f t="shared" si="26"/>
        <v>0.44827586206896552</v>
      </c>
      <c r="AN216" s="4">
        <f t="shared" si="31"/>
        <v>6.7894867409157972E-4</v>
      </c>
      <c r="AO216" s="3"/>
      <c r="AP216">
        <v>1</v>
      </c>
      <c r="AQ216" t="s">
        <v>10526</v>
      </c>
      <c r="AR216" t="s">
        <v>1</v>
      </c>
      <c r="AS216" t="s">
        <v>3640</v>
      </c>
      <c r="AT216" s="2" t="s">
        <v>0</v>
      </c>
      <c r="AU216" s="1">
        <f t="shared" si="27"/>
        <v>0.58282007657041557</v>
      </c>
      <c r="AV216" s="1">
        <f t="shared" si="28"/>
        <v>0.43569858823862778</v>
      </c>
      <c r="AW216" s="1">
        <f t="shared" si="29"/>
        <v>0.28857709990683983</v>
      </c>
    </row>
    <row r="217" spans="1:49" x14ac:dyDescent="0.2">
      <c r="A217">
        <v>215</v>
      </c>
      <c r="B217" t="s">
        <v>10525</v>
      </c>
      <c r="C217" t="s">
        <v>10524</v>
      </c>
      <c r="F217" t="s">
        <v>10523</v>
      </c>
      <c r="G217" t="s">
        <v>15</v>
      </c>
      <c r="H217" t="s">
        <v>14</v>
      </c>
      <c r="I217" t="s">
        <v>10522</v>
      </c>
      <c r="J217" t="s">
        <v>10521</v>
      </c>
      <c r="K217" t="s">
        <v>10520</v>
      </c>
      <c r="L217" t="s">
        <v>10519</v>
      </c>
      <c r="M217" t="s">
        <v>10518</v>
      </c>
      <c r="N217">
        <v>3</v>
      </c>
      <c r="O217" t="s">
        <v>10517</v>
      </c>
      <c r="P217" t="s">
        <v>10516</v>
      </c>
      <c r="Q217" t="s">
        <v>10515</v>
      </c>
      <c r="R217" s="7">
        <v>33970</v>
      </c>
      <c r="S217" s="8">
        <f t="shared" si="24"/>
        <v>1993</v>
      </c>
      <c r="T217" s="8">
        <v>1993</v>
      </c>
      <c r="U217" s="8">
        <f t="shared" si="25"/>
        <v>29</v>
      </c>
      <c r="V217" s="7">
        <v>33970</v>
      </c>
      <c r="W217" t="s">
        <v>1424</v>
      </c>
      <c r="X217" s="2">
        <v>0.62</v>
      </c>
      <c r="Y217" s="6">
        <f t="shared" si="30"/>
        <v>1.6550545901070447E-2</v>
      </c>
      <c r="AA217">
        <v>189464</v>
      </c>
      <c r="AB217">
        <v>17364</v>
      </c>
      <c r="AC217">
        <v>19410069</v>
      </c>
      <c r="AD217" t="s">
        <v>5</v>
      </c>
      <c r="AE217">
        <v>29</v>
      </c>
      <c r="AF217">
        <v>1</v>
      </c>
      <c r="AH217" t="s">
        <v>10514</v>
      </c>
      <c r="AI217" t="s">
        <v>10513</v>
      </c>
      <c r="AK217" t="s">
        <v>10512</v>
      </c>
      <c r="AL217">
        <v>0</v>
      </c>
      <c r="AM217" s="5">
        <f t="shared" si="26"/>
        <v>0</v>
      </c>
      <c r="AN217" s="4">
        <f t="shared" si="31"/>
        <v>0</v>
      </c>
      <c r="AO217" s="3"/>
      <c r="AP217">
        <v>0</v>
      </c>
      <c r="AR217" t="s">
        <v>1</v>
      </c>
      <c r="AT217" s="2">
        <v>1.7</v>
      </c>
      <c r="AU217" s="1">
        <f t="shared" si="27"/>
        <v>1.1585382130749313</v>
      </c>
      <c r="AV217" s="1">
        <f t="shared" si="28"/>
        <v>0.8275272950535224</v>
      </c>
      <c r="AW217" s="1">
        <f t="shared" si="29"/>
        <v>0.49651637703211338</v>
      </c>
    </row>
    <row r="218" spans="1:49" x14ac:dyDescent="0.2">
      <c r="A218">
        <v>216</v>
      </c>
      <c r="B218" t="s">
        <v>10511</v>
      </c>
      <c r="C218" t="s">
        <v>10510</v>
      </c>
      <c r="F218" t="s">
        <v>10509</v>
      </c>
      <c r="G218" t="s">
        <v>15</v>
      </c>
      <c r="H218" t="s">
        <v>14</v>
      </c>
      <c r="I218" t="s">
        <v>10508</v>
      </c>
      <c r="J218">
        <v>60009037</v>
      </c>
      <c r="K218" t="s">
        <v>647</v>
      </c>
      <c r="L218" t="s">
        <v>646</v>
      </c>
      <c r="M218" t="s">
        <v>10</v>
      </c>
      <c r="N218">
        <v>2</v>
      </c>
      <c r="O218" t="s">
        <v>10507</v>
      </c>
      <c r="P218" t="s">
        <v>10506</v>
      </c>
      <c r="Q218" t="s">
        <v>10505</v>
      </c>
      <c r="R218" s="7">
        <v>33970</v>
      </c>
      <c r="S218" s="8">
        <f t="shared" si="24"/>
        <v>1993</v>
      </c>
      <c r="T218" s="8">
        <v>1993</v>
      </c>
      <c r="U218" s="8">
        <f t="shared" si="25"/>
        <v>29</v>
      </c>
      <c r="V218" s="7">
        <v>34001</v>
      </c>
      <c r="W218" t="s">
        <v>299</v>
      </c>
      <c r="X218" s="2">
        <v>0.88100000000000001</v>
      </c>
      <c r="Y218" s="6">
        <f t="shared" si="30"/>
        <v>2.3517791836843653E-2</v>
      </c>
      <c r="AA218">
        <v>10459243</v>
      </c>
      <c r="AB218">
        <v>17248</v>
      </c>
      <c r="AD218" t="s">
        <v>5</v>
      </c>
      <c r="AE218">
        <v>35</v>
      </c>
      <c r="AF218">
        <v>1</v>
      </c>
      <c r="AH218" t="s">
        <v>10504</v>
      </c>
      <c r="AI218" t="s">
        <v>10503</v>
      </c>
      <c r="AK218" t="s">
        <v>10502</v>
      </c>
      <c r="AL218">
        <v>0</v>
      </c>
      <c r="AM218" s="5">
        <f t="shared" si="26"/>
        <v>0</v>
      </c>
      <c r="AN218" s="4">
        <f t="shared" si="31"/>
        <v>0</v>
      </c>
      <c r="AO218" s="3"/>
      <c r="AP218">
        <v>0</v>
      </c>
      <c r="AR218" t="s">
        <v>1</v>
      </c>
      <c r="AT218" s="2" t="s">
        <v>0</v>
      </c>
      <c r="AU218" s="1">
        <f t="shared" si="27"/>
        <v>1.6462454285790555</v>
      </c>
      <c r="AV218" s="1">
        <f t="shared" si="28"/>
        <v>1.1758895918421826</v>
      </c>
      <c r="AW218" s="1">
        <f t="shared" si="29"/>
        <v>0.70553375510530958</v>
      </c>
    </row>
    <row r="219" spans="1:49" x14ac:dyDescent="0.2">
      <c r="A219">
        <v>217</v>
      </c>
      <c r="B219" t="s">
        <v>10501</v>
      </c>
      <c r="C219" t="s">
        <v>10500</v>
      </c>
      <c r="F219" t="s">
        <v>10499</v>
      </c>
      <c r="G219" t="s">
        <v>15</v>
      </c>
      <c r="H219" t="s">
        <v>14</v>
      </c>
      <c r="I219" t="s">
        <v>10498</v>
      </c>
      <c r="J219">
        <v>60019909</v>
      </c>
      <c r="K219" t="s">
        <v>10497</v>
      </c>
      <c r="L219" t="s">
        <v>6700</v>
      </c>
      <c r="M219" t="s">
        <v>10</v>
      </c>
      <c r="N219">
        <v>1</v>
      </c>
      <c r="O219" t="s">
        <v>10496</v>
      </c>
      <c r="P219">
        <v>57203229560</v>
      </c>
      <c r="Q219">
        <v>60019909</v>
      </c>
      <c r="R219" s="7">
        <v>33970</v>
      </c>
      <c r="S219" s="8">
        <f t="shared" si="24"/>
        <v>1993</v>
      </c>
      <c r="T219" s="8">
        <v>1993</v>
      </c>
      <c r="U219" s="8">
        <f t="shared" si="25"/>
        <v>29</v>
      </c>
      <c r="V219" s="7">
        <v>34304</v>
      </c>
      <c r="W219" t="s">
        <v>814</v>
      </c>
      <c r="X219" s="2">
        <v>1.6519999999999999</v>
      </c>
      <c r="Y219" s="6">
        <f t="shared" si="30"/>
        <v>4.409919649769093E-2</v>
      </c>
      <c r="AA219" t="s">
        <v>813</v>
      </c>
      <c r="AB219">
        <v>17337</v>
      </c>
      <c r="AC219">
        <v>15582221</v>
      </c>
      <c r="AD219" t="s">
        <v>5</v>
      </c>
      <c r="AE219">
        <v>41</v>
      </c>
      <c r="AF219">
        <v>12</v>
      </c>
      <c r="AH219" t="s">
        <v>10495</v>
      </c>
      <c r="AI219" t="s">
        <v>10494</v>
      </c>
      <c r="AK219" t="s">
        <v>10493</v>
      </c>
      <c r="AL219">
        <v>1</v>
      </c>
      <c r="AM219" s="5">
        <f t="shared" si="26"/>
        <v>3.4482758620689655E-2</v>
      </c>
      <c r="AN219" s="4">
        <f t="shared" si="31"/>
        <v>5.2226821083967674E-5</v>
      </c>
      <c r="AO219" s="3"/>
      <c r="AP219">
        <v>0</v>
      </c>
      <c r="AR219" t="s">
        <v>1</v>
      </c>
      <c r="AT219" s="2" t="s">
        <v>0</v>
      </c>
      <c r="AU219" s="1">
        <f t="shared" si="27"/>
        <v>3.0885105594708842</v>
      </c>
      <c r="AV219" s="1">
        <f t="shared" si="28"/>
        <v>2.2075711659387447</v>
      </c>
      <c r="AW219" s="1">
        <f t="shared" si="29"/>
        <v>1.3266317724066055</v>
      </c>
    </row>
    <row r="220" spans="1:49" x14ac:dyDescent="0.2">
      <c r="A220">
        <v>218</v>
      </c>
      <c r="B220" t="s">
        <v>10492</v>
      </c>
      <c r="C220" t="s">
        <v>10491</v>
      </c>
      <c r="F220" t="s">
        <v>10490</v>
      </c>
      <c r="G220" t="s">
        <v>15</v>
      </c>
      <c r="H220" t="s">
        <v>14</v>
      </c>
      <c r="I220" t="s">
        <v>10489</v>
      </c>
      <c r="J220">
        <v>60003780</v>
      </c>
      <c r="K220" t="s">
        <v>10488</v>
      </c>
      <c r="L220" t="s">
        <v>10487</v>
      </c>
      <c r="M220" t="s">
        <v>1988</v>
      </c>
      <c r="N220">
        <v>5</v>
      </c>
      <c r="O220" t="s">
        <v>10486</v>
      </c>
      <c r="P220" t="s">
        <v>10485</v>
      </c>
      <c r="Q220" t="s">
        <v>10484</v>
      </c>
      <c r="R220" s="7">
        <v>33970</v>
      </c>
      <c r="S220" s="8">
        <f t="shared" si="24"/>
        <v>1993</v>
      </c>
      <c r="T220" s="8">
        <v>1993</v>
      </c>
      <c r="U220" s="8">
        <f t="shared" si="25"/>
        <v>29</v>
      </c>
      <c r="V220" s="7">
        <v>34151</v>
      </c>
      <c r="W220" t="s">
        <v>587</v>
      </c>
      <c r="X220" s="2">
        <v>1.137</v>
      </c>
      <c r="Y220" s="6">
        <f t="shared" si="30"/>
        <v>3.0351565628253384E-2</v>
      </c>
      <c r="AA220">
        <v>189251</v>
      </c>
      <c r="AB220">
        <v>17336</v>
      </c>
      <c r="AD220" t="s">
        <v>5</v>
      </c>
      <c r="AE220">
        <v>29</v>
      </c>
      <c r="AF220">
        <v>3</v>
      </c>
      <c r="AH220" t="s">
        <v>10483</v>
      </c>
      <c r="AI220" t="s">
        <v>10482</v>
      </c>
      <c r="AK220" t="s">
        <v>10481</v>
      </c>
      <c r="AL220">
        <v>1</v>
      </c>
      <c r="AM220" s="5">
        <f t="shared" si="26"/>
        <v>3.4482758620689655E-2</v>
      </c>
      <c r="AN220" s="4">
        <f t="shared" si="31"/>
        <v>5.2226821083967674E-5</v>
      </c>
      <c r="AO220" s="3"/>
      <c r="AP220">
        <v>0</v>
      </c>
      <c r="AR220" t="s">
        <v>1</v>
      </c>
      <c r="AT220" s="2" t="s">
        <v>0</v>
      </c>
      <c r="AU220" s="1">
        <f t="shared" si="27"/>
        <v>2.1261763986102555</v>
      </c>
      <c r="AV220" s="1">
        <f t="shared" si="28"/>
        <v>1.5201896224668676</v>
      </c>
      <c r="AW220" s="1">
        <f t="shared" si="29"/>
        <v>0.91420284632347926</v>
      </c>
    </row>
    <row r="221" spans="1:49" x14ac:dyDescent="0.2">
      <c r="A221">
        <v>219</v>
      </c>
      <c r="B221" t="s">
        <v>10480</v>
      </c>
      <c r="C221" t="s">
        <v>10479</v>
      </c>
      <c r="F221" t="s">
        <v>10478</v>
      </c>
      <c r="G221" t="s">
        <v>15</v>
      </c>
      <c r="H221" t="s">
        <v>14</v>
      </c>
      <c r="I221" t="s">
        <v>10078</v>
      </c>
      <c r="J221" t="s">
        <v>10477</v>
      </c>
      <c r="K221" t="s">
        <v>10476</v>
      </c>
      <c r="L221" t="s">
        <v>10475</v>
      </c>
      <c r="M221" t="s">
        <v>10474</v>
      </c>
      <c r="N221">
        <v>7</v>
      </c>
      <c r="O221" t="s">
        <v>10473</v>
      </c>
      <c r="P221" t="s">
        <v>10472</v>
      </c>
      <c r="Q221" t="s">
        <v>10471</v>
      </c>
      <c r="R221" s="7">
        <v>33970</v>
      </c>
      <c r="S221" s="8">
        <f t="shared" si="24"/>
        <v>1993</v>
      </c>
      <c r="T221" s="8">
        <v>1993</v>
      </c>
      <c r="U221" s="8">
        <f t="shared" si="25"/>
        <v>29</v>
      </c>
      <c r="V221" s="7">
        <v>1993</v>
      </c>
      <c r="W221" t="s">
        <v>287</v>
      </c>
      <c r="X221" s="2">
        <v>0.30099999999999999</v>
      </c>
      <c r="Y221" s="6">
        <f t="shared" si="30"/>
        <v>8.0350230906809754E-3</v>
      </c>
      <c r="AA221">
        <v>9395075</v>
      </c>
      <c r="AB221">
        <v>14954</v>
      </c>
      <c r="AC221">
        <v>18657125</v>
      </c>
      <c r="AD221" t="s">
        <v>5</v>
      </c>
      <c r="AE221">
        <v>48</v>
      </c>
      <c r="AF221" s="9">
        <v>44228</v>
      </c>
      <c r="AH221" t="s">
        <v>10470</v>
      </c>
      <c r="AI221" t="s">
        <v>10469</v>
      </c>
      <c r="AJ221" t="s">
        <v>10468</v>
      </c>
      <c r="AK221" t="s">
        <v>10467</v>
      </c>
      <c r="AL221">
        <v>2</v>
      </c>
      <c r="AM221" s="5">
        <f t="shared" si="26"/>
        <v>6.8965517241379309E-2</v>
      </c>
      <c r="AN221" s="4">
        <f t="shared" si="31"/>
        <v>1.0445364216793535E-4</v>
      </c>
      <c r="AO221" s="3"/>
      <c r="AP221">
        <v>1</v>
      </c>
      <c r="AR221" t="s">
        <v>1</v>
      </c>
      <c r="AT221" s="2" t="s">
        <v>0</v>
      </c>
      <c r="AU221" s="1">
        <f t="shared" si="27"/>
        <v>0.5655852256127063</v>
      </c>
      <c r="AV221" s="1">
        <f t="shared" si="28"/>
        <v>0.40697383664244557</v>
      </c>
      <c r="AW221" s="1">
        <f t="shared" si="29"/>
        <v>0.24836244767218477</v>
      </c>
    </row>
    <row r="222" spans="1:49" x14ac:dyDescent="0.2">
      <c r="A222">
        <v>220</v>
      </c>
      <c r="B222" t="s">
        <v>10466</v>
      </c>
      <c r="C222" t="s">
        <v>10465</v>
      </c>
      <c r="F222" t="s">
        <v>10464</v>
      </c>
      <c r="G222" t="s">
        <v>15</v>
      </c>
      <c r="H222" t="s">
        <v>14</v>
      </c>
      <c r="I222" t="s">
        <v>10463</v>
      </c>
      <c r="J222">
        <v>60026610</v>
      </c>
      <c r="K222" t="s">
        <v>10462</v>
      </c>
      <c r="L222" t="s">
        <v>10461</v>
      </c>
      <c r="M222" t="s">
        <v>10</v>
      </c>
      <c r="N222">
        <v>2</v>
      </c>
      <c r="O222" t="s">
        <v>10460</v>
      </c>
      <c r="P222" t="s">
        <v>10459</v>
      </c>
      <c r="Q222" t="s">
        <v>10458</v>
      </c>
      <c r="R222" s="7">
        <v>33970</v>
      </c>
      <c r="S222" s="8">
        <f t="shared" si="24"/>
        <v>1993</v>
      </c>
      <c r="T222" s="8">
        <v>1993</v>
      </c>
      <c r="U222" s="8">
        <f t="shared" si="25"/>
        <v>29</v>
      </c>
      <c r="V222" s="7">
        <v>1993</v>
      </c>
      <c r="W222" t="s">
        <v>329</v>
      </c>
      <c r="X222" s="2">
        <v>0.28599999999999998</v>
      </c>
      <c r="Y222" s="6">
        <f t="shared" si="30"/>
        <v>7.6346066575905605E-3</v>
      </c>
      <c r="AA222">
        <v>9205071</v>
      </c>
      <c r="AB222">
        <v>28139</v>
      </c>
      <c r="AC222">
        <v>15693937</v>
      </c>
      <c r="AD222" t="s">
        <v>5</v>
      </c>
      <c r="AE222">
        <v>7</v>
      </c>
      <c r="AF222">
        <v>8</v>
      </c>
      <c r="AH222" t="s">
        <v>10457</v>
      </c>
      <c r="AI222" t="s">
        <v>10456</v>
      </c>
      <c r="AK222" t="s">
        <v>10455</v>
      </c>
      <c r="AL222">
        <v>1</v>
      </c>
      <c r="AM222" s="5">
        <f t="shared" si="26"/>
        <v>3.4482758620689655E-2</v>
      </c>
      <c r="AN222" s="4">
        <f t="shared" si="31"/>
        <v>5.2226821083967674E-5</v>
      </c>
      <c r="AO222" s="3"/>
      <c r="AP222">
        <v>0</v>
      </c>
      <c r="AR222" t="s">
        <v>1</v>
      </c>
      <c r="AT222" s="2" t="s">
        <v>0</v>
      </c>
      <c r="AU222" s="1">
        <f t="shared" si="27"/>
        <v>0.53598927066385826</v>
      </c>
      <c r="AV222" s="1">
        <f t="shared" si="28"/>
        <v>0.38434167393372642</v>
      </c>
      <c r="AW222" s="1">
        <f t="shared" si="29"/>
        <v>0.23269407720359456</v>
      </c>
    </row>
    <row r="223" spans="1:49" x14ac:dyDescent="0.2">
      <c r="A223">
        <v>221</v>
      </c>
      <c r="B223" t="s">
        <v>10454</v>
      </c>
      <c r="C223" t="s">
        <v>10453</v>
      </c>
      <c r="F223" t="s">
        <v>10452</v>
      </c>
      <c r="G223" t="s">
        <v>15</v>
      </c>
      <c r="H223" t="s">
        <v>14</v>
      </c>
      <c r="I223" t="s">
        <v>10451</v>
      </c>
      <c r="J223">
        <v>60017366</v>
      </c>
      <c r="K223" t="s">
        <v>10450</v>
      </c>
      <c r="L223" t="s">
        <v>10449</v>
      </c>
      <c r="M223" t="s">
        <v>10</v>
      </c>
      <c r="N223">
        <v>4</v>
      </c>
      <c r="O223" t="s">
        <v>10448</v>
      </c>
      <c r="P223" t="s">
        <v>10447</v>
      </c>
      <c r="Q223" t="s">
        <v>10446</v>
      </c>
      <c r="R223" s="7">
        <v>33970</v>
      </c>
      <c r="S223" s="8">
        <f t="shared" si="24"/>
        <v>1993</v>
      </c>
      <c r="T223" s="8">
        <v>1993</v>
      </c>
      <c r="U223" s="8">
        <f t="shared" si="25"/>
        <v>29</v>
      </c>
      <c r="V223" s="7">
        <v>33970</v>
      </c>
      <c r="W223" t="s">
        <v>10445</v>
      </c>
      <c r="X223" s="2">
        <v>0.58299999999999996</v>
      </c>
      <c r="Y223" s="6">
        <f t="shared" si="30"/>
        <v>1.5562852032780758E-2</v>
      </c>
      <c r="AA223">
        <v>7342101</v>
      </c>
      <c r="AB223">
        <v>28596</v>
      </c>
      <c r="AC223">
        <v>15208559</v>
      </c>
      <c r="AD223" t="s">
        <v>5</v>
      </c>
      <c r="AE223">
        <v>11</v>
      </c>
      <c r="AF223">
        <v>1</v>
      </c>
      <c r="AH223" t="s">
        <v>10444</v>
      </c>
      <c r="AI223" t="s">
        <v>10443</v>
      </c>
      <c r="AK223" t="s">
        <v>10442</v>
      </c>
      <c r="AL223">
        <v>172</v>
      </c>
      <c r="AM223" s="5">
        <f t="shared" si="26"/>
        <v>5.931034482758621</v>
      </c>
      <c r="AN223" s="4">
        <f t="shared" si="31"/>
        <v>8.9830132264424392E-3</v>
      </c>
      <c r="AO223" s="3"/>
      <c r="AP223">
        <v>0</v>
      </c>
      <c r="AR223" t="s">
        <v>1</v>
      </c>
      <c r="AT223" s="2" t="s">
        <v>0</v>
      </c>
      <c r="AU223" s="1">
        <f t="shared" si="27"/>
        <v>1.3588900390879259</v>
      </c>
      <c r="AV223" s="1">
        <f t="shared" si="28"/>
        <v>1.2272932629611599</v>
      </c>
      <c r="AW223" s="1">
        <f t="shared" si="29"/>
        <v>1.0956964868343935</v>
      </c>
    </row>
    <row r="224" spans="1:49" x14ac:dyDescent="0.2">
      <c r="A224">
        <v>222</v>
      </c>
      <c r="B224" t="s">
        <v>10441</v>
      </c>
      <c r="C224" t="s">
        <v>10440</v>
      </c>
      <c r="F224" t="s">
        <v>10439</v>
      </c>
      <c r="G224" t="s">
        <v>15</v>
      </c>
      <c r="H224" t="s">
        <v>14</v>
      </c>
      <c r="I224" t="s">
        <v>10438</v>
      </c>
      <c r="J224">
        <v>60018179</v>
      </c>
      <c r="K224" t="s">
        <v>5439</v>
      </c>
      <c r="L224" t="s">
        <v>5438</v>
      </c>
      <c r="M224" t="s">
        <v>10</v>
      </c>
      <c r="N224">
        <v>2</v>
      </c>
      <c r="O224" t="s">
        <v>10437</v>
      </c>
      <c r="P224" t="s">
        <v>10436</v>
      </c>
      <c r="Q224" t="s">
        <v>5435</v>
      </c>
      <c r="R224" s="7">
        <v>33970</v>
      </c>
      <c r="S224" s="8">
        <f t="shared" si="24"/>
        <v>1993</v>
      </c>
      <c r="T224" s="8">
        <v>1993</v>
      </c>
      <c r="U224" s="8">
        <f t="shared" si="25"/>
        <v>29</v>
      </c>
      <c r="V224" s="7">
        <v>1993</v>
      </c>
      <c r="W224" t="s">
        <v>10435</v>
      </c>
      <c r="X224" s="2">
        <v>2.609</v>
      </c>
      <c r="Y224" s="6">
        <f t="shared" si="30"/>
        <v>6.9645764928859349E-2</v>
      </c>
      <c r="AA224">
        <v>917613</v>
      </c>
      <c r="AB224">
        <v>26959</v>
      </c>
      <c r="AD224" t="s">
        <v>5</v>
      </c>
      <c r="AE224">
        <v>21</v>
      </c>
      <c r="AF224">
        <v>7</v>
      </c>
      <c r="AH224" t="s">
        <v>10434</v>
      </c>
      <c r="AI224" t="s">
        <v>10433</v>
      </c>
      <c r="AK224" t="s">
        <v>10432</v>
      </c>
      <c r="AL224">
        <v>72</v>
      </c>
      <c r="AM224" s="5">
        <f t="shared" si="26"/>
        <v>2.4827586206896552</v>
      </c>
      <c r="AN224" s="4">
        <f t="shared" si="31"/>
        <v>3.7603311180456726E-3</v>
      </c>
      <c r="AO224" s="3"/>
      <c r="AP224">
        <v>0</v>
      </c>
      <c r="AR224" t="s">
        <v>1</v>
      </c>
      <c r="AT224" s="2">
        <v>5.399</v>
      </c>
      <c r="AU224" s="1">
        <f t="shared" si="27"/>
        <v>4.9880134785615242</v>
      </c>
      <c r="AV224" s="1">
        <f t="shared" si="28"/>
        <v>3.6703048023452514</v>
      </c>
      <c r="AW224" s="1">
        <f t="shared" si="29"/>
        <v>2.3525961261289776</v>
      </c>
    </row>
    <row r="225" spans="1:49" x14ac:dyDescent="0.2">
      <c r="A225">
        <v>223</v>
      </c>
      <c r="B225" t="s">
        <v>10431</v>
      </c>
      <c r="C225" t="s">
        <v>10430</v>
      </c>
      <c r="F225" t="s">
        <v>10429</v>
      </c>
      <c r="G225" t="s">
        <v>15</v>
      </c>
      <c r="H225" t="s">
        <v>14</v>
      </c>
      <c r="I225" t="s">
        <v>4345</v>
      </c>
      <c r="N225">
        <v>3</v>
      </c>
      <c r="O225" t="s">
        <v>10428</v>
      </c>
      <c r="P225" t="s">
        <v>10427</v>
      </c>
      <c r="Q225" t="s">
        <v>2929</v>
      </c>
      <c r="R225" s="7">
        <v>33970</v>
      </c>
      <c r="S225" s="8">
        <f t="shared" si="24"/>
        <v>1993</v>
      </c>
      <c r="T225" s="8">
        <v>1993</v>
      </c>
      <c r="U225" s="8">
        <f t="shared" si="25"/>
        <v>29</v>
      </c>
      <c r="V225" s="7">
        <v>34304</v>
      </c>
      <c r="W225" t="s">
        <v>299</v>
      </c>
      <c r="X225" s="2">
        <v>0.88100000000000001</v>
      </c>
      <c r="Y225" s="6">
        <f t="shared" si="30"/>
        <v>2.3517791836843653E-2</v>
      </c>
      <c r="AA225">
        <v>10459243</v>
      </c>
      <c r="AB225">
        <v>17248</v>
      </c>
      <c r="AD225" t="s">
        <v>5</v>
      </c>
      <c r="AE225">
        <v>35</v>
      </c>
      <c r="AF225">
        <v>6</v>
      </c>
      <c r="AH225" t="s">
        <v>10426</v>
      </c>
      <c r="AI225" t="s">
        <v>10425</v>
      </c>
      <c r="AK225" t="s">
        <v>10424</v>
      </c>
      <c r="AL225">
        <v>37</v>
      </c>
      <c r="AM225" s="5">
        <f t="shared" si="26"/>
        <v>1.2758620689655173</v>
      </c>
      <c r="AN225" s="4">
        <f t="shared" si="31"/>
        <v>1.9323923801068041E-3</v>
      </c>
      <c r="AO225" s="3"/>
      <c r="AP225">
        <v>0</v>
      </c>
      <c r="AR225" t="s">
        <v>1</v>
      </c>
      <c r="AT225" s="2" t="s">
        <v>0</v>
      </c>
      <c r="AU225" s="1">
        <f t="shared" si="27"/>
        <v>1.7042171999822597</v>
      </c>
      <c r="AV225" s="1">
        <f t="shared" si="28"/>
        <v>1.2725092108475229</v>
      </c>
      <c r="AW225" s="1">
        <f t="shared" si="29"/>
        <v>0.84080122171278582</v>
      </c>
    </row>
    <row r="226" spans="1:49" x14ac:dyDescent="0.2">
      <c r="A226">
        <v>224</v>
      </c>
      <c r="B226" t="s">
        <v>10423</v>
      </c>
      <c r="C226" t="s">
        <v>10422</v>
      </c>
      <c r="F226" t="s">
        <v>10421</v>
      </c>
      <c r="G226" t="s">
        <v>15</v>
      </c>
      <c r="H226" t="s">
        <v>14</v>
      </c>
      <c r="I226" t="s">
        <v>10420</v>
      </c>
      <c r="J226">
        <v>60027892</v>
      </c>
      <c r="K226" t="s">
        <v>10419</v>
      </c>
      <c r="L226" t="s">
        <v>1288</v>
      </c>
      <c r="M226" t="s">
        <v>303</v>
      </c>
      <c r="N226">
        <v>2</v>
      </c>
      <c r="O226" t="s">
        <v>10418</v>
      </c>
      <c r="P226" t="s">
        <v>10417</v>
      </c>
      <c r="Q226" t="s">
        <v>10416</v>
      </c>
      <c r="R226" s="7">
        <v>33970</v>
      </c>
      <c r="S226" s="8">
        <f t="shared" si="24"/>
        <v>1993</v>
      </c>
      <c r="T226" s="8">
        <v>1993</v>
      </c>
      <c r="U226" s="8">
        <f t="shared" si="25"/>
        <v>29</v>
      </c>
      <c r="V226" s="7">
        <v>33970</v>
      </c>
      <c r="W226" t="s">
        <v>9951</v>
      </c>
      <c r="X226" s="2">
        <v>0.33800000000000002</v>
      </c>
      <c r="Y226" s="6">
        <f t="shared" si="30"/>
        <v>9.0227169589706634E-3</v>
      </c>
      <c r="AA226">
        <v>34347</v>
      </c>
      <c r="AB226">
        <v>17722</v>
      </c>
      <c r="AC226">
        <v>19589395</v>
      </c>
      <c r="AD226" t="s">
        <v>5</v>
      </c>
      <c r="AE226">
        <v>48</v>
      </c>
      <c r="AF226" s="9">
        <v>44228</v>
      </c>
      <c r="AH226" t="s">
        <v>10415</v>
      </c>
      <c r="AI226" t="s">
        <v>10414</v>
      </c>
      <c r="AJ226" t="s">
        <v>10413</v>
      </c>
      <c r="AK226" t="s">
        <v>10412</v>
      </c>
      <c r="AL226">
        <v>1</v>
      </c>
      <c r="AM226" s="5">
        <f t="shared" si="26"/>
        <v>3.4482758620689655E-2</v>
      </c>
      <c r="AN226" s="4">
        <f t="shared" si="31"/>
        <v>5.2226821083967674E-5</v>
      </c>
      <c r="AO226" s="3"/>
      <c r="AP226">
        <v>0</v>
      </c>
      <c r="AR226" t="s">
        <v>1</v>
      </c>
      <c r="AT226" s="2" t="s">
        <v>0</v>
      </c>
      <c r="AU226" s="1">
        <f t="shared" si="27"/>
        <v>0.63315699176046536</v>
      </c>
      <c r="AV226" s="1">
        <f t="shared" si="28"/>
        <v>0.45374718900273153</v>
      </c>
      <c r="AW226" s="1">
        <f t="shared" si="29"/>
        <v>0.27433738624499765</v>
      </c>
    </row>
    <row r="227" spans="1:49" x14ac:dyDescent="0.2">
      <c r="A227">
        <v>225</v>
      </c>
      <c r="B227" t="s">
        <v>10411</v>
      </c>
      <c r="C227" t="s">
        <v>10410</v>
      </c>
      <c r="F227" t="s">
        <v>10409</v>
      </c>
      <c r="G227" t="s">
        <v>15</v>
      </c>
      <c r="H227" t="s">
        <v>14</v>
      </c>
      <c r="I227" t="s">
        <v>10408</v>
      </c>
      <c r="J227">
        <v>60005681</v>
      </c>
      <c r="K227" t="s">
        <v>10407</v>
      </c>
      <c r="L227" t="s">
        <v>10406</v>
      </c>
      <c r="M227" t="s">
        <v>1118</v>
      </c>
      <c r="N227">
        <v>1</v>
      </c>
      <c r="O227" t="s">
        <v>10405</v>
      </c>
      <c r="P227">
        <v>7004253055</v>
      </c>
      <c r="Q227">
        <v>60005681</v>
      </c>
      <c r="R227" s="7">
        <v>33970</v>
      </c>
      <c r="S227" s="8">
        <f t="shared" si="24"/>
        <v>1993</v>
      </c>
      <c r="T227" s="8">
        <v>1993</v>
      </c>
      <c r="U227" s="8">
        <f t="shared" si="25"/>
        <v>29</v>
      </c>
      <c r="V227" s="7">
        <v>33970</v>
      </c>
      <c r="W227" t="s">
        <v>587</v>
      </c>
      <c r="X227" s="2">
        <v>1.137</v>
      </c>
      <c r="Y227" s="6">
        <f t="shared" si="30"/>
        <v>3.0351565628253384E-2</v>
      </c>
      <c r="AA227">
        <v>189251</v>
      </c>
      <c r="AB227">
        <v>17336</v>
      </c>
      <c r="AD227" t="s">
        <v>5</v>
      </c>
      <c r="AE227">
        <v>29</v>
      </c>
      <c r="AF227">
        <v>1</v>
      </c>
      <c r="AH227" t="s">
        <v>2705</v>
      </c>
      <c r="AI227" t="s">
        <v>10404</v>
      </c>
      <c r="AK227" t="s">
        <v>10403</v>
      </c>
      <c r="AL227">
        <v>15</v>
      </c>
      <c r="AM227" s="5">
        <f t="shared" si="26"/>
        <v>0.51724137931034486</v>
      </c>
      <c r="AN227" s="4">
        <f t="shared" si="31"/>
        <v>7.834023162595151E-4</v>
      </c>
      <c r="AO227" s="3"/>
      <c r="AP227">
        <v>0</v>
      </c>
      <c r="AR227" t="s">
        <v>1</v>
      </c>
      <c r="AT227" s="2" t="s">
        <v>0</v>
      </c>
      <c r="AU227" s="1">
        <f t="shared" si="27"/>
        <v>2.1481116634655222</v>
      </c>
      <c r="AV227" s="1">
        <f t="shared" si="28"/>
        <v>1.5567483972256448</v>
      </c>
      <c r="AW227" s="1">
        <f t="shared" si="29"/>
        <v>0.96538513098576761</v>
      </c>
    </row>
    <row r="228" spans="1:49" x14ac:dyDescent="0.2">
      <c r="A228">
        <v>226</v>
      </c>
      <c r="B228" t="s">
        <v>10402</v>
      </c>
      <c r="C228" t="s">
        <v>10401</v>
      </c>
      <c r="F228" t="s">
        <v>10400</v>
      </c>
      <c r="G228" t="s">
        <v>15</v>
      </c>
      <c r="H228" t="s">
        <v>14</v>
      </c>
      <c r="I228" t="s">
        <v>10399</v>
      </c>
      <c r="J228" t="s">
        <v>10398</v>
      </c>
      <c r="K228" t="s">
        <v>10397</v>
      </c>
      <c r="L228" t="s">
        <v>10396</v>
      </c>
      <c r="M228" t="s">
        <v>10395</v>
      </c>
      <c r="N228">
        <v>52</v>
      </c>
      <c r="O228" t="s">
        <v>10394</v>
      </c>
      <c r="P228" t="s">
        <v>10393</v>
      </c>
      <c r="Q228" t="s">
        <v>10392</v>
      </c>
      <c r="R228" s="7">
        <v>33970</v>
      </c>
      <c r="S228" s="8">
        <f t="shared" si="24"/>
        <v>1993</v>
      </c>
      <c r="T228" s="8">
        <v>1993</v>
      </c>
      <c r="U228" s="8">
        <f t="shared" si="25"/>
        <v>29</v>
      </c>
      <c r="V228" s="7">
        <v>1993</v>
      </c>
      <c r="W228" t="s">
        <v>192</v>
      </c>
      <c r="X228" s="2">
        <v>1.1879999999999999</v>
      </c>
      <c r="Y228" s="6">
        <f t="shared" si="30"/>
        <v>3.1712981500760788E-2</v>
      </c>
      <c r="AA228">
        <v>8998221</v>
      </c>
      <c r="AB228">
        <v>8900153323</v>
      </c>
      <c r="AD228" t="s">
        <v>5</v>
      </c>
      <c r="AE228">
        <v>5</v>
      </c>
      <c r="AF228">
        <v>7</v>
      </c>
      <c r="AH228" t="s">
        <v>10391</v>
      </c>
      <c r="AI228" t="s">
        <v>10390</v>
      </c>
      <c r="AK228" t="s">
        <v>10389</v>
      </c>
      <c r="AL228">
        <v>8</v>
      </c>
      <c r="AM228" s="5">
        <f t="shared" si="26"/>
        <v>0.27586206896551724</v>
      </c>
      <c r="AN228" s="4">
        <f t="shared" si="31"/>
        <v>4.1781456867174139E-4</v>
      </c>
      <c r="AO228" s="3"/>
      <c r="AP228">
        <v>0</v>
      </c>
      <c r="AR228" t="s">
        <v>1</v>
      </c>
      <c r="AT228" s="2" t="s">
        <v>0</v>
      </c>
      <c r="AU228" s="1">
        <f t="shared" si="27"/>
        <v>2.2324431421134072</v>
      </c>
      <c r="AV228" s="1">
        <f t="shared" si="28"/>
        <v>1.6065398034716267</v>
      </c>
      <c r="AW228" s="1">
        <f t="shared" si="29"/>
        <v>0.98063646482984568</v>
      </c>
    </row>
    <row r="229" spans="1:49" x14ac:dyDescent="0.2">
      <c r="A229">
        <v>227</v>
      </c>
      <c r="B229" t="s">
        <v>10388</v>
      </c>
      <c r="C229" t="s">
        <v>10387</v>
      </c>
      <c r="F229" t="s">
        <v>10386</v>
      </c>
      <c r="G229" t="s">
        <v>15</v>
      </c>
      <c r="H229" t="s">
        <v>14</v>
      </c>
      <c r="I229" t="s">
        <v>10385</v>
      </c>
      <c r="J229" t="s">
        <v>10384</v>
      </c>
      <c r="K229" t="s">
        <v>10383</v>
      </c>
      <c r="L229" t="s">
        <v>10382</v>
      </c>
      <c r="M229" t="s">
        <v>235</v>
      </c>
      <c r="N229">
        <v>4</v>
      </c>
      <c r="O229" t="s">
        <v>10381</v>
      </c>
      <c r="P229" t="s">
        <v>10380</v>
      </c>
      <c r="Q229" t="s">
        <v>10379</v>
      </c>
      <c r="R229" s="7">
        <v>33970</v>
      </c>
      <c r="S229" s="8">
        <f t="shared" si="24"/>
        <v>1993</v>
      </c>
      <c r="T229" s="8">
        <v>1993</v>
      </c>
      <c r="U229" s="8">
        <f t="shared" si="25"/>
        <v>29</v>
      </c>
      <c r="V229" s="7">
        <v>1993</v>
      </c>
      <c r="W229" t="s">
        <v>131</v>
      </c>
      <c r="X229" s="2">
        <v>1.641</v>
      </c>
      <c r="Y229" s="6">
        <f t="shared" si="30"/>
        <v>4.3805557780091299E-2</v>
      </c>
      <c r="AA229">
        <v>223654</v>
      </c>
      <c r="AB229">
        <v>30422</v>
      </c>
      <c r="AD229" t="s">
        <v>5</v>
      </c>
      <c r="AE229">
        <v>97</v>
      </c>
      <c r="AF229">
        <v>47</v>
      </c>
      <c r="AH229" t="s">
        <v>10378</v>
      </c>
      <c r="AI229" t="s">
        <v>10377</v>
      </c>
      <c r="AK229" t="s">
        <v>10376</v>
      </c>
      <c r="AL229">
        <v>10</v>
      </c>
      <c r="AM229" s="5">
        <f t="shared" si="26"/>
        <v>0.34482758620689657</v>
      </c>
      <c r="AN229" s="4">
        <f t="shared" si="31"/>
        <v>5.2226821083967677E-4</v>
      </c>
      <c r="AO229" s="3"/>
      <c r="AP229">
        <v>0</v>
      </c>
      <c r="AR229" t="s">
        <v>1</v>
      </c>
      <c r="AT229" s="2" t="s">
        <v>0</v>
      </c>
      <c r="AU229" s="1">
        <f t="shared" si="27"/>
        <v>3.0820570909315808</v>
      </c>
      <c r="AV229" s="1">
        <f t="shared" si="28"/>
        <v>2.2163912995465487</v>
      </c>
      <c r="AW229" s="1">
        <f t="shared" si="29"/>
        <v>1.3507255081615164</v>
      </c>
    </row>
    <row r="230" spans="1:49" x14ac:dyDescent="0.2">
      <c r="A230">
        <v>228</v>
      </c>
      <c r="B230" t="s">
        <v>10375</v>
      </c>
      <c r="C230" t="s">
        <v>10374</v>
      </c>
      <c r="F230" t="s">
        <v>10373</v>
      </c>
      <c r="G230" t="s">
        <v>15</v>
      </c>
      <c r="H230" t="s">
        <v>14</v>
      </c>
      <c r="I230" t="s">
        <v>10372</v>
      </c>
      <c r="J230">
        <v>60005244</v>
      </c>
      <c r="K230" t="s">
        <v>4391</v>
      </c>
      <c r="L230" t="s">
        <v>4390</v>
      </c>
      <c r="M230" t="s">
        <v>463</v>
      </c>
      <c r="N230">
        <v>2</v>
      </c>
      <c r="O230" t="s">
        <v>10371</v>
      </c>
      <c r="P230" t="s">
        <v>10370</v>
      </c>
      <c r="Q230" t="s">
        <v>4387</v>
      </c>
      <c r="R230" s="7">
        <v>33970</v>
      </c>
      <c r="S230" s="8">
        <f t="shared" si="24"/>
        <v>1993</v>
      </c>
      <c r="T230" s="8">
        <v>1993</v>
      </c>
      <c r="U230" s="8">
        <f t="shared" si="25"/>
        <v>29</v>
      </c>
      <c r="V230" s="7">
        <v>33970</v>
      </c>
      <c r="W230" t="s">
        <v>10344</v>
      </c>
      <c r="X230" s="2">
        <v>0.11700000000000001</v>
      </c>
      <c r="Y230" s="6">
        <f t="shared" si="30"/>
        <v>3.1232481781052297E-3</v>
      </c>
      <c r="AA230">
        <v>2179822</v>
      </c>
      <c r="AB230">
        <v>5300152612</v>
      </c>
      <c r="AC230">
        <v>19930615</v>
      </c>
      <c r="AD230" t="s">
        <v>5</v>
      </c>
      <c r="AE230">
        <v>10</v>
      </c>
      <c r="AF230">
        <v>1</v>
      </c>
      <c r="AH230" t="s">
        <v>10369</v>
      </c>
      <c r="AI230" t="s">
        <v>10368</v>
      </c>
      <c r="AJ230" t="s">
        <v>10367</v>
      </c>
      <c r="AK230" t="s">
        <v>10366</v>
      </c>
      <c r="AL230">
        <v>1</v>
      </c>
      <c r="AM230" s="5">
        <f t="shared" si="26"/>
        <v>3.4482758620689655E-2</v>
      </c>
      <c r="AN230" s="4">
        <f t="shared" si="31"/>
        <v>5.2226821083967674E-5</v>
      </c>
      <c r="AO230" s="3"/>
      <c r="AP230">
        <v>0</v>
      </c>
      <c r="AR230" t="s">
        <v>1</v>
      </c>
      <c r="AT230" s="2" t="s">
        <v>0</v>
      </c>
      <c r="AU230" s="1">
        <f t="shared" si="27"/>
        <v>0.22019417709988509</v>
      </c>
      <c r="AV230" s="1">
        <f t="shared" si="28"/>
        <v>0.15877374995945986</v>
      </c>
      <c r="AW230" s="1">
        <f t="shared" si="29"/>
        <v>9.7353322819034624E-2</v>
      </c>
    </row>
    <row r="231" spans="1:49" x14ac:dyDescent="0.2">
      <c r="A231">
        <v>229</v>
      </c>
      <c r="B231" t="s">
        <v>10365</v>
      </c>
      <c r="C231" t="s">
        <v>10364</v>
      </c>
      <c r="F231" t="s">
        <v>10363</v>
      </c>
      <c r="G231" t="s">
        <v>15</v>
      </c>
      <c r="H231" t="s">
        <v>14</v>
      </c>
      <c r="I231" t="s">
        <v>10362</v>
      </c>
      <c r="J231" t="s">
        <v>10361</v>
      </c>
      <c r="K231" t="s">
        <v>10360</v>
      </c>
      <c r="L231" t="s">
        <v>10359</v>
      </c>
      <c r="M231" t="s">
        <v>333</v>
      </c>
      <c r="N231">
        <v>3</v>
      </c>
      <c r="O231" t="s">
        <v>10358</v>
      </c>
      <c r="P231" t="s">
        <v>10357</v>
      </c>
      <c r="Q231" t="s">
        <v>10356</v>
      </c>
      <c r="R231" s="7">
        <v>33970</v>
      </c>
      <c r="S231" s="8">
        <f t="shared" si="24"/>
        <v>1993</v>
      </c>
      <c r="T231" s="8">
        <v>1993</v>
      </c>
      <c r="U231" s="8">
        <f t="shared" si="25"/>
        <v>29</v>
      </c>
      <c r="V231" s="7">
        <v>33970</v>
      </c>
      <c r="W231" t="s">
        <v>10344</v>
      </c>
      <c r="X231" s="2">
        <v>0.11700000000000001</v>
      </c>
      <c r="Y231" s="6">
        <f t="shared" si="30"/>
        <v>3.1232481781052297E-3</v>
      </c>
      <c r="AA231">
        <v>2179822</v>
      </c>
      <c r="AB231">
        <v>5300152612</v>
      </c>
      <c r="AC231">
        <v>19930615</v>
      </c>
      <c r="AD231" t="s">
        <v>5</v>
      </c>
      <c r="AE231">
        <v>10</v>
      </c>
      <c r="AF231">
        <v>1</v>
      </c>
      <c r="AH231" t="s">
        <v>10355</v>
      </c>
      <c r="AI231" t="s">
        <v>10354</v>
      </c>
      <c r="AJ231" t="s">
        <v>10353</v>
      </c>
      <c r="AK231" t="s">
        <v>10352</v>
      </c>
      <c r="AL231">
        <v>0</v>
      </c>
      <c r="AM231" s="5">
        <f t="shared" si="26"/>
        <v>0</v>
      </c>
      <c r="AN231" s="4">
        <f t="shared" si="31"/>
        <v>0</v>
      </c>
      <c r="AO231" s="3"/>
      <c r="AP231">
        <v>0</v>
      </c>
      <c r="AR231" t="s">
        <v>1</v>
      </c>
      <c r="AT231" s="2" t="s">
        <v>0</v>
      </c>
      <c r="AU231" s="1">
        <f t="shared" si="27"/>
        <v>0.21862737246736608</v>
      </c>
      <c r="AV231" s="1">
        <f t="shared" si="28"/>
        <v>0.15616240890526148</v>
      </c>
      <c r="AW231" s="1">
        <f t="shared" si="29"/>
        <v>9.3697445343156896E-2</v>
      </c>
    </row>
    <row r="232" spans="1:49" x14ac:dyDescent="0.2">
      <c r="A232">
        <v>230</v>
      </c>
      <c r="B232" t="s">
        <v>10351</v>
      </c>
      <c r="C232" t="s">
        <v>10350</v>
      </c>
      <c r="F232" t="s">
        <v>10349</v>
      </c>
      <c r="G232" t="s">
        <v>15</v>
      </c>
      <c r="H232" t="s">
        <v>14</v>
      </c>
      <c r="I232" t="s">
        <v>10348</v>
      </c>
      <c r="J232">
        <v>60025578</v>
      </c>
      <c r="K232" t="s">
        <v>4508</v>
      </c>
      <c r="L232" t="s">
        <v>2960</v>
      </c>
      <c r="M232" t="s">
        <v>463</v>
      </c>
      <c r="N232">
        <v>2</v>
      </c>
      <c r="O232" t="s">
        <v>10347</v>
      </c>
      <c r="P232" t="s">
        <v>10346</v>
      </c>
      <c r="Q232" t="s">
        <v>10345</v>
      </c>
      <c r="R232" s="7">
        <v>33970</v>
      </c>
      <c r="S232" s="8">
        <f t="shared" si="24"/>
        <v>1993</v>
      </c>
      <c r="T232" s="8">
        <v>1993</v>
      </c>
      <c r="U232" s="8">
        <f t="shared" si="25"/>
        <v>29</v>
      </c>
      <c r="V232" s="7">
        <v>33970</v>
      </c>
      <c r="W232" t="s">
        <v>10344</v>
      </c>
      <c r="X232" s="2">
        <v>0.11700000000000001</v>
      </c>
      <c r="Y232" s="6">
        <f t="shared" si="30"/>
        <v>3.1232481781052297E-3</v>
      </c>
      <c r="AA232">
        <v>2179822</v>
      </c>
      <c r="AB232">
        <v>5300152612</v>
      </c>
      <c r="AC232">
        <v>19930615</v>
      </c>
      <c r="AD232" t="s">
        <v>5</v>
      </c>
      <c r="AE232">
        <v>10</v>
      </c>
      <c r="AF232">
        <v>1</v>
      </c>
      <c r="AH232" t="s">
        <v>9079</v>
      </c>
      <c r="AI232" t="s">
        <v>10343</v>
      </c>
      <c r="AJ232" t="s">
        <v>10342</v>
      </c>
      <c r="AK232" t="s">
        <v>10341</v>
      </c>
      <c r="AL232">
        <v>0</v>
      </c>
      <c r="AM232" s="5">
        <f t="shared" si="26"/>
        <v>0</v>
      </c>
      <c r="AN232" s="4">
        <f t="shared" si="31"/>
        <v>0</v>
      </c>
      <c r="AO232" s="3"/>
      <c r="AP232">
        <v>0</v>
      </c>
      <c r="AR232" t="s">
        <v>1</v>
      </c>
      <c r="AT232" s="2" t="s">
        <v>0</v>
      </c>
      <c r="AU232" s="1">
        <f t="shared" si="27"/>
        <v>0.21862737246736608</v>
      </c>
      <c r="AV232" s="1">
        <f t="shared" si="28"/>
        <v>0.15616240890526148</v>
      </c>
      <c r="AW232" s="1">
        <f t="shared" si="29"/>
        <v>9.3697445343156896E-2</v>
      </c>
    </row>
    <row r="233" spans="1:49" x14ac:dyDescent="0.2">
      <c r="A233">
        <v>231</v>
      </c>
      <c r="B233" t="s">
        <v>10340</v>
      </c>
      <c r="C233" t="s">
        <v>10339</v>
      </c>
      <c r="D233" t="s">
        <v>10338</v>
      </c>
      <c r="F233" t="s">
        <v>10337</v>
      </c>
      <c r="G233" t="s">
        <v>15</v>
      </c>
      <c r="H233" t="s">
        <v>14</v>
      </c>
      <c r="I233" t="s">
        <v>10336</v>
      </c>
      <c r="J233">
        <v>101389635</v>
      </c>
      <c r="K233" t="s">
        <v>10335</v>
      </c>
      <c r="L233" t="s">
        <v>10334</v>
      </c>
      <c r="M233" t="s">
        <v>521</v>
      </c>
      <c r="N233">
        <v>2</v>
      </c>
      <c r="O233" t="s">
        <v>10333</v>
      </c>
      <c r="P233" t="s">
        <v>10332</v>
      </c>
      <c r="Q233" t="s">
        <v>10331</v>
      </c>
      <c r="R233" s="7">
        <v>33970</v>
      </c>
      <c r="S233" s="8">
        <f t="shared" si="24"/>
        <v>1993</v>
      </c>
      <c r="T233" s="8">
        <v>1993</v>
      </c>
      <c r="U233" s="8">
        <f t="shared" si="25"/>
        <v>29</v>
      </c>
      <c r="V233" s="7">
        <v>33970</v>
      </c>
      <c r="W233" t="s">
        <v>1841</v>
      </c>
      <c r="X233" s="2">
        <v>0.51500000000000001</v>
      </c>
      <c r="Y233" s="6">
        <f t="shared" si="30"/>
        <v>1.374763086943755E-2</v>
      </c>
      <c r="AA233">
        <v>219169</v>
      </c>
      <c r="AB233">
        <v>30966</v>
      </c>
      <c r="AD233" t="s">
        <v>5</v>
      </c>
      <c r="AE233">
        <v>55</v>
      </c>
      <c r="AF233">
        <v>1</v>
      </c>
      <c r="AH233" t="s">
        <v>10330</v>
      </c>
      <c r="AI233" t="s">
        <v>10329</v>
      </c>
      <c r="AK233" t="s">
        <v>10328</v>
      </c>
      <c r="AL233">
        <v>4</v>
      </c>
      <c r="AM233" s="5">
        <f t="shared" si="26"/>
        <v>0.13793103448275862</v>
      </c>
      <c r="AN233" s="4">
        <f t="shared" si="31"/>
        <v>2.089072843358707E-4</v>
      </c>
      <c r="AO233" s="3"/>
      <c r="AP233">
        <v>0</v>
      </c>
      <c r="AR233" t="s">
        <v>1</v>
      </c>
      <c r="AT233" s="2" t="s">
        <v>0</v>
      </c>
      <c r="AU233" s="1">
        <f t="shared" si="27"/>
        <v>0.96860137939070445</v>
      </c>
      <c r="AV233" s="1">
        <f t="shared" si="28"/>
        <v>0.69782690768867106</v>
      </c>
      <c r="AW233" s="1">
        <f t="shared" si="29"/>
        <v>0.4270524359866375</v>
      </c>
    </row>
    <row r="234" spans="1:49" x14ac:dyDescent="0.2">
      <c r="A234">
        <v>232</v>
      </c>
      <c r="B234" t="s">
        <v>10327</v>
      </c>
      <c r="C234" t="s">
        <v>10326</v>
      </c>
      <c r="D234" t="s">
        <v>10325</v>
      </c>
      <c r="F234" t="s">
        <v>10324</v>
      </c>
      <c r="G234" t="s">
        <v>15</v>
      </c>
      <c r="H234" t="s">
        <v>14</v>
      </c>
      <c r="I234" t="s">
        <v>10323</v>
      </c>
      <c r="J234" t="s">
        <v>10322</v>
      </c>
      <c r="K234" t="s">
        <v>10321</v>
      </c>
      <c r="L234" t="s">
        <v>10320</v>
      </c>
      <c r="M234" t="s">
        <v>2289</v>
      </c>
      <c r="N234">
        <v>3</v>
      </c>
      <c r="O234" t="s">
        <v>10319</v>
      </c>
      <c r="P234" t="s">
        <v>10318</v>
      </c>
      <c r="Q234" t="s">
        <v>10317</v>
      </c>
      <c r="R234" s="7">
        <v>33970</v>
      </c>
      <c r="S234" s="8">
        <f t="shared" si="24"/>
        <v>1993</v>
      </c>
      <c r="T234" s="8">
        <v>1993</v>
      </c>
      <c r="U234" s="8">
        <f t="shared" si="25"/>
        <v>29</v>
      </c>
      <c r="V234" s="7">
        <v>34029</v>
      </c>
      <c r="W234" t="s">
        <v>9909</v>
      </c>
      <c r="X234" s="2">
        <v>1.1339999999999999</v>
      </c>
      <c r="Y234" s="6">
        <f t="shared" si="30"/>
        <v>3.0271482341635299E-2</v>
      </c>
      <c r="AA234">
        <v>945765</v>
      </c>
      <c r="AB234">
        <v>12372</v>
      </c>
      <c r="AD234" t="s">
        <v>5</v>
      </c>
      <c r="AE234">
        <v>29</v>
      </c>
      <c r="AF234">
        <v>3</v>
      </c>
      <c r="AH234" t="s">
        <v>10316</v>
      </c>
      <c r="AI234" t="s">
        <v>10315</v>
      </c>
      <c r="AK234" t="s">
        <v>10314</v>
      </c>
      <c r="AL234">
        <v>0</v>
      </c>
      <c r="AM234" s="5">
        <f t="shared" si="26"/>
        <v>0</v>
      </c>
      <c r="AN234" s="4">
        <f t="shared" si="31"/>
        <v>0</v>
      </c>
      <c r="AO234" s="3"/>
      <c r="AP234">
        <v>0</v>
      </c>
      <c r="AR234" t="s">
        <v>1</v>
      </c>
      <c r="AT234" s="2">
        <v>2.4129999999999998</v>
      </c>
      <c r="AU234" s="1">
        <f t="shared" si="27"/>
        <v>2.119003763914471</v>
      </c>
      <c r="AV234" s="1">
        <f t="shared" si="28"/>
        <v>1.5135741170817649</v>
      </c>
      <c r="AW234" s="1">
        <f t="shared" si="29"/>
        <v>0.90814447024905898</v>
      </c>
    </row>
    <row r="235" spans="1:49" x14ac:dyDescent="0.2">
      <c r="A235">
        <v>233</v>
      </c>
      <c r="B235" t="s">
        <v>10313</v>
      </c>
      <c r="C235" t="s">
        <v>10312</v>
      </c>
      <c r="D235" t="s">
        <v>10311</v>
      </c>
      <c r="F235" t="s">
        <v>10310</v>
      </c>
      <c r="G235" t="s">
        <v>15</v>
      </c>
      <c r="H235" t="s">
        <v>14</v>
      </c>
      <c r="I235" t="s">
        <v>1391</v>
      </c>
      <c r="J235">
        <v>60021097</v>
      </c>
      <c r="K235" t="s">
        <v>1390</v>
      </c>
      <c r="L235" t="s">
        <v>1389</v>
      </c>
      <c r="M235" t="s">
        <v>493</v>
      </c>
      <c r="N235">
        <v>2</v>
      </c>
      <c r="O235" t="s">
        <v>1388</v>
      </c>
      <c r="P235" t="s">
        <v>1387</v>
      </c>
      <c r="Q235" t="s">
        <v>1386</v>
      </c>
      <c r="R235" s="7">
        <v>33970</v>
      </c>
      <c r="S235" s="8">
        <f t="shared" si="24"/>
        <v>1993</v>
      </c>
      <c r="T235" s="8">
        <v>1993</v>
      </c>
      <c r="U235" s="8">
        <f t="shared" si="25"/>
        <v>29</v>
      </c>
      <c r="V235" s="7">
        <v>1993</v>
      </c>
      <c r="W235" t="s">
        <v>10309</v>
      </c>
      <c r="X235" s="2" t="s">
        <v>0</v>
      </c>
      <c r="Y235" s="6" t="e">
        <f t="shared" si="30"/>
        <v>#VALUE!</v>
      </c>
      <c r="AA235">
        <v>9619526</v>
      </c>
      <c r="AB235">
        <v>81758</v>
      </c>
      <c r="AD235" t="s">
        <v>5</v>
      </c>
      <c r="AE235">
        <v>3</v>
      </c>
      <c r="AF235">
        <v>11</v>
      </c>
      <c r="AI235" t="s">
        <v>10308</v>
      </c>
      <c r="AK235" t="s">
        <v>10307</v>
      </c>
      <c r="AL235">
        <v>3</v>
      </c>
      <c r="AM235" s="5">
        <f t="shared" si="26"/>
        <v>0.10344827586206896</v>
      </c>
      <c r="AN235" s="4">
        <f t="shared" si="31"/>
        <v>1.5668046325190301E-4</v>
      </c>
      <c r="AO235" s="3"/>
      <c r="AP235">
        <v>0</v>
      </c>
      <c r="AQ235" t="s">
        <v>5802</v>
      </c>
      <c r="AR235" t="s">
        <v>1</v>
      </c>
      <c r="AS235" t="s">
        <v>5801</v>
      </c>
      <c r="AT235" s="2" t="s">
        <v>0</v>
      </c>
      <c r="AU235" s="1" t="e">
        <f t="shared" si="27"/>
        <v>#VALUE!</v>
      </c>
      <c r="AV235" s="1" t="e">
        <f t="shared" si="28"/>
        <v>#VALUE!</v>
      </c>
      <c r="AW235" s="1" t="e">
        <f t="shared" si="29"/>
        <v>#VALUE!</v>
      </c>
    </row>
    <row r="236" spans="1:49" x14ac:dyDescent="0.2">
      <c r="A236">
        <v>234</v>
      </c>
      <c r="B236" t="s">
        <v>10306</v>
      </c>
      <c r="C236" t="s">
        <v>10305</v>
      </c>
      <c r="D236" t="s">
        <v>10304</v>
      </c>
      <c r="F236" t="s">
        <v>10303</v>
      </c>
      <c r="G236" t="s">
        <v>15</v>
      </c>
      <c r="H236" t="s">
        <v>14</v>
      </c>
      <c r="I236" t="s">
        <v>10302</v>
      </c>
      <c r="J236">
        <v>60005837</v>
      </c>
      <c r="K236" t="s">
        <v>10301</v>
      </c>
      <c r="L236" t="s">
        <v>10300</v>
      </c>
      <c r="M236" t="s">
        <v>10</v>
      </c>
      <c r="N236">
        <v>2</v>
      </c>
      <c r="O236" t="s">
        <v>10299</v>
      </c>
      <c r="P236" t="s">
        <v>10298</v>
      </c>
      <c r="Q236" t="s">
        <v>10297</v>
      </c>
      <c r="R236" s="7">
        <v>33970</v>
      </c>
      <c r="S236" s="8">
        <f t="shared" si="24"/>
        <v>1993</v>
      </c>
      <c r="T236" s="8">
        <v>1993</v>
      </c>
      <c r="U236" s="8">
        <f t="shared" si="25"/>
        <v>29</v>
      </c>
      <c r="V236" s="7" t="s">
        <v>10241</v>
      </c>
      <c r="W236" t="s">
        <v>9909</v>
      </c>
      <c r="X236" s="2">
        <v>1.1339999999999999</v>
      </c>
      <c r="Y236" s="6">
        <f t="shared" si="30"/>
        <v>3.0271482341635299E-2</v>
      </c>
      <c r="AA236">
        <v>945765</v>
      </c>
      <c r="AB236">
        <v>12372</v>
      </c>
      <c r="AD236" t="s">
        <v>5</v>
      </c>
      <c r="AE236">
        <v>29</v>
      </c>
      <c r="AF236" s="9">
        <v>44510</v>
      </c>
      <c r="AH236" t="s">
        <v>4055</v>
      </c>
      <c r="AI236" t="s">
        <v>10296</v>
      </c>
      <c r="AK236" t="s">
        <v>10295</v>
      </c>
      <c r="AL236">
        <v>2</v>
      </c>
      <c r="AM236" s="5">
        <f t="shared" si="26"/>
        <v>6.8965517241379309E-2</v>
      </c>
      <c r="AN236" s="4">
        <f t="shared" si="31"/>
        <v>1.0445364216793535E-4</v>
      </c>
      <c r="AO236" s="3"/>
      <c r="AP236">
        <v>0</v>
      </c>
      <c r="AR236" t="s">
        <v>1</v>
      </c>
      <c r="AT236" s="2">
        <v>2.4129999999999998</v>
      </c>
      <c r="AU236" s="1">
        <f t="shared" si="27"/>
        <v>2.122137373179509</v>
      </c>
      <c r="AV236" s="1">
        <f t="shared" si="28"/>
        <v>1.5187967991901616</v>
      </c>
      <c r="AW236" s="1">
        <f t="shared" si="29"/>
        <v>0.91545622520081438</v>
      </c>
    </row>
    <row r="237" spans="1:49" x14ac:dyDescent="0.2">
      <c r="A237">
        <v>235</v>
      </c>
      <c r="B237" t="s">
        <v>10294</v>
      </c>
      <c r="C237" t="s">
        <v>10293</v>
      </c>
      <c r="D237" t="s">
        <v>10292</v>
      </c>
      <c r="F237" t="s">
        <v>10291</v>
      </c>
      <c r="G237" t="s">
        <v>15</v>
      </c>
      <c r="H237" t="s">
        <v>14</v>
      </c>
      <c r="I237" t="s">
        <v>10290</v>
      </c>
      <c r="J237">
        <v>60027271</v>
      </c>
      <c r="K237" t="s">
        <v>2920</v>
      </c>
      <c r="L237" t="s">
        <v>2919</v>
      </c>
      <c r="M237" t="s">
        <v>10</v>
      </c>
      <c r="N237">
        <v>1</v>
      </c>
      <c r="O237" t="s">
        <v>10289</v>
      </c>
      <c r="P237">
        <v>16538973000</v>
      </c>
      <c r="Q237">
        <v>60027271</v>
      </c>
      <c r="R237" s="7">
        <v>33970</v>
      </c>
      <c r="S237" s="8">
        <f t="shared" si="24"/>
        <v>1993</v>
      </c>
      <c r="T237" s="8">
        <v>1993</v>
      </c>
      <c r="U237" s="8">
        <f t="shared" si="25"/>
        <v>29</v>
      </c>
      <c r="V237" s="7">
        <v>33970</v>
      </c>
      <c r="W237" t="s">
        <v>10288</v>
      </c>
      <c r="X237" s="2">
        <v>1.0049999999999999</v>
      </c>
      <c r="Y237" s="6">
        <f t="shared" si="30"/>
        <v>2.6827901017057738E-2</v>
      </c>
      <c r="AA237">
        <v>160032</v>
      </c>
      <c r="AB237">
        <v>27959</v>
      </c>
      <c r="AD237" t="s">
        <v>5</v>
      </c>
      <c r="AE237">
        <v>330</v>
      </c>
      <c r="AF237">
        <v>1</v>
      </c>
      <c r="AH237" t="s">
        <v>10287</v>
      </c>
      <c r="AI237" t="s">
        <v>10286</v>
      </c>
      <c r="AK237" t="s">
        <v>10285</v>
      </c>
      <c r="AL237">
        <v>6</v>
      </c>
      <c r="AM237" s="5">
        <f t="shared" si="26"/>
        <v>0.20689655172413793</v>
      </c>
      <c r="AN237" s="4">
        <f t="shared" si="31"/>
        <v>3.1336092650380602E-4</v>
      </c>
      <c r="AO237" s="3"/>
      <c r="AP237">
        <v>0</v>
      </c>
      <c r="AR237" t="s">
        <v>1</v>
      </c>
      <c r="AT237" s="2" t="s">
        <v>0</v>
      </c>
      <c r="AU237" s="1">
        <f t="shared" si="27"/>
        <v>1.8873538989891556</v>
      </c>
      <c r="AV237" s="1">
        <f t="shared" si="28"/>
        <v>1.3570630971780773</v>
      </c>
      <c r="AW237" s="1">
        <f t="shared" si="29"/>
        <v>0.82677229536699848</v>
      </c>
    </row>
    <row r="238" spans="1:49" x14ac:dyDescent="0.2">
      <c r="A238">
        <v>236</v>
      </c>
      <c r="B238" t="s">
        <v>10284</v>
      </c>
      <c r="C238" t="s">
        <v>10283</v>
      </c>
      <c r="D238" t="s">
        <v>10282</v>
      </c>
      <c r="F238" t="s">
        <v>10281</v>
      </c>
      <c r="G238" t="s">
        <v>15</v>
      </c>
      <c r="H238" t="s">
        <v>14</v>
      </c>
      <c r="I238" t="s">
        <v>10280</v>
      </c>
      <c r="J238">
        <v>60007457</v>
      </c>
      <c r="K238" t="s">
        <v>10279</v>
      </c>
      <c r="L238" t="s">
        <v>3639</v>
      </c>
      <c r="M238" t="s">
        <v>521</v>
      </c>
      <c r="N238">
        <v>1</v>
      </c>
      <c r="O238" t="s">
        <v>10278</v>
      </c>
      <c r="P238">
        <v>7003908077</v>
      </c>
      <c r="Q238">
        <v>60007457</v>
      </c>
      <c r="R238" s="7">
        <v>33970</v>
      </c>
      <c r="S238" s="8">
        <f t="shared" si="24"/>
        <v>1993</v>
      </c>
      <c r="T238" s="8">
        <v>1993</v>
      </c>
      <c r="U238" s="8">
        <f t="shared" si="25"/>
        <v>29</v>
      </c>
      <c r="V238" s="7">
        <v>1993</v>
      </c>
      <c r="W238" t="s">
        <v>10277</v>
      </c>
      <c r="X238" s="2" t="s">
        <v>0</v>
      </c>
      <c r="Y238" s="6" t="e">
        <f t="shared" si="30"/>
        <v>#VALUE!</v>
      </c>
      <c r="AA238">
        <v>836656</v>
      </c>
      <c r="AB238">
        <v>5000157004</v>
      </c>
      <c r="AD238" t="s">
        <v>5</v>
      </c>
      <c r="AE238">
        <v>37</v>
      </c>
      <c r="AF238" t="s">
        <v>4857</v>
      </c>
      <c r="AH238" t="s">
        <v>10276</v>
      </c>
      <c r="AI238" t="s">
        <v>10275</v>
      </c>
      <c r="AK238" t="s">
        <v>10274</v>
      </c>
      <c r="AL238">
        <v>1</v>
      </c>
      <c r="AM238" s="5">
        <f t="shared" si="26"/>
        <v>3.4482758620689655E-2</v>
      </c>
      <c r="AN238" s="4">
        <f t="shared" si="31"/>
        <v>5.2226821083967674E-5</v>
      </c>
      <c r="AO238" s="3"/>
      <c r="AP238">
        <v>0</v>
      </c>
      <c r="AR238" t="s">
        <v>1</v>
      </c>
      <c r="AT238" s="2" t="s">
        <v>0</v>
      </c>
      <c r="AU238" s="1" t="e">
        <f t="shared" si="27"/>
        <v>#VALUE!</v>
      </c>
      <c r="AV238" s="1" t="e">
        <f t="shared" si="28"/>
        <v>#VALUE!</v>
      </c>
      <c r="AW238" s="1" t="e">
        <f t="shared" si="29"/>
        <v>#VALUE!</v>
      </c>
    </row>
    <row r="239" spans="1:49" x14ac:dyDescent="0.2">
      <c r="A239">
        <v>237</v>
      </c>
      <c r="B239" t="s">
        <v>10273</v>
      </c>
      <c r="C239" t="s">
        <v>10272</v>
      </c>
      <c r="D239" t="s">
        <v>10271</v>
      </c>
      <c r="F239" t="s">
        <v>10270</v>
      </c>
      <c r="G239" t="s">
        <v>15</v>
      </c>
      <c r="H239" t="s">
        <v>14</v>
      </c>
      <c r="I239" t="s">
        <v>10269</v>
      </c>
      <c r="J239" t="s">
        <v>10268</v>
      </c>
      <c r="K239" t="s">
        <v>10267</v>
      </c>
      <c r="L239" t="s">
        <v>10266</v>
      </c>
      <c r="M239" t="s">
        <v>235</v>
      </c>
      <c r="N239">
        <v>3</v>
      </c>
      <c r="O239" t="s">
        <v>10265</v>
      </c>
      <c r="P239" t="s">
        <v>10264</v>
      </c>
      <c r="Q239" t="s">
        <v>10263</v>
      </c>
      <c r="R239" s="7">
        <v>33970</v>
      </c>
      <c r="S239" s="8">
        <f t="shared" si="24"/>
        <v>1993</v>
      </c>
      <c r="T239" s="8">
        <v>1993</v>
      </c>
      <c r="U239" s="8">
        <f t="shared" si="25"/>
        <v>29</v>
      </c>
      <c r="V239" s="7">
        <v>34182</v>
      </c>
      <c r="W239" t="s">
        <v>387</v>
      </c>
      <c r="X239" s="2">
        <v>0.68200000000000005</v>
      </c>
      <c r="Y239" s="6">
        <f t="shared" si="30"/>
        <v>1.8205600491177493E-2</v>
      </c>
      <c r="AA239">
        <v>2731177</v>
      </c>
      <c r="AB239">
        <v>12375</v>
      </c>
      <c r="AD239" t="s">
        <v>5</v>
      </c>
      <c r="AE239">
        <v>13</v>
      </c>
      <c r="AF239">
        <v>8</v>
      </c>
      <c r="AH239" t="s">
        <v>10262</v>
      </c>
      <c r="AI239" t="s">
        <v>10261</v>
      </c>
      <c r="AK239" t="s">
        <v>10260</v>
      </c>
      <c r="AL239">
        <v>5</v>
      </c>
      <c r="AM239" s="5">
        <f t="shared" si="26"/>
        <v>0.17241379310344829</v>
      </c>
      <c r="AN239" s="4">
        <f t="shared" si="31"/>
        <v>2.6113410541983838E-4</v>
      </c>
      <c r="AO239" s="3"/>
      <c r="AP239">
        <v>0</v>
      </c>
      <c r="AR239" t="s">
        <v>1</v>
      </c>
      <c r="AT239" s="2">
        <v>2.1520000000000001</v>
      </c>
      <c r="AU239" s="1">
        <f t="shared" si="27"/>
        <v>1.2822260575450195</v>
      </c>
      <c r="AV239" s="1">
        <f t="shared" si="28"/>
        <v>0.92333672982986659</v>
      </c>
      <c r="AW239" s="1">
        <f t="shared" si="29"/>
        <v>0.56444740211471345</v>
      </c>
    </row>
    <row r="240" spans="1:49" x14ac:dyDescent="0.2">
      <c r="A240">
        <v>238</v>
      </c>
      <c r="B240" t="s">
        <v>10259</v>
      </c>
      <c r="C240" t="s">
        <v>10258</v>
      </c>
      <c r="D240" t="s">
        <v>10257</v>
      </c>
      <c r="F240" t="s">
        <v>10256</v>
      </c>
      <c r="G240" t="s">
        <v>15</v>
      </c>
      <c r="H240" t="s">
        <v>14</v>
      </c>
      <c r="I240" t="s">
        <v>10255</v>
      </c>
      <c r="J240">
        <v>105341152</v>
      </c>
      <c r="K240" t="s">
        <v>10254</v>
      </c>
      <c r="L240" t="s">
        <v>7484</v>
      </c>
      <c r="M240" t="s">
        <v>10</v>
      </c>
      <c r="N240">
        <v>1</v>
      </c>
      <c r="O240" t="s">
        <v>10253</v>
      </c>
      <c r="P240">
        <v>6602697276</v>
      </c>
      <c r="Q240">
        <v>105341152</v>
      </c>
      <c r="R240" s="7">
        <v>33970</v>
      </c>
      <c r="S240" s="8">
        <f t="shared" si="24"/>
        <v>1993</v>
      </c>
      <c r="T240" s="8">
        <v>1993</v>
      </c>
      <c r="U240" s="8">
        <f t="shared" si="25"/>
        <v>29</v>
      </c>
      <c r="V240" s="7" t="s">
        <v>5363</v>
      </c>
      <c r="W240" t="s">
        <v>5362</v>
      </c>
      <c r="X240" s="2" t="s">
        <v>0</v>
      </c>
      <c r="Y240" s="6" t="e">
        <f t="shared" si="30"/>
        <v>#VALUE!</v>
      </c>
      <c r="AA240">
        <v>9641807</v>
      </c>
      <c r="AB240">
        <v>71966</v>
      </c>
      <c r="AD240" t="s">
        <v>5</v>
      </c>
      <c r="AE240">
        <v>1</v>
      </c>
      <c r="AF240" s="9">
        <v>44446</v>
      </c>
      <c r="AH240" t="s">
        <v>10252</v>
      </c>
      <c r="AI240" t="s">
        <v>10251</v>
      </c>
      <c r="AK240" t="s">
        <v>10250</v>
      </c>
      <c r="AL240">
        <v>0</v>
      </c>
      <c r="AM240" s="5">
        <f t="shared" si="26"/>
        <v>0</v>
      </c>
      <c r="AN240" s="4">
        <f t="shared" si="31"/>
        <v>0</v>
      </c>
      <c r="AO240" s="3"/>
      <c r="AP240">
        <v>0</v>
      </c>
      <c r="AR240" t="s">
        <v>1</v>
      </c>
      <c r="AT240" s="2" t="s">
        <v>0</v>
      </c>
      <c r="AU240" s="1" t="e">
        <f t="shared" si="27"/>
        <v>#VALUE!</v>
      </c>
      <c r="AV240" s="1" t="e">
        <f t="shared" si="28"/>
        <v>#VALUE!</v>
      </c>
      <c r="AW240" s="1" t="e">
        <f t="shared" si="29"/>
        <v>#VALUE!</v>
      </c>
    </row>
    <row r="241" spans="1:49" x14ac:dyDescent="0.2">
      <c r="A241">
        <v>239</v>
      </c>
      <c r="B241" t="s">
        <v>10249</v>
      </c>
      <c r="C241" t="s">
        <v>10248</v>
      </c>
      <c r="D241" t="s">
        <v>10247</v>
      </c>
      <c r="F241" t="s">
        <v>10246</v>
      </c>
      <c r="G241" t="s">
        <v>15</v>
      </c>
      <c r="H241" t="s">
        <v>14</v>
      </c>
      <c r="I241" t="s">
        <v>10245</v>
      </c>
      <c r="J241">
        <v>60058524</v>
      </c>
      <c r="K241" t="s">
        <v>3694</v>
      </c>
      <c r="L241" t="s">
        <v>1738</v>
      </c>
      <c r="M241" t="s">
        <v>508</v>
      </c>
      <c r="N241">
        <v>2</v>
      </c>
      <c r="O241" t="s">
        <v>10244</v>
      </c>
      <c r="P241" t="s">
        <v>10243</v>
      </c>
      <c r="Q241" t="s">
        <v>10242</v>
      </c>
      <c r="R241" s="7">
        <v>33970</v>
      </c>
      <c r="S241" s="8">
        <f t="shared" si="24"/>
        <v>1993</v>
      </c>
      <c r="T241" s="8">
        <v>1993</v>
      </c>
      <c r="U241" s="8">
        <f t="shared" si="25"/>
        <v>29</v>
      </c>
      <c r="V241" s="7" t="s">
        <v>10241</v>
      </c>
      <c r="W241" t="s">
        <v>9909</v>
      </c>
      <c r="X241" s="2">
        <v>1.1339999999999999</v>
      </c>
      <c r="Y241" s="6">
        <f t="shared" si="30"/>
        <v>3.0271482341635299E-2</v>
      </c>
      <c r="AA241">
        <v>945765</v>
      </c>
      <c r="AB241">
        <v>12372</v>
      </c>
      <c r="AD241" t="s">
        <v>5</v>
      </c>
      <c r="AE241">
        <v>29</v>
      </c>
      <c r="AF241" s="9">
        <v>44510</v>
      </c>
      <c r="AH241" t="s">
        <v>10240</v>
      </c>
      <c r="AI241" t="s">
        <v>10239</v>
      </c>
      <c r="AK241" t="s">
        <v>10238</v>
      </c>
      <c r="AL241">
        <v>3</v>
      </c>
      <c r="AM241" s="5">
        <f t="shared" si="26"/>
        <v>0.10344827586206896</v>
      </c>
      <c r="AN241" s="4">
        <f t="shared" si="31"/>
        <v>1.5668046325190301E-4</v>
      </c>
      <c r="AO241" s="3"/>
      <c r="AP241">
        <v>0</v>
      </c>
      <c r="AR241" t="s">
        <v>1</v>
      </c>
      <c r="AT241" s="2">
        <v>2.4129999999999998</v>
      </c>
      <c r="AU241" s="1">
        <f t="shared" si="27"/>
        <v>2.1237041778120278</v>
      </c>
      <c r="AV241" s="1">
        <f t="shared" si="28"/>
        <v>1.52140814024436</v>
      </c>
      <c r="AW241" s="1">
        <f t="shared" si="29"/>
        <v>0.91911210267669219</v>
      </c>
    </row>
    <row r="242" spans="1:49" x14ac:dyDescent="0.2">
      <c r="A242">
        <v>240</v>
      </c>
      <c r="B242" t="s">
        <v>10237</v>
      </c>
      <c r="C242" t="s">
        <v>10236</v>
      </c>
      <c r="D242" t="s">
        <v>10235</v>
      </c>
      <c r="F242" t="s">
        <v>10234</v>
      </c>
      <c r="G242" t="s">
        <v>15</v>
      </c>
      <c r="H242" t="s">
        <v>14</v>
      </c>
      <c r="I242" t="s">
        <v>10233</v>
      </c>
      <c r="J242">
        <v>60029445</v>
      </c>
      <c r="K242" t="s">
        <v>10232</v>
      </c>
      <c r="L242" t="s">
        <v>10231</v>
      </c>
      <c r="M242" t="s">
        <v>10</v>
      </c>
      <c r="N242">
        <v>2</v>
      </c>
      <c r="O242" t="s">
        <v>10230</v>
      </c>
      <c r="P242" t="s">
        <v>10229</v>
      </c>
      <c r="Q242" t="s">
        <v>10228</v>
      </c>
      <c r="R242" s="7">
        <v>33970</v>
      </c>
      <c r="S242" s="8">
        <f t="shared" si="24"/>
        <v>1993</v>
      </c>
      <c r="T242" s="8">
        <v>1993</v>
      </c>
      <c r="U242" s="8">
        <f t="shared" si="25"/>
        <v>29</v>
      </c>
      <c r="V242" s="7">
        <v>34304</v>
      </c>
      <c r="W242" t="s">
        <v>10061</v>
      </c>
      <c r="X242" s="2">
        <v>0.998</v>
      </c>
      <c r="Y242" s="6">
        <f t="shared" si="30"/>
        <v>2.664104001494888E-2</v>
      </c>
      <c r="AA242">
        <v>207322</v>
      </c>
      <c r="AB242">
        <v>90127</v>
      </c>
      <c r="AD242" t="s">
        <v>5</v>
      </c>
      <c r="AE242">
        <v>22</v>
      </c>
      <c r="AF242">
        <v>5</v>
      </c>
      <c r="AH242" t="s">
        <v>10227</v>
      </c>
      <c r="AI242" t="s">
        <v>10226</v>
      </c>
      <c r="AJ242" t="s">
        <v>10225</v>
      </c>
      <c r="AK242" t="s">
        <v>10224</v>
      </c>
      <c r="AL242">
        <v>72</v>
      </c>
      <c r="AM242" s="5">
        <f t="shared" si="26"/>
        <v>2.4827586206896552</v>
      </c>
      <c r="AN242" s="4">
        <f t="shared" si="31"/>
        <v>3.7603311180456726E-3</v>
      </c>
      <c r="AO242" s="3"/>
      <c r="AP242">
        <v>0</v>
      </c>
      <c r="AR242" t="s">
        <v>1</v>
      </c>
      <c r="AT242" s="2" t="s">
        <v>0</v>
      </c>
      <c r="AU242" s="1">
        <f t="shared" si="27"/>
        <v>1.9776827345877916</v>
      </c>
      <c r="AV242" s="1">
        <f t="shared" si="28"/>
        <v>1.5200685566497276</v>
      </c>
      <c r="AW242" s="1">
        <f t="shared" si="29"/>
        <v>1.0624543787116634</v>
      </c>
    </row>
    <row r="243" spans="1:49" x14ac:dyDescent="0.2">
      <c r="A243">
        <v>241</v>
      </c>
      <c r="B243" t="s">
        <v>10223</v>
      </c>
      <c r="C243" t="s">
        <v>10222</v>
      </c>
      <c r="D243" t="s">
        <v>10221</v>
      </c>
      <c r="F243" t="s">
        <v>10220</v>
      </c>
      <c r="G243" t="s">
        <v>15</v>
      </c>
      <c r="H243" t="s">
        <v>14</v>
      </c>
      <c r="I243" t="s">
        <v>10219</v>
      </c>
      <c r="J243">
        <v>60009037</v>
      </c>
      <c r="K243" t="s">
        <v>647</v>
      </c>
      <c r="L243" t="s">
        <v>646</v>
      </c>
      <c r="M243" t="s">
        <v>10</v>
      </c>
      <c r="N243">
        <v>4</v>
      </c>
      <c r="O243" t="s">
        <v>10218</v>
      </c>
      <c r="P243" t="s">
        <v>10217</v>
      </c>
      <c r="Q243" t="s">
        <v>643</v>
      </c>
      <c r="R243" s="7">
        <v>33970</v>
      </c>
      <c r="S243" s="8">
        <f t="shared" si="24"/>
        <v>1993</v>
      </c>
      <c r="T243" s="8">
        <v>1993</v>
      </c>
      <c r="U243" s="8">
        <f t="shared" si="25"/>
        <v>29</v>
      </c>
      <c r="V243" s="7">
        <v>34151</v>
      </c>
      <c r="W243" t="s">
        <v>9909</v>
      </c>
      <c r="X243" s="2">
        <v>1.1339999999999999</v>
      </c>
      <c r="Y243" s="6">
        <f t="shared" si="30"/>
        <v>3.0271482341635299E-2</v>
      </c>
      <c r="AA243">
        <v>945765</v>
      </c>
      <c r="AB243">
        <v>12372</v>
      </c>
      <c r="AD243" t="s">
        <v>5</v>
      </c>
      <c r="AE243">
        <v>30</v>
      </c>
      <c r="AF243" t="s">
        <v>4857</v>
      </c>
      <c r="AH243" t="s">
        <v>10216</v>
      </c>
      <c r="AI243" t="s">
        <v>10215</v>
      </c>
      <c r="AK243" t="s">
        <v>10214</v>
      </c>
      <c r="AL243">
        <v>0</v>
      </c>
      <c r="AM243" s="5">
        <f t="shared" si="26"/>
        <v>0</v>
      </c>
      <c r="AN243" s="4">
        <f t="shared" si="31"/>
        <v>0</v>
      </c>
      <c r="AO243" s="3"/>
      <c r="AP243">
        <v>0</v>
      </c>
      <c r="AR243" t="s">
        <v>1</v>
      </c>
      <c r="AT243" s="2">
        <v>2.4129999999999998</v>
      </c>
      <c r="AU243" s="1">
        <f t="shared" si="27"/>
        <v>2.119003763914471</v>
      </c>
      <c r="AV243" s="1">
        <f t="shared" si="28"/>
        <v>1.5135741170817649</v>
      </c>
      <c r="AW243" s="1">
        <f t="shared" si="29"/>
        <v>0.90814447024905898</v>
      </c>
    </row>
    <row r="244" spans="1:49" x14ac:dyDescent="0.2">
      <c r="A244">
        <v>242</v>
      </c>
      <c r="B244" t="s">
        <v>10213</v>
      </c>
      <c r="C244" t="s">
        <v>10212</v>
      </c>
      <c r="D244" t="s">
        <v>10211</v>
      </c>
      <c r="F244" t="s">
        <v>10210</v>
      </c>
      <c r="G244" t="s">
        <v>15</v>
      </c>
      <c r="H244" t="s">
        <v>14</v>
      </c>
      <c r="I244" t="s">
        <v>10209</v>
      </c>
      <c r="J244">
        <v>60012771</v>
      </c>
      <c r="K244" t="s">
        <v>4970</v>
      </c>
      <c r="L244" t="s">
        <v>2919</v>
      </c>
      <c r="M244" t="s">
        <v>10</v>
      </c>
      <c r="N244">
        <v>2</v>
      </c>
      <c r="O244" t="s">
        <v>10208</v>
      </c>
      <c r="P244" t="s">
        <v>10207</v>
      </c>
      <c r="Q244" t="s">
        <v>4967</v>
      </c>
      <c r="R244" s="7">
        <v>33970</v>
      </c>
      <c r="S244" s="8">
        <f t="shared" si="24"/>
        <v>1993</v>
      </c>
      <c r="T244" s="8">
        <v>1993</v>
      </c>
      <c r="U244" s="8">
        <f t="shared" si="25"/>
        <v>29</v>
      </c>
      <c r="V244" s="7">
        <v>34151</v>
      </c>
      <c r="W244" t="s">
        <v>9909</v>
      </c>
      <c r="X244" s="2">
        <v>1.1339999999999999</v>
      </c>
      <c r="Y244" s="6">
        <f t="shared" si="30"/>
        <v>3.0271482341635299E-2</v>
      </c>
      <c r="AA244">
        <v>945765</v>
      </c>
      <c r="AB244">
        <v>12372</v>
      </c>
      <c r="AD244" t="s">
        <v>5</v>
      </c>
      <c r="AE244">
        <v>29</v>
      </c>
      <c r="AF244">
        <v>7</v>
      </c>
      <c r="AH244" t="s">
        <v>10206</v>
      </c>
      <c r="AI244" t="s">
        <v>10205</v>
      </c>
      <c r="AK244" t="s">
        <v>10204</v>
      </c>
      <c r="AL244">
        <v>0</v>
      </c>
      <c r="AM244" s="5">
        <f t="shared" si="26"/>
        <v>0</v>
      </c>
      <c r="AN244" s="4">
        <f t="shared" si="31"/>
        <v>0</v>
      </c>
      <c r="AO244" s="3"/>
      <c r="AP244">
        <v>0</v>
      </c>
      <c r="AR244" t="s">
        <v>1</v>
      </c>
      <c r="AT244" s="2">
        <v>2.4129999999999998</v>
      </c>
      <c r="AU244" s="1">
        <f t="shared" si="27"/>
        <v>2.119003763914471</v>
      </c>
      <c r="AV244" s="1">
        <f t="shared" si="28"/>
        <v>1.5135741170817649</v>
      </c>
      <c r="AW244" s="1">
        <f t="shared" si="29"/>
        <v>0.90814447024905898</v>
      </c>
    </row>
    <row r="245" spans="1:49" x14ac:dyDescent="0.2">
      <c r="A245">
        <v>243</v>
      </c>
      <c r="B245" t="s">
        <v>10203</v>
      </c>
      <c r="C245" t="s">
        <v>10202</v>
      </c>
      <c r="D245" t="s">
        <v>10201</v>
      </c>
      <c r="F245" t="s">
        <v>10200</v>
      </c>
      <c r="G245" t="s">
        <v>15</v>
      </c>
      <c r="H245" t="s">
        <v>14</v>
      </c>
      <c r="I245" t="s">
        <v>10199</v>
      </c>
      <c r="J245">
        <v>60013506</v>
      </c>
      <c r="K245" t="s">
        <v>10198</v>
      </c>
      <c r="L245" t="s">
        <v>10197</v>
      </c>
      <c r="M245" t="s">
        <v>508</v>
      </c>
      <c r="N245">
        <v>5</v>
      </c>
      <c r="O245" t="s">
        <v>10196</v>
      </c>
      <c r="P245" t="s">
        <v>10195</v>
      </c>
      <c r="Q245" t="s">
        <v>10194</v>
      </c>
      <c r="R245" s="7">
        <v>33970</v>
      </c>
      <c r="S245" s="8">
        <f t="shared" si="24"/>
        <v>1993</v>
      </c>
      <c r="T245" s="8">
        <v>1993</v>
      </c>
      <c r="U245" s="8">
        <f t="shared" si="25"/>
        <v>29</v>
      </c>
      <c r="V245" s="7">
        <v>34151</v>
      </c>
      <c r="W245" t="s">
        <v>9909</v>
      </c>
      <c r="X245" s="2">
        <v>1.1339999999999999</v>
      </c>
      <c r="Y245" s="6">
        <f t="shared" si="30"/>
        <v>3.0271482341635299E-2</v>
      </c>
      <c r="AA245">
        <v>945765</v>
      </c>
      <c r="AB245">
        <v>12372</v>
      </c>
      <c r="AD245" t="s">
        <v>5</v>
      </c>
      <c r="AE245">
        <v>30</v>
      </c>
      <c r="AF245" t="s">
        <v>4857</v>
      </c>
      <c r="AH245" t="s">
        <v>10193</v>
      </c>
      <c r="AI245" t="s">
        <v>10192</v>
      </c>
      <c r="AK245" t="s">
        <v>10191</v>
      </c>
      <c r="AL245">
        <v>2</v>
      </c>
      <c r="AM245" s="5">
        <f t="shared" si="26"/>
        <v>6.8965517241379309E-2</v>
      </c>
      <c r="AN245" s="4">
        <f t="shared" si="31"/>
        <v>1.0445364216793535E-4</v>
      </c>
      <c r="AO245" s="3"/>
      <c r="AP245">
        <v>0</v>
      </c>
      <c r="AR245" t="s">
        <v>1</v>
      </c>
      <c r="AT245" s="2">
        <v>2.4129999999999998</v>
      </c>
      <c r="AU245" s="1">
        <f t="shared" si="27"/>
        <v>2.122137373179509</v>
      </c>
      <c r="AV245" s="1">
        <f t="shared" si="28"/>
        <v>1.5187967991901616</v>
      </c>
      <c r="AW245" s="1">
        <f t="shared" si="29"/>
        <v>0.91545622520081438</v>
      </c>
    </row>
    <row r="246" spans="1:49" x14ac:dyDescent="0.2">
      <c r="A246">
        <v>244</v>
      </c>
      <c r="B246" t="s">
        <v>10190</v>
      </c>
      <c r="C246" t="s">
        <v>10189</v>
      </c>
      <c r="F246" t="s">
        <v>10188</v>
      </c>
      <c r="G246" t="s">
        <v>15</v>
      </c>
      <c r="H246" t="s">
        <v>14</v>
      </c>
      <c r="I246" t="s">
        <v>10187</v>
      </c>
      <c r="J246" t="s">
        <v>10186</v>
      </c>
      <c r="K246" t="s">
        <v>10185</v>
      </c>
      <c r="L246" t="s">
        <v>10184</v>
      </c>
      <c r="M246" t="s">
        <v>10183</v>
      </c>
      <c r="N246">
        <v>5</v>
      </c>
      <c r="O246" t="s">
        <v>10182</v>
      </c>
      <c r="P246" t="s">
        <v>10181</v>
      </c>
      <c r="Q246" t="s">
        <v>10180</v>
      </c>
      <c r="R246" s="7">
        <v>33970</v>
      </c>
      <c r="S246" s="8">
        <f t="shared" si="24"/>
        <v>1993</v>
      </c>
      <c r="T246" s="8">
        <v>1993</v>
      </c>
      <c r="U246" s="8">
        <f t="shared" si="25"/>
        <v>29</v>
      </c>
      <c r="V246" s="7">
        <v>1993</v>
      </c>
      <c r="W246" t="s">
        <v>22</v>
      </c>
      <c r="X246" s="2">
        <v>1.887</v>
      </c>
      <c r="Y246" s="6">
        <f t="shared" si="30"/>
        <v>5.0372387282774087E-2</v>
      </c>
      <c r="AA246">
        <v>5562821</v>
      </c>
      <c r="AB246">
        <v>29459</v>
      </c>
      <c r="AD246" t="s">
        <v>5</v>
      </c>
      <c r="AE246">
        <v>47</v>
      </c>
      <c r="AF246">
        <v>12</v>
      </c>
      <c r="AH246" t="s">
        <v>10179</v>
      </c>
      <c r="AI246" t="s">
        <v>10178</v>
      </c>
      <c r="AK246" t="s">
        <v>10177</v>
      </c>
      <c r="AL246">
        <v>4</v>
      </c>
      <c r="AM246" s="5">
        <f t="shared" si="26"/>
        <v>0.13793103448275862</v>
      </c>
      <c r="AN246" s="4">
        <f t="shared" si="31"/>
        <v>2.089072843358707E-4</v>
      </c>
      <c r="AO246" s="3"/>
      <c r="AP246">
        <v>0</v>
      </c>
      <c r="AR246" t="s">
        <v>1</v>
      </c>
      <c r="AT246" s="2">
        <v>5.2960000000000003</v>
      </c>
      <c r="AU246" s="1">
        <f t="shared" si="27"/>
        <v>3.5323343283242616</v>
      </c>
      <c r="AV246" s="1">
        <f t="shared" si="28"/>
        <v>2.5290647283554977</v>
      </c>
      <c r="AW246" s="1">
        <f t="shared" si="29"/>
        <v>1.5257951283867335</v>
      </c>
    </row>
    <row r="247" spans="1:49" x14ac:dyDescent="0.2">
      <c r="A247">
        <v>245</v>
      </c>
      <c r="B247" t="s">
        <v>10176</v>
      </c>
      <c r="C247" t="s">
        <v>10175</v>
      </c>
      <c r="F247" t="s">
        <v>10174</v>
      </c>
      <c r="G247" t="s">
        <v>15</v>
      </c>
      <c r="H247" t="s">
        <v>14</v>
      </c>
      <c r="I247" t="s">
        <v>10173</v>
      </c>
      <c r="J247" t="s">
        <v>10172</v>
      </c>
      <c r="K247" t="s">
        <v>10171</v>
      </c>
      <c r="L247" t="s">
        <v>10170</v>
      </c>
      <c r="M247" t="s">
        <v>10169</v>
      </c>
      <c r="N247">
        <v>2</v>
      </c>
      <c r="O247" t="s">
        <v>10168</v>
      </c>
      <c r="P247" t="s">
        <v>10167</v>
      </c>
      <c r="Q247" t="s">
        <v>10166</v>
      </c>
      <c r="R247" s="7">
        <v>33970</v>
      </c>
      <c r="S247" s="8">
        <f t="shared" si="24"/>
        <v>1993</v>
      </c>
      <c r="T247" s="8">
        <v>1993</v>
      </c>
      <c r="U247" s="8">
        <f t="shared" si="25"/>
        <v>29</v>
      </c>
      <c r="V247" s="7">
        <v>1993</v>
      </c>
      <c r="W247" t="s">
        <v>22</v>
      </c>
      <c r="X247" s="2">
        <v>1.887</v>
      </c>
      <c r="Y247" s="6">
        <f t="shared" si="30"/>
        <v>5.0372387282774087E-2</v>
      </c>
      <c r="AA247">
        <v>5562821</v>
      </c>
      <c r="AB247">
        <v>29459</v>
      </c>
      <c r="AD247" t="s">
        <v>5</v>
      </c>
      <c r="AE247">
        <v>47</v>
      </c>
      <c r="AF247">
        <v>6</v>
      </c>
      <c r="AH247" t="s">
        <v>10165</v>
      </c>
      <c r="AI247" t="s">
        <v>10164</v>
      </c>
      <c r="AK247" t="s">
        <v>10163</v>
      </c>
      <c r="AL247">
        <v>6</v>
      </c>
      <c r="AM247" s="5">
        <f t="shared" si="26"/>
        <v>0.20689655172413793</v>
      </c>
      <c r="AN247" s="4">
        <f t="shared" si="31"/>
        <v>3.1336092650380602E-4</v>
      </c>
      <c r="AO247" s="3"/>
      <c r="AP247">
        <v>0</v>
      </c>
      <c r="AR247" t="s">
        <v>1</v>
      </c>
      <c r="AT247" s="2">
        <v>5.2960000000000003</v>
      </c>
      <c r="AU247" s="1">
        <f t="shared" si="27"/>
        <v>3.5354679375892997</v>
      </c>
      <c r="AV247" s="1">
        <f t="shared" si="28"/>
        <v>2.5342874104638944</v>
      </c>
      <c r="AW247" s="1">
        <f t="shared" si="29"/>
        <v>1.5331068833384889</v>
      </c>
    </row>
    <row r="248" spans="1:49" x14ac:dyDescent="0.2">
      <c r="A248">
        <v>246</v>
      </c>
      <c r="B248" t="s">
        <v>10162</v>
      </c>
      <c r="C248" t="s">
        <v>10161</v>
      </c>
      <c r="F248" t="s">
        <v>10160</v>
      </c>
      <c r="G248" t="s">
        <v>15</v>
      </c>
      <c r="H248" t="s">
        <v>14</v>
      </c>
      <c r="I248" t="s">
        <v>10159</v>
      </c>
      <c r="J248">
        <v>60032350</v>
      </c>
      <c r="K248" t="s">
        <v>3159</v>
      </c>
      <c r="L248" t="s">
        <v>3158</v>
      </c>
      <c r="M248" t="s">
        <v>2423</v>
      </c>
      <c r="N248">
        <v>1</v>
      </c>
      <c r="O248" t="s">
        <v>10158</v>
      </c>
      <c r="P248">
        <v>36980006000</v>
      </c>
      <c r="Q248">
        <v>60032350</v>
      </c>
      <c r="R248" s="7">
        <v>33970</v>
      </c>
      <c r="S248" s="8">
        <f t="shared" si="24"/>
        <v>1993</v>
      </c>
      <c r="T248" s="8">
        <v>1993</v>
      </c>
      <c r="U248" s="8">
        <f t="shared" si="25"/>
        <v>29</v>
      </c>
      <c r="V248" s="7">
        <v>1993</v>
      </c>
      <c r="W248" t="s">
        <v>22</v>
      </c>
      <c r="X248" s="2">
        <v>1.887</v>
      </c>
      <c r="Y248" s="6">
        <f t="shared" si="30"/>
        <v>5.0372387282774087E-2</v>
      </c>
      <c r="AA248">
        <v>5562821</v>
      </c>
      <c r="AB248">
        <v>29459</v>
      </c>
      <c r="AD248" t="s">
        <v>5</v>
      </c>
      <c r="AE248">
        <v>48</v>
      </c>
      <c r="AF248">
        <v>12</v>
      </c>
      <c r="AH248" t="s">
        <v>10157</v>
      </c>
      <c r="AI248" t="s">
        <v>10156</v>
      </c>
      <c r="AK248" t="s">
        <v>10155</v>
      </c>
      <c r="AL248">
        <v>5</v>
      </c>
      <c r="AM248" s="5">
        <f t="shared" si="26"/>
        <v>0.17241379310344829</v>
      </c>
      <c r="AN248" s="4">
        <f t="shared" si="31"/>
        <v>2.6113410541983838E-4</v>
      </c>
      <c r="AO248" s="3"/>
      <c r="AP248">
        <v>0</v>
      </c>
      <c r="AR248" t="s">
        <v>1</v>
      </c>
      <c r="AT248" s="2">
        <v>5.2960000000000003</v>
      </c>
      <c r="AU248" s="1">
        <f t="shared" si="27"/>
        <v>3.5339011329567809</v>
      </c>
      <c r="AV248" s="1">
        <f t="shared" si="28"/>
        <v>2.5316760694096963</v>
      </c>
      <c r="AW248" s="1">
        <f t="shared" si="29"/>
        <v>1.5294510058626112</v>
      </c>
    </row>
    <row r="249" spans="1:49" x14ac:dyDescent="0.2">
      <c r="A249">
        <v>247</v>
      </c>
      <c r="B249" t="s">
        <v>10154</v>
      </c>
      <c r="C249" t="s">
        <v>10153</v>
      </c>
      <c r="D249" t="s">
        <v>10152</v>
      </c>
      <c r="F249" t="s">
        <v>10151</v>
      </c>
      <c r="G249" t="s">
        <v>15</v>
      </c>
      <c r="H249" t="s">
        <v>14</v>
      </c>
      <c r="I249" t="s">
        <v>10150</v>
      </c>
      <c r="J249">
        <v>60016605</v>
      </c>
      <c r="K249" t="s">
        <v>10149</v>
      </c>
      <c r="L249" t="s">
        <v>10148</v>
      </c>
      <c r="M249" t="s">
        <v>10147</v>
      </c>
      <c r="N249">
        <v>6</v>
      </c>
      <c r="O249" t="s">
        <v>10146</v>
      </c>
      <c r="P249" t="s">
        <v>10145</v>
      </c>
      <c r="Q249" t="s">
        <v>10144</v>
      </c>
      <c r="R249" s="7">
        <v>33970</v>
      </c>
      <c r="S249" s="8">
        <f t="shared" si="24"/>
        <v>1993</v>
      </c>
      <c r="T249" s="8">
        <v>1993</v>
      </c>
      <c r="U249" s="8">
        <f t="shared" si="25"/>
        <v>29</v>
      </c>
      <c r="V249" s="7">
        <v>34029</v>
      </c>
      <c r="W249" t="s">
        <v>10143</v>
      </c>
      <c r="X249" s="2">
        <v>0.47099999999999997</v>
      </c>
      <c r="Y249" s="6">
        <f t="shared" si="30"/>
        <v>1.2573075999039E-2</v>
      </c>
      <c r="AA249">
        <v>222860</v>
      </c>
      <c r="AB249">
        <v>24642</v>
      </c>
      <c r="AD249" t="s">
        <v>5</v>
      </c>
      <c r="AE249">
        <v>294</v>
      </c>
      <c r="AF249" t="s">
        <v>4857</v>
      </c>
      <c r="AH249" t="s">
        <v>10142</v>
      </c>
      <c r="AI249" t="s">
        <v>10141</v>
      </c>
      <c r="AK249" t="s">
        <v>10140</v>
      </c>
      <c r="AL249">
        <v>5</v>
      </c>
      <c r="AM249" s="5">
        <f t="shared" si="26"/>
        <v>0.17241379310344829</v>
      </c>
      <c r="AN249" s="4">
        <f t="shared" si="31"/>
        <v>2.6113410541983838E-4</v>
      </c>
      <c r="AO249" s="3"/>
      <c r="AP249">
        <v>0</v>
      </c>
      <c r="AR249" t="s">
        <v>1</v>
      </c>
      <c r="AT249" s="2">
        <v>3.1960000000000002</v>
      </c>
      <c r="AU249" s="1">
        <f t="shared" si="27"/>
        <v>0.88794934309532514</v>
      </c>
      <c r="AV249" s="1">
        <f t="shared" si="28"/>
        <v>0.64171050522294193</v>
      </c>
      <c r="AW249" s="1">
        <f t="shared" si="29"/>
        <v>0.39547166735055866</v>
      </c>
    </row>
    <row r="250" spans="1:49" x14ac:dyDescent="0.2">
      <c r="A250">
        <v>248</v>
      </c>
      <c r="B250" t="s">
        <v>10139</v>
      </c>
      <c r="C250" t="s">
        <v>10138</v>
      </c>
      <c r="F250" t="s">
        <v>10137</v>
      </c>
      <c r="G250" t="s">
        <v>15</v>
      </c>
      <c r="H250" t="s">
        <v>14</v>
      </c>
      <c r="I250" t="s">
        <v>10136</v>
      </c>
      <c r="J250" t="s">
        <v>10135</v>
      </c>
      <c r="K250" t="s">
        <v>10134</v>
      </c>
      <c r="L250" t="s">
        <v>10133</v>
      </c>
      <c r="M250" t="s">
        <v>235</v>
      </c>
      <c r="N250">
        <v>23</v>
      </c>
      <c r="O250" t="s">
        <v>10132</v>
      </c>
      <c r="P250" t="s">
        <v>10131</v>
      </c>
      <c r="Q250" t="s">
        <v>10130</v>
      </c>
      <c r="R250" s="7">
        <v>33970</v>
      </c>
      <c r="S250" s="8">
        <f t="shared" si="24"/>
        <v>1993</v>
      </c>
      <c r="T250" s="8">
        <v>1993</v>
      </c>
      <c r="U250" s="8">
        <f t="shared" si="25"/>
        <v>29</v>
      </c>
      <c r="V250" s="7">
        <v>1993</v>
      </c>
      <c r="W250" t="s">
        <v>192</v>
      </c>
      <c r="X250" s="2">
        <v>1.1879999999999999</v>
      </c>
      <c r="Y250" s="6">
        <f t="shared" si="30"/>
        <v>3.1712981500760788E-2</v>
      </c>
      <c r="AA250">
        <v>8998221</v>
      </c>
      <c r="AB250">
        <v>8900153323</v>
      </c>
      <c r="AD250" t="s">
        <v>5</v>
      </c>
      <c r="AE250">
        <v>5</v>
      </c>
      <c r="AF250">
        <v>7</v>
      </c>
      <c r="AH250" t="s">
        <v>10129</v>
      </c>
      <c r="AI250" t="s">
        <v>10128</v>
      </c>
      <c r="AK250" t="s">
        <v>10127</v>
      </c>
      <c r="AL250">
        <v>13</v>
      </c>
      <c r="AM250" s="5">
        <f t="shared" si="26"/>
        <v>0.44827586206896552</v>
      </c>
      <c r="AN250" s="4">
        <f t="shared" si="31"/>
        <v>6.7894867409157972E-4</v>
      </c>
      <c r="AO250" s="3"/>
      <c r="AP250">
        <v>0</v>
      </c>
      <c r="AR250" t="s">
        <v>1</v>
      </c>
      <c r="AT250" s="2" t="s">
        <v>0</v>
      </c>
      <c r="AU250" s="1">
        <f t="shared" si="27"/>
        <v>2.2402771652760025</v>
      </c>
      <c r="AV250" s="1">
        <f t="shared" si="28"/>
        <v>1.6195965087426183</v>
      </c>
      <c r="AW250" s="1">
        <f t="shared" si="29"/>
        <v>0.99891585220923429</v>
      </c>
    </row>
    <row r="251" spans="1:49" x14ac:dyDescent="0.2">
      <c r="A251">
        <v>249</v>
      </c>
      <c r="B251" t="s">
        <v>10126</v>
      </c>
      <c r="C251" t="s">
        <v>10125</v>
      </c>
      <c r="D251" t="s">
        <v>10124</v>
      </c>
      <c r="F251" t="s">
        <v>10123</v>
      </c>
      <c r="G251" t="s">
        <v>15</v>
      </c>
      <c r="H251" t="s">
        <v>14</v>
      </c>
      <c r="I251" t="s">
        <v>10122</v>
      </c>
      <c r="J251">
        <v>60015457</v>
      </c>
      <c r="K251" t="s">
        <v>4957</v>
      </c>
      <c r="L251" t="s">
        <v>4956</v>
      </c>
      <c r="M251" t="s">
        <v>10</v>
      </c>
      <c r="N251">
        <v>1</v>
      </c>
      <c r="O251" t="s">
        <v>10121</v>
      </c>
      <c r="P251">
        <v>7006041994</v>
      </c>
      <c r="Q251">
        <v>60015457</v>
      </c>
      <c r="R251" s="7">
        <v>33970</v>
      </c>
      <c r="S251" s="8">
        <f t="shared" si="24"/>
        <v>1993</v>
      </c>
      <c r="T251" s="8">
        <v>1993</v>
      </c>
      <c r="U251" s="8">
        <f t="shared" si="25"/>
        <v>29</v>
      </c>
      <c r="V251" s="7">
        <v>33970</v>
      </c>
      <c r="W251" t="s">
        <v>38</v>
      </c>
      <c r="X251" s="2">
        <v>0.89900000000000002</v>
      </c>
      <c r="Y251" s="6">
        <f t="shared" si="30"/>
        <v>2.399829155655215E-2</v>
      </c>
      <c r="AA251">
        <v>221910</v>
      </c>
      <c r="AB251">
        <v>20487</v>
      </c>
      <c r="AD251" t="s">
        <v>5</v>
      </c>
      <c r="AE251">
        <v>39</v>
      </c>
      <c r="AF251">
        <v>1</v>
      </c>
      <c r="AH251" t="s">
        <v>10120</v>
      </c>
      <c r="AI251" t="s">
        <v>10119</v>
      </c>
      <c r="AJ251" t="s">
        <v>10118</v>
      </c>
      <c r="AK251" t="s">
        <v>10117</v>
      </c>
      <c r="AL251">
        <v>31</v>
      </c>
      <c r="AM251" s="5">
        <f t="shared" si="26"/>
        <v>1.0689655172413792</v>
      </c>
      <c r="AN251" s="4">
        <f t="shared" si="31"/>
        <v>1.6190314536029978E-3</v>
      </c>
      <c r="AO251" s="3"/>
      <c r="AP251">
        <v>0</v>
      </c>
      <c r="AR251" t="s">
        <v>1</v>
      </c>
      <c r="AT251" s="2">
        <v>2.3540000000000001</v>
      </c>
      <c r="AU251" s="1">
        <f t="shared" si="27"/>
        <v>1.72845135256674</v>
      </c>
      <c r="AV251" s="1">
        <f t="shared" si="28"/>
        <v>1.2808661505077574</v>
      </c>
      <c r="AW251" s="1">
        <f t="shared" si="29"/>
        <v>0.83328094844877421</v>
      </c>
    </row>
    <row r="252" spans="1:49" x14ac:dyDescent="0.2">
      <c r="A252">
        <v>250</v>
      </c>
      <c r="B252" t="s">
        <v>10116</v>
      </c>
      <c r="C252" t="s">
        <v>10115</v>
      </c>
      <c r="D252">
        <v>1727293900179</v>
      </c>
      <c r="F252" t="s">
        <v>10114</v>
      </c>
      <c r="G252" t="s">
        <v>15</v>
      </c>
      <c r="H252" t="s">
        <v>14</v>
      </c>
      <c r="I252" t="s">
        <v>10113</v>
      </c>
      <c r="J252">
        <v>60016437</v>
      </c>
      <c r="K252" t="s">
        <v>10112</v>
      </c>
      <c r="L252" t="s">
        <v>2754</v>
      </c>
      <c r="M252" t="s">
        <v>120</v>
      </c>
      <c r="N252">
        <v>1</v>
      </c>
      <c r="O252" t="s">
        <v>10111</v>
      </c>
      <c r="P252">
        <v>6507404245</v>
      </c>
      <c r="Q252">
        <v>60016437</v>
      </c>
      <c r="R252" s="7">
        <v>33970</v>
      </c>
      <c r="S252" s="8">
        <f t="shared" si="24"/>
        <v>1993</v>
      </c>
      <c r="T252" s="8">
        <v>1993</v>
      </c>
      <c r="U252" s="8">
        <f t="shared" si="25"/>
        <v>29</v>
      </c>
      <c r="V252" s="7">
        <v>34029</v>
      </c>
      <c r="W252" t="s">
        <v>10110</v>
      </c>
      <c r="X252" s="2">
        <v>0.41399999999999998</v>
      </c>
      <c r="Y252" s="6">
        <f t="shared" si="30"/>
        <v>1.1051493553295428E-2</v>
      </c>
      <c r="AA252">
        <v>17272</v>
      </c>
      <c r="AB252">
        <v>24104</v>
      </c>
      <c r="AC252">
        <v>14636395</v>
      </c>
      <c r="AD252" t="s">
        <v>5</v>
      </c>
      <c r="AE252">
        <v>74</v>
      </c>
      <c r="AF252">
        <v>2</v>
      </c>
      <c r="AH252" t="s">
        <v>10109</v>
      </c>
      <c r="AI252" t="s">
        <v>10108</v>
      </c>
      <c r="AK252" t="s">
        <v>10107</v>
      </c>
      <c r="AL252">
        <v>22</v>
      </c>
      <c r="AM252" s="5">
        <f t="shared" si="26"/>
        <v>0.75862068965517238</v>
      </c>
      <c r="AN252" s="4">
        <f t="shared" si="31"/>
        <v>1.1489900638472887E-3</v>
      </c>
      <c r="AO252" s="3"/>
      <c r="AP252">
        <v>0</v>
      </c>
      <c r="AR252" t="s">
        <v>1</v>
      </c>
      <c r="AT252" s="2">
        <v>1.2609999999999999</v>
      </c>
      <c r="AU252" s="1">
        <f t="shared" si="27"/>
        <v>0.80807425064609839</v>
      </c>
      <c r="AV252" s="1">
        <f t="shared" si="28"/>
        <v>0.61002418085713583</v>
      </c>
      <c r="AW252" s="1">
        <f t="shared" si="29"/>
        <v>0.411974111068173</v>
      </c>
    </row>
    <row r="253" spans="1:49" x14ac:dyDescent="0.2">
      <c r="A253">
        <v>251</v>
      </c>
      <c r="B253" t="s">
        <v>10106</v>
      </c>
      <c r="C253" t="s">
        <v>10105</v>
      </c>
      <c r="D253" t="s">
        <v>10104</v>
      </c>
      <c r="F253" t="s">
        <v>10103</v>
      </c>
      <c r="G253" t="s">
        <v>15</v>
      </c>
      <c r="H253" t="s">
        <v>14</v>
      </c>
      <c r="I253" t="s">
        <v>10102</v>
      </c>
      <c r="J253">
        <v>60103678</v>
      </c>
      <c r="K253" t="s">
        <v>10101</v>
      </c>
      <c r="L253" t="s">
        <v>10100</v>
      </c>
      <c r="M253" t="s">
        <v>10</v>
      </c>
      <c r="N253">
        <v>1</v>
      </c>
      <c r="O253" t="s">
        <v>10099</v>
      </c>
      <c r="P253">
        <v>7402465354</v>
      </c>
      <c r="Q253">
        <v>60103678</v>
      </c>
      <c r="R253" s="7">
        <v>33970</v>
      </c>
      <c r="S253" s="8">
        <f t="shared" si="24"/>
        <v>1993</v>
      </c>
      <c r="T253" s="8">
        <v>1993</v>
      </c>
      <c r="U253" s="8">
        <f t="shared" si="25"/>
        <v>29</v>
      </c>
      <c r="V253" s="7">
        <v>34090</v>
      </c>
      <c r="W253" t="s">
        <v>38</v>
      </c>
      <c r="X253" s="2">
        <v>0.89900000000000002</v>
      </c>
      <c r="Y253" s="6">
        <f t="shared" si="30"/>
        <v>2.399829155655215E-2</v>
      </c>
      <c r="AA253">
        <v>221910</v>
      </c>
      <c r="AB253">
        <v>20487</v>
      </c>
      <c r="AD253" t="s">
        <v>5</v>
      </c>
      <c r="AE253">
        <v>39</v>
      </c>
      <c r="AF253">
        <v>5</v>
      </c>
      <c r="AH253" t="s">
        <v>10098</v>
      </c>
      <c r="AI253" t="s">
        <v>10097</v>
      </c>
      <c r="AJ253" t="s">
        <v>10096</v>
      </c>
      <c r="AK253" t="s">
        <v>10095</v>
      </c>
      <c r="AL253">
        <v>17</v>
      </c>
      <c r="AM253" s="5">
        <f t="shared" si="26"/>
        <v>0.58620689655172409</v>
      </c>
      <c r="AN253" s="4">
        <f t="shared" si="31"/>
        <v>8.8785595842745036E-4</v>
      </c>
      <c r="AO253" s="3"/>
      <c r="AP253">
        <v>0</v>
      </c>
      <c r="AR253" t="s">
        <v>1</v>
      </c>
      <c r="AT253" s="2">
        <v>2.3540000000000001</v>
      </c>
      <c r="AU253" s="1">
        <f t="shared" si="27"/>
        <v>1.7065160877114738</v>
      </c>
      <c r="AV253" s="1">
        <f t="shared" si="28"/>
        <v>1.24430737574898</v>
      </c>
      <c r="AW253" s="1">
        <f t="shared" si="29"/>
        <v>0.78209866378648596</v>
      </c>
    </row>
    <row r="254" spans="1:49" x14ac:dyDescent="0.2">
      <c r="A254">
        <v>252</v>
      </c>
      <c r="B254" t="s">
        <v>10094</v>
      </c>
      <c r="C254" t="s">
        <v>10093</v>
      </c>
      <c r="D254" t="s">
        <v>10092</v>
      </c>
      <c r="F254" t="s">
        <v>10091</v>
      </c>
      <c r="G254" t="s">
        <v>15</v>
      </c>
      <c r="H254" t="s">
        <v>14</v>
      </c>
      <c r="I254" t="s">
        <v>10090</v>
      </c>
      <c r="J254">
        <v>60011976</v>
      </c>
      <c r="K254" t="s">
        <v>10089</v>
      </c>
      <c r="L254" t="s">
        <v>10088</v>
      </c>
      <c r="M254" t="s">
        <v>10</v>
      </c>
      <c r="N254">
        <v>2</v>
      </c>
      <c r="O254" t="s">
        <v>10087</v>
      </c>
      <c r="P254" t="s">
        <v>10086</v>
      </c>
      <c r="Q254" t="s">
        <v>10085</v>
      </c>
      <c r="R254" s="7">
        <v>33970</v>
      </c>
      <c r="S254" s="8">
        <f t="shared" si="24"/>
        <v>1993</v>
      </c>
      <c r="T254" s="8">
        <v>1993</v>
      </c>
      <c r="U254" s="8">
        <f t="shared" si="25"/>
        <v>29</v>
      </c>
      <c r="V254" s="7">
        <v>34090</v>
      </c>
      <c r="W254" t="s">
        <v>1841</v>
      </c>
      <c r="X254" s="2">
        <v>0.51500000000000001</v>
      </c>
      <c r="Y254" s="6">
        <f t="shared" si="30"/>
        <v>1.374763086943755E-2</v>
      </c>
      <c r="AA254">
        <v>219169</v>
      </c>
      <c r="AB254">
        <v>30966</v>
      </c>
      <c r="AD254" t="s">
        <v>5</v>
      </c>
      <c r="AE254">
        <v>55</v>
      </c>
      <c r="AF254">
        <v>6</v>
      </c>
      <c r="AI254" t="s">
        <v>10084</v>
      </c>
      <c r="AK254" t="s">
        <v>10083</v>
      </c>
      <c r="AL254">
        <v>21</v>
      </c>
      <c r="AM254" s="5">
        <f t="shared" si="26"/>
        <v>0.72413793103448276</v>
      </c>
      <c r="AN254" s="4">
        <f t="shared" si="31"/>
        <v>1.0967632427633211E-3</v>
      </c>
      <c r="AO254" s="3"/>
      <c r="AP254">
        <v>0</v>
      </c>
      <c r="AR254" t="s">
        <v>1</v>
      </c>
      <c r="AT254" s="2" t="s">
        <v>0</v>
      </c>
      <c r="AU254" s="1">
        <f t="shared" si="27"/>
        <v>0.99523705814352803</v>
      </c>
      <c r="AV254" s="1">
        <f t="shared" si="28"/>
        <v>0.74221970561004347</v>
      </c>
      <c r="AW254" s="1">
        <f t="shared" si="29"/>
        <v>0.48920235307655902</v>
      </c>
    </row>
    <row r="255" spans="1:49" x14ac:dyDescent="0.2">
      <c r="A255">
        <v>253</v>
      </c>
      <c r="B255" t="s">
        <v>10082</v>
      </c>
      <c r="C255" t="s">
        <v>10081</v>
      </c>
      <c r="D255" t="s">
        <v>10080</v>
      </c>
      <c r="F255" t="s">
        <v>10079</v>
      </c>
      <c r="G255" t="s">
        <v>15</v>
      </c>
      <c r="H255" t="s">
        <v>14</v>
      </c>
      <c r="I255" t="s">
        <v>10078</v>
      </c>
      <c r="J255">
        <v>60000765</v>
      </c>
      <c r="K255" t="s">
        <v>536</v>
      </c>
      <c r="L255" t="s">
        <v>535</v>
      </c>
      <c r="M255" t="s">
        <v>59</v>
      </c>
      <c r="N255">
        <v>8</v>
      </c>
      <c r="O255" t="s">
        <v>10077</v>
      </c>
      <c r="P255" t="s">
        <v>10076</v>
      </c>
      <c r="Q255" t="s">
        <v>10075</v>
      </c>
      <c r="R255" s="7">
        <v>33970</v>
      </c>
      <c r="S255" s="8">
        <f t="shared" si="24"/>
        <v>1993</v>
      </c>
      <c r="T255" s="8">
        <v>1993</v>
      </c>
      <c r="U255" s="8">
        <f t="shared" si="25"/>
        <v>29</v>
      </c>
      <c r="V255" s="7">
        <v>34243</v>
      </c>
      <c r="W255" t="s">
        <v>70</v>
      </c>
      <c r="X255" s="2">
        <v>1.718</v>
      </c>
      <c r="Y255" s="6">
        <f t="shared" si="30"/>
        <v>4.5861028803288753E-2</v>
      </c>
      <c r="AA255">
        <v>9651748</v>
      </c>
      <c r="AB255">
        <v>20384</v>
      </c>
      <c r="AD255" t="s">
        <v>5</v>
      </c>
      <c r="AE255">
        <v>23</v>
      </c>
      <c r="AF255">
        <v>7</v>
      </c>
      <c r="AH255" t="s">
        <v>10074</v>
      </c>
      <c r="AI255" t="s">
        <v>10073</v>
      </c>
      <c r="AJ255" t="s">
        <v>10072</v>
      </c>
      <c r="AK255" t="s">
        <v>10071</v>
      </c>
      <c r="AL255">
        <v>7</v>
      </c>
      <c r="AM255" s="5">
        <f t="shared" si="26"/>
        <v>0.2413793103448276</v>
      </c>
      <c r="AN255" s="4">
        <f t="shared" si="31"/>
        <v>3.655877475877737E-4</v>
      </c>
      <c r="AO255" s="3"/>
      <c r="AP255">
        <v>0</v>
      </c>
      <c r="AQ255" t="s">
        <v>172</v>
      </c>
      <c r="AR255" t="s">
        <v>1</v>
      </c>
      <c r="AS255" t="s">
        <v>1481</v>
      </c>
      <c r="AT255" s="2" t="s">
        <v>0</v>
      </c>
      <c r="AU255" s="1">
        <f t="shared" si="27"/>
        <v>3.2212396486578454</v>
      </c>
      <c r="AV255" s="1">
        <f t="shared" si="28"/>
        <v>2.3113308275438267</v>
      </c>
      <c r="AW255" s="1">
        <f t="shared" si="29"/>
        <v>1.4014220064298066</v>
      </c>
    </row>
    <row r="256" spans="1:49" x14ac:dyDescent="0.2">
      <c r="A256">
        <v>254</v>
      </c>
      <c r="B256" t="s">
        <v>10070</v>
      </c>
      <c r="C256" t="s">
        <v>10069</v>
      </c>
      <c r="D256" t="s">
        <v>10068</v>
      </c>
      <c r="F256" t="s">
        <v>10067</v>
      </c>
      <c r="G256" t="s">
        <v>15</v>
      </c>
      <c r="H256" t="s">
        <v>14</v>
      </c>
      <c r="I256" t="s">
        <v>10066</v>
      </c>
      <c r="J256">
        <v>60032280</v>
      </c>
      <c r="K256" t="s">
        <v>10065</v>
      </c>
      <c r="L256" t="s">
        <v>2919</v>
      </c>
      <c r="M256" t="s">
        <v>10</v>
      </c>
      <c r="N256">
        <v>3</v>
      </c>
      <c r="O256" t="s">
        <v>10064</v>
      </c>
      <c r="P256" t="s">
        <v>10063</v>
      </c>
      <c r="Q256" t="s">
        <v>10062</v>
      </c>
      <c r="R256" s="7">
        <v>33970</v>
      </c>
      <c r="S256" s="8">
        <f t="shared" si="24"/>
        <v>1993</v>
      </c>
      <c r="T256" s="8">
        <v>1993</v>
      </c>
      <c r="U256" s="8">
        <f t="shared" si="25"/>
        <v>29</v>
      </c>
      <c r="V256" s="7">
        <v>34304</v>
      </c>
      <c r="W256" t="s">
        <v>10061</v>
      </c>
      <c r="X256" s="2">
        <v>0.998</v>
      </c>
      <c r="Y256" s="6">
        <f t="shared" si="30"/>
        <v>2.664104001494888E-2</v>
      </c>
      <c r="AA256">
        <v>207322</v>
      </c>
      <c r="AB256">
        <v>90127</v>
      </c>
      <c r="AD256" t="s">
        <v>5</v>
      </c>
      <c r="AE256">
        <v>22</v>
      </c>
      <c r="AF256">
        <v>5</v>
      </c>
      <c r="AH256" t="s">
        <v>10060</v>
      </c>
      <c r="AI256" t="s">
        <v>10059</v>
      </c>
      <c r="AJ256" t="s">
        <v>10058</v>
      </c>
      <c r="AK256" t="s">
        <v>10057</v>
      </c>
      <c r="AL256">
        <v>12</v>
      </c>
      <c r="AM256" s="5">
        <f t="shared" si="26"/>
        <v>0.41379310344827586</v>
      </c>
      <c r="AN256" s="4">
        <f t="shared" si="31"/>
        <v>6.2672185300761203E-4</v>
      </c>
      <c r="AO256" s="3"/>
      <c r="AP256">
        <v>0</v>
      </c>
      <c r="AR256" t="s">
        <v>1</v>
      </c>
      <c r="AT256" s="2" t="s">
        <v>0</v>
      </c>
      <c r="AU256" s="1">
        <f t="shared" si="27"/>
        <v>1.8836744566366501</v>
      </c>
      <c r="AV256" s="1">
        <f t="shared" si="28"/>
        <v>1.3633880933978246</v>
      </c>
      <c r="AW256" s="1">
        <f t="shared" si="29"/>
        <v>0.84310173015899936</v>
      </c>
    </row>
    <row r="257" spans="1:49" x14ac:dyDescent="0.2">
      <c r="A257">
        <v>255</v>
      </c>
      <c r="B257" t="s">
        <v>10056</v>
      </c>
      <c r="C257" t="s">
        <v>10055</v>
      </c>
      <c r="D257">
        <v>21916993901025</v>
      </c>
      <c r="F257" t="s">
        <v>10054</v>
      </c>
      <c r="G257" t="s">
        <v>15</v>
      </c>
      <c r="H257" t="s">
        <v>14</v>
      </c>
      <c r="I257" t="s">
        <v>10053</v>
      </c>
      <c r="J257">
        <v>60017695</v>
      </c>
      <c r="K257" t="s">
        <v>10052</v>
      </c>
      <c r="L257" t="s">
        <v>10051</v>
      </c>
      <c r="M257" t="s">
        <v>59</v>
      </c>
      <c r="N257">
        <v>2</v>
      </c>
      <c r="O257" t="s">
        <v>10050</v>
      </c>
      <c r="P257" t="s">
        <v>10049</v>
      </c>
      <c r="Q257" t="s">
        <v>10048</v>
      </c>
      <c r="R257" s="7">
        <v>33970</v>
      </c>
      <c r="S257" s="8">
        <f t="shared" ref="S257:S320" si="32">YEAR(R257)</f>
        <v>1993</v>
      </c>
      <c r="T257" s="8">
        <v>1993</v>
      </c>
      <c r="U257" s="8">
        <f t="shared" ref="U257:U320" si="33">2022-T257</f>
        <v>29</v>
      </c>
      <c r="V257" s="7">
        <v>34182</v>
      </c>
      <c r="W257" t="s">
        <v>1841</v>
      </c>
      <c r="X257" s="2">
        <v>0.51500000000000001</v>
      </c>
      <c r="Y257" s="6">
        <f t="shared" si="30"/>
        <v>1.374763086943755E-2</v>
      </c>
      <c r="AA257">
        <v>219169</v>
      </c>
      <c r="AB257">
        <v>30966</v>
      </c>
      <c r="AD257" t="s">
        <v>5</v>
      </c>
      <c r="AE257">
        <v>55</v>
      </c>
      <c r="AF257">
        <v>10</v>
      </c>
      <c r="AH257" t="s">
        <v>10047</v>
      </c>
      <c r="AI257" t="s">
        <v>10046</v>
      </c>
      <c r="AK257" t="s">
        <v>10045</v>
      </c>
      <c r="AL257">
        <v>25</v>
      </c>
      <c r="AM257" s="5">
        <f t="shared" ref="AM257:AM320" si="34">AL257/U257</f>
        <v>0.86206896551724133</v>
      </c>
      <c r="AN257" s="4">
        <f t="shared" si="31"/>
        <v>1.3056705270991916E-3</v>
      </c>
      <c r="AO257" s="3"/>
      <c r="AP257">
        <v>0</v>
      </c>
      <c r="AR257" t="s">
        <v>1</v>
      </c>
      <c r="AT257" s="2" t="s">
        <v>0</v>
      </c>
      <c r="AU257" s="1">
        <f t="shared" ref="AU257:AU320" si="35">(Y257*0.7+AN257*0.3)*100</f>
        <v>1.0015042766736042</v>
      </c>
      <c r="AV257" s="1">
        <f t="shared" ref="AV257:AV320" si="36">(Y257*0.5+AN257*0.5)*100</f>
        <v>0.75266506982683712</v>
      </c>
      <c r="AW257" s="1">
        <f t="shared" ref="AW257:AW320" si="37">(Y257*0.3+AN257*0.7)*100</f>
        <v>0.50382586298006993</v>
      </c>
    </row>
    <row r="258" spans="1:49" x14ac:dyDescent="0.2">
      <c r="A258">
        <v>256</v>
      </c>
      <c r="B258" t="s">
        <v>10044</v>
      </c>
      <c r="C258" t="s">
        <v>10043</v>
      </c>
      <c r="D258" t="s">
        <v>10042</v>
      </c>
      <c r="F258" t="s">
        <v>10041</v>
      </c>
      <c r="G258" t="s">
        <v>15</v>
      </c>
      <c r="H258" t="s">
        <v>14</v>
      </c>
      <c r="I258" t="s">
        <v>10040</v>
      </c>
      <c r="J258">
        <v>60017592</v>
      </c>
      <c r="K258" t="s">
        <v>10039</v>
      </c>
      <c r="L258" t="s">
        <v>1738</v>
      </c>
      <c r="M258" t="s">
        <v>508</v>
      </c>
      <c r="N258">
        <v>5</v>
      </c>
      <c r="O258" t="s">
        <v>10038</v>
      </c>
      <c r="P258" t="s">
        <v>10037</v>
      </c>
      <c r="Q258" t="s">
        <v>10036</v>
      </c>
      <c r="R258" s="7">
        <v>33970</v>
      </c>
      <c r="S258" s="8">
        <f t="shared" si="32"/>
        <v>1993</v>
      </c>
      <c r="T258" s="8">
        <v>1993</v>
      </c>
      <c r="U258" s="8">
        <f t="shared" si="33"/>
        <v>29</v>
      </c>
      <c r="V258" s="7">
        <v>34151</v>
      </c>
      <c r="W258" t="s">
        <v>10035</v>
      </c>
      <c r="X258" s="2" t="s">
        <v>0</v>
      </c>
      <c r="Y258" s="6" t="e">
        <f t="shared" ref="Y258:Y321" si="38">(X258-$Z$4)/($Z$3-$Z$4)</f>
        <v>#VALUE!</v>
      </c>
      <c r="AA258">
        <v>10512004</v>
      </c>
      <c r="AB258">
        <v>24306</v>
      </c>
      <c r="AD258" t="s">
        <v>5</v>
      </c>
      <c r="AE258">
        <v>3</v>
      </c>
      <c r="AF258">
        <v>3</v>
      </c>
      <c r="AH258" t="s">
        <v>10034</v>
      </c>
      <c r="AI258" t="s">
        <v>10033</v>
      </c>
      <c r="AK258" t="s">
        <v>10032</v>
      </c>
      <c r="AL258">
        <v>26</v>
      </c>
      <c r="AM258" s="5">
        <f t="shared" si="34"/>
        <v>0.89655172413793105</v>
      </c>
      <c r="AN258" s="4">
        <f t="shared" ref="AN258:AN321" si="39">(AM258-$AO$4)/($AO$3-$AO$4)</f>
        <v>1.3578973481831594E-3</v>
      </c>
      <c r="AO258" s="3"/>
      <c r="AP258">
        <v>0</v>
      </c>
      <c r="AR258" t="s">
        <v>1</v>
      </c>
      <c r="AT258" s="2">
        <v>3.3809999999999998</v>
      </c>
      <c r="AU258" s="1" t="e">
        <f t="shared" si="35"/>
        <v>#VALUE!</v>
      </c>
      <c r="AV258" s="1" t="e">
        <f t="shared" si="36"/>
        <v>#VALUE!</v>
      </c>
      <c r="AW258" s="1" t="e">
        <f t="shared" si="37"/>
        <v>#VALUE!</v>
      </c>
    </row>
    <row r="259" spans="1:49" x14ac:dyDescent="0.2">
      <c r="A259">
        <v>257</v>
      </c>
      <c r="B259" t="s">
        <v>10031</v>
      </c>
      <c r="C259" t="s">
        <v>10030</v>
      </c>
      <c r="F259" t="s">
        <v>10029</v>
      </c>
      <c r="G259" t="s">
        <v>15</v>
      </c>
      <c r="H259" t="s">
        <v>14</v>
      </c>
      <c r="I259" t="s">
        <v>10028</v>
      </c>
      <c r="J259" t="s">
        <v>10027</v>
      </c>
      <c r="K259" t="s">
        <v>10026</v>
      </c>
      <c r="L259" t="s">
        <v>10025</v>
      </c>
      <c r="M259" t="s">
        <v>10024</v>
      </c>
      <c r="N259">
        <v>4</v>
      </c>
      <c r="O259" t="s">
        <v>10023</v>
      </c>
      <c r="P259" t="s">
        <v>10022</v>
      </c>
      <c r="Q259" t="s">
        <v>10021</v>
      </c>
      <c r="R259" s="7">
        <v>33970</v>
      </c>
      <c r="S259" s="8">
        <f t="shared" si="32"/>
        <v>1993</v>
      </c>
      <c r="T259" s="8">
        <v>1993</v>
      </c>
      <c r="U259" s="8">
        <f t="shared" si="33"/>
        <v>29</v>
      </c>
      <c r="V259" s="7">
        <v>1993</v>
      </c>
      <c r="W259" t="s">
        <v>192</v>
      </c>
      <c r="X259" s="2">
        <v>1.1879999999999999</v>
      </c>
      <c r="Y259" s="6">
        <f t="shared" si="38"/>
        <v>3.1712981500760788E-2</v>
      </c>
      <c r="AA259">
        <v>8998221</v>
      </c>
      <c r="AB259">
        <v>8900153323</v>
      </c>
      <c r="AD259" t="s">
        <v>5</v>
      </c>
      <c r="AE259">
        <v>5</v>
      </c>
      <c r="AF259">
        <v>10</v>
      </c>
      <c r="AH259" t="s">
        <v>10020</v>
      </c>
      <c r="AI259" t="s">
        <v>10019</v>
      </c>
      <c r="AK259" t="s">
        <v>10018</v>
      </c>
      <c r="AL259">
        <v>70</v>
      </c>
      <c r="AM259" s="5">
        <f t="shared" si="34"/>
        <v>2.4137931034482758</v>
      </c>
      <c r="AN259" s="4">
        <f t="shared" si="39"/>
        <v>3.655877475877737E-3</v>
      </c>
      <c r="AO259" s="3"/>
      <c r="AP259">
        <v>0</v>
      </c>
      <c r="AR259" t="s">
        <v>1</v>
      </c>
      <c r="AT259" s="2" t="s">
        <v>0</v>
      </c>
      <c r="AU259" s="1">
        <f t="shared" si="35"/>
        <v>2.329585029329587</v>
      </c>
      <c r="AV259" s="1">
        <f t="shared" si="36"/>
        <v>1.7684429488319262</v>
      </c>
      <c r="AW259" s="1">
        <f t="shared" si="37"/>
        <v>1.2073008683342652</v>
      </c>
    </row>
    <row r="260" spans="1:49" x14ac:dyDescent="0.2">
      <c r="A260">
        <v>258</v>
      </c>
      <c r="B260" t="s">
        <v>10017</v>
      </c>
      <c r="C260" t="s">
        <v>10016</v>
      </c>
      <c r="F260" t="s">
        <v>10015</v>
      </c>
      <c r="G260" t="s">
        <v>15</v>
      </c>
      <c r="H260" t="s">
        <v>14</v>
      </c>
      <c r="I260" t="s">
        <v>10014</v>
      </c>
      <c r="J260" t="s">
        <v>10013</v>
      </c>
      <c r="K260" t="s">
        <v>10012</v>
      </c>
      <c r="L260" t="s">
        <v>10011</v>
      </c>
      <c r="M260" t="s">
        <v>235</v>
      </c>
      <c r="N260">
        <v>2</v>
      </c>
      <c r="O260" t="s">
        <v>10010</v>
      </c>
      <c r="P260" t="s">
        <v>10009</v>
      </c>
      <c r="Q260" t="s">
        <v>10008</v>
      </c>
      <c r="R260" s="7">
        <v>33970</v>
      </c>
      <c r="S260" s="8">
        <f t="shared" si="32"/>
        <v>1993</v>
      </c>
      <c r="T260" s="8">
        <v>1993</v>
      </c>
      <c r="U260" s="8">
        <f t="shared" si="33"/>
        <v>29</v>
      </c>
      <c r="V260" s="7">
        <v>1993</v>
      </c>
      <c r="W260" t="s">
        <v>192</v>
      </c>
      <c r="X260" s="2">
        <v>1.1879999999999999</v>
      </c>
      <c r="Y260" s="6">
        <f t="shared" si="38"/>
        <v>3.1712981500760788E-2</v>
      </c>
      <c r="AA260">
        <v>8998221</v>
      </c>
      <c r="AB260">
        <v>8900153323</v>
      </c>
      <c r="AD260" t="s">
        <v>5</v>
      </c>
      <c r="AE260">
        <v>5</v>
      </c>
      <c r="AF260">
        <v>4</v>
      </c>
      <c r="AH260" t="s">
        <v>10007</v>
      </c>
      <c r="AI260" t="s">
        <v>10006</v>
      </c>
      <c r="AK260" t="s">
        <v>10005</v>
      </c>
      <c r="AL260">
        <v>0</v>
      </c>
      <c r="AM260" s="5">
        <f t="shared" si="34"/>
        <v>0</v>
      </c>
      <c r="AN260" s="4">
        <f t="shared" si="39"/>
        <v>0</v>
      </c>
      <c r="AO260" s="3"/>
      <c r="AP260">
        <v>0</v>
      </c>
      <c r="AR260" t="s">
        <v>1</v>
      </c>
      <c r="AT260" s="2" t="s">
        <v>0</v>
      </c>
      <c r="AU260" s="1">
        <f t="shared" si="35"/>
        <v>2.2199087050532551</v>
      </c>
      <c r="AV260" s="1">
        <f t="shared" si="36"/>
        <v>1.5856490750380394</v>
      </c>
      <c r="AW260" s="1">
        <f t="shared" si="37"/>
        <v>0.95138944502282363</v>
      </c>
    </row>
    <row r="261" spans="1:49" x14ac:dyDescent="0.2">
      <c r="A261">
        <v>259</v>
      </c>
      <c r="B261" t="s">
        <v>10004</v>
      </c>
      <c r="C261" t="s">
        <v>10003</v>
      </c>
      <c r="F261" t="s">
        <v>10002</v>
      </c>
      <c r="G261" t="s">
        <v>15</v>
      </c>
      <c r="H261" t="s">
        <v>14</v>
      </c>
      <c r="I261" t="s">
        <v>10001</v>
      </c>
      <c r="J261">
        <v>60012317</v>
      </c>
      <c r="K261" t="s">
        <v>10000</v>
      </c>
      <c r="L261" t="s">
        <v>9999</v>
      </c>
      <c r="M261" t="s">
        <v>10</v>
      </c>
      <c r="N261">
        <v>1</v>
      </c>
      <c r="O261" t="s">
        <v>9998</v>
      </c>
      <c r="P261">
        <v>6701741338</v>
      </c>
      <c r="Q261">
        <v>60012317</v>
      </c>
      <c r="R261" s="7">
        <v>33970</v>
      </c>
      <c r="S261" s="8">
        <f t="shared" si="32"/>
        <v>1993</v>
      </c>
      <c r="T261" s="8">
        <v>1993</v>
      </c>
      <c r="U261" s="8">
        <f t="shared" si="33"/>
        <v>29</v>
      </c>
      <c r="V261" s="7">
        <v>1993</v>
      </c>
      <c r="W261" t="s">
        <v>9997</v>
      </c>
      <c r="X261" s="2">
        <v>0.89600000000000002</v>
      </c>
      <c r="Y261" s="6">
        <f t="shared" si="38"/>
        <v>2.3918208269934065E-2</v>
      </c>
      <c r="AA261" t="s">
        <v>9996</v>
      </c>
      <c r="AB261">
        <v>21100855841</v>
      </c>
      <c r="AD261" t="s">
        <v>5</v>
      </c>
      <c r="AE261">
        <v>48</v>
      </c>
      <c r="AF261">
        <v>3</v>
      </c>
      <c r="AH261" t="s">
        <v>9995</v>
      </c>
      <c r="AI261" t="s">
        <v>9994</v>
      </c>
      <c r="AK261" t="s">
        <v>9993</v>
      </c>
      <c r="AL261">
        <v>2</v>
      </c>
      <c r="AM261" s="5">
        <f t="shared" si="34"/>
        <v>6.8965517241379309E-2</v>
      </c>
      <c r="AN261" s="4">
        <f t="shared" si="39"/>
        <v>1.0445364216793535E-4</v>
      </c>
      <c r="AO261" s="3"/>
      <c r="AP261">
        <v>0</v>
      </c>
      <c r="AR261" t="s">
        <v>1</v>
      </c>
      <c r="AT261" s="2">
        <v>2.5289999999999999</v>
      </c>
      <c r="AU261" s="1">
        <f t="shared" si="35"/>
        <v>1.6774081881604224</v>
      </c>
      <c r="AV261" s="1">
        <f t="shared" si="36"/>
        <v>1.2011330956050998</v>
      </c>
      <c r="AW261" s="1">
        <f t="shared" si="37"/>
        <v>0.72485800304977732</v>
      </c>
    </row>
    <row r="262" spans="1:49" x14ac:dyDescent="0.2">
      <c r="A262">
        <v>260</v>
      </c>
      <c r="B262" t="s">
        <v>9992</v>
      </c>
      <c r="C262" t="s">
        <v>9991</v>
      </c>
      <c r="D262" t="s">
        <v>9990</v>
      </c>
      <c r="F262" t="s">
        <v>9989</v>
      </c>
      <c r="G262" t="s">
        <v>15</v>
      </c>
      <c r="H262" t="s">
        <v>14</v>
      </c>
      <c r="I262" t="s">
        <v>9988</v>
      </c>
      <c r="J262">
        <v>100958618</v>
      </c>
      <c r="K262" t="s">
        <v>9987</v>
      </c>
      <c r="L262" t="s">
        <v>9986</v>
      </c>
      <c r="M262" t="s">
        <v>10</v>
      </c>
      <c r="N262">
        <v>1</v>
      </c>
      <c r="O262" t="s">
        <v>9985</v>
      </c>
      <c r="P262">
        <v>6506331886</v>
      </c>
      <c r="Q262">
        <v>100958618</v>
      </c>
      <c r="R262" s="7">
        <v>33970</v>
      </c>
      <c r="S262" s="8">
        <f t="shared" si="32"/>
        <v>1993</v>
      </c>
      <c r="T262" s="8">
        <v>1993</v>
      </c>
      <c r="U262" s="8">
        <f t="shared" si="33"/>
        <v>29</v>
      </c>
      <c r="V262" s="7">
        <v>34060</v>
      </c>
      <c r="W262" t="s">
        <v>9984</v>
      </c>
      <c r="X262" s="2">
        <v>3.8519999999999999</v>
      </c>
      <c r="Y262" s="6">
        <f t="shared" si="38"/>
        <v>0.10282694001761833</v>
      </c>
      <c r="AA262">
        <v>246301</v>
      </c>
      <c r="AB262">
        <v>21203</v>
      </c>
      <c r="AD262" t="s">
        <v>5</v>
      </c>
      <c r="AE262">
        <v>26</v>
      </c>
      <c r="AF262">
        <v>2</v>
      </c>
      <c r="AH262" t="s">
        <v>9983</v>
      </c>
      <c r="AI262" t="s">
        <v>9982</v>
      </c>
      <c r="AK262" t="s">
        <v>9981</v>
      </c>
      <c r="AL262">
        <v>5</v>
      </c>
      <c r="AM262" s="5">
        <f t="shared" si="34"/>
        <v>0.17241379310344829</v>
      </c>
      <c r="AN262" s="4">
        <f t="shared" si="39"/>
        <v>2.6113410541983838E-4</v>
      </c>
      <c r="AO262" s="3"/>
      <c r="AP262">
        <v>0</v>
      </c>
      <c r="AR262" t="s">
        <v>1</v>
      </c>
      <c r="AT262" s="2">
        <v>8.8019999999999996</v>
      </c>
      <c r="AU262" s="1">
        <f t="shared" si="35"/>
        <v>7.2057198243958771</v>
      </c>
      <c r="AV262" s="1">
        <f t="shared" si="36"/>
        <v>5.1544037061519079</v>
      </c>
      <c r="AW262" s="1">
        <f t="shared" si="37"/>
        <v>3.1030875879079387</v>
      </c>
    </row>
    <row r="263" spans="1:49" x14ac:dyDescent="0.2">
      <c r="A263">
        <v>261</v>
      </c>
      <c r="B263" t="s">
        <v>9980</v>
      </c>
      <c r="C263" t="s">
        <v>9979</v>
      </c>
      <c r="F263" t="s">
        <v>9978</v>
      </c>
      <c r="G263" t="s">
        <v>15</v>
      </c>
      <c r="H263" t="s">
        <v>14</v>
      </c>
      <c r="I263" t="s">
        <v>9977</v>
      </c>
      <c r="N263">
        <v>1</v>
      </c>
      <c r="O263" t="s">
        <v>9976</v>
      </c>
      <c r="P263">
        <v>6701411909</v>
      </c>
      <c r="R263" s="7">
        <v>33970</v>
      </c>
      <c r="S263" s="8">
        <f t="shared" si="32"/>
        <v>1993</v>
      </c>
      <c r="T263" s="8">
        <v>1993</v>
      </c>
      <c r="U263" s="8">
        <f t="shared" si="33"/>
        <v>29</v>
      </c>
      <c r="V263" s="7">
        <v>33970</v>
      </c>
      <c r="W263" t="s">
        <v>9975</v>
      </c>
      <c r="X263" s="2">
        <v>0.14899999999999999</v>
      </c>
      <c r="Y263" s="6">
        <f t="shared" si="38"/>
        <v>3.977469902031446E-3</v>
      </c>
      <c r="AA263">
        <v>5431972</v>
      </c>
      <c r="AB263">
        <v>15425</v>
      </c>
      <c r="AC263">
        <v>15738906</v>
      </c>
      <c r="AD263" t="s">
        <v>5</v>
      </c>
      <c r="AE263">
        <v>36</v>
      </c>
      <c r="AF263">
        <v>1</v>
      </c>
      <c r="AH263" t="s">
        <v>9974</v>
      </c>
      <c r="AL263">
        <v>0</v>
      </c>
      <c r="AM263" s="5">
        <f t="shared" si="34"/>
        <v>0</v>
      </c>
      <c r="AN263" s="4">
        <f t="shared" si="39"/>
        <v>0</v>
      </c>
      <c r="AO263" s="3"/>
      <c r="AP263">
        <v>0</v>
      </c>
      <c r="AR263" t="s">
        <v>1</v>
      </c>
      <c r="AT263" s="2" t="s">
        <v>0</v>
      </c>
      <c r="AU263" s="1">
        <f t="shared" si="35"/>
        <v>0.2784228931422012</v>
      </c>
      <c r="AV263" s="1">
        <f t="shared" si="36"/>
        <v>0.19887349510157229</v>
      </c>
      <c r="AW263" s="1">
        <f t="shared" si="37"/>
        <v>0.11932409706094337</v>
      </c>
    </row>
    <row r="264" spans="1:49" x14ac:dyDescent="0.2">
      <c r="A264">
        <v>262</v>
      </c>
      <c r="B264" t="s">
        <v>9973</v>
      </c>
      <c r="C264" t="s">
        <v>9972</v>
      </c>
      <c r="F264" t="s">
        <v>9971</v>
      </c>
      <c r="G264" t="s">
        <v>15</v>
      </c>
      <c r="H264" t="s">
        <v>14</v>
      </c>
      <c r="I264" t="s">
        <v>4498</v>
      </c>
      <c r="J264">
        <v>60010065</v>
      </c>
      <c r="K264" t="s">
        <v>1429</v>
      </c>
      <c r="L264" t="s">
        <v>1428</v>
      </c>
      <c r="M264" t="s">
        <v>10</v>
      </c>
      <c r="N264">
        <v>2</v>
      </c>
      <c r="O264" t="s">
        <v>9970</v>
      </c>
      <c r="P264" t="s">
        <v>4496</v>
      </c>
      <c r="Q264" t="s">
        <v>1425</v>
      </c>
      <c r="R264" s="7">
        <v>33970</v>
      </c>
      <c r="S264" s="8">
        <f t="shared" si="32"/>
        <v>1993</v>
      </c>
      <c r="T264" s="8">
        <v>1993</v>
      </c>
      <c r="U264" s="8">
        <f t="shared" si="33"/>
        <v>29</v>
      </c>
      <c r="V264" s="7">
        <v>1993</v>
      </c>
      <c r="W264" t="s">
        <v>329</v>
      </c>
      <c r="X264" s="2">
        <v>0.28599999999999998</v>
      </c>
      <c r="Y264" s="6">
        <f t="shared" si="38"/>
        <v>7.6346066575905605E-3</v>
      </c>
      <c r="AA264">
        <v>9205071</v>
      </c>
      <c r="AB264">
        <v>28139</v>
      </c>
      <c r="AC264">
        <v>15693937</v>
      </c>
      <c r="AD264" t="s">
        <v>5</v>
      </c>
      <c r="AE264">
        <v>7</v>
      </c>
      <c r="AF264">
        <v>3</v>
      </c>
      <c r="AH264" t="s">
        <v>9969</v>
      </c>
      <c r="AI264" t="s">
        <v>9968</v>
      </c>
      <c r="AK264" t="s">
        <v>9967</v>
      </c>
      <c r="AL264">
        <v>3</v>
      </c>
      <c r="AM264" s="5">
        <f t="shared" si="34"/>
        <v>0.10344827586206896</v>
      </c>
      <c r="AN264" s="4">
        <f t="shared" si="39"/>
        <v>1.5668046325190301E-4</v>
      </c>
      <c r="AO264" s="3"/>
      <c r="AP264">
        <v>0</v>
      </c>
      <c r="AR264" t="s">
        <v>1</v>
      </c>
      <c r="AT264" s="2" t="s">
        <v>0</v>
      </c>
      <c r="AU264" s="1">
        <f t="shared" si="35"/>
        <v>0.5391228799288964</v>
      </c>
      <c r="AV264" s="1">
        <f t="shared" si="36"/>
        <v>0.38956435604212319</v>
      </c>
      <c r="AW264" s="1">
        <f t="shared" si="37"/>
        <v>0.24000583215535004</v>
      </c>
    </row>
    <row r="265" spans="1:49" x14ac:dyDescent="0.2">
      <c r="A265">
        <v>263</v>
      </c>
      <c r="B265" t="s">
        <v>9966</v>
      </c>
      <c r="C265" t="s">
        <v>9965</v>
      </c>
      <c r="F265" t="s">
        <v>9964</v>
      </c>
      <c r="G265" t="s">
        <v>15</v>
      </c>
      <c r="H265" t="s">
        <v>14</v>
      </c>
      <c r="I265" t="s">
        <v>9963</v>
      </c>
      <c r="N265">
        <v>2</v>
      </c>
      <c r="O265" t="s">
        <v>9962</v>
      </c>
      <c r="P265" t="s">
        <v>9961</v>
      </c>
      <c r="Q265" t="s">
        <v>1557</v>
      </c>
      <c r="R265" s="7">
        <v>33970</v>
      </c>
      <c r="S265" s="8">
        <f t="shared" si="32"/>
        <v>1993</v>
      </c>
      <c r="T265" s="8">
        <v>1993</v>
      </c>
      <c r="U265" s="8">
        <f t="shared" si="33"/>
        <v>29</v>
      </c>
      <c r="V265" s="7">
        <v>33970</v>
      </c>
      <c r="W265" t="s">
        <v>9960</v>
      </c>
      <c r="X265" s="2">
        <v>0.318</v>
      </c>
      <c r="Y265" s="6">
        <f t="shared" si="38"/>
        <v>8.4888283815167786E-3</v>
      </c>
      <c r="AA265">
        <v>338443</v>
      </c>
      <c r="AB265">
        <v>27160</v>
      </c>
      <c r="AC265">
        <v>15739120</v>
      </c>
      <c r="AD265" t="s">
        <v>5</v>
      </c>
      <c r="AE265">
        <v>36</v>
      </c>
      <c r="AF265">
        <v>1</v>
      </c>
      <c r="AH265" s="9">
        <v>44440</v>
      </c>
      <c r="AI265" t="s">
        <v>9959</v>
      </c>
      <c r="AK265" t="s">
        <v>9958</v>
      </c>
      <c r="AL265">
        <v>3</v>
      </c>
      <c r="AM265" s="5">
        <f t="shared" si="34"/>
        <v>0.10344827586206896</v>
      </c>
      <c r="AN265" s="4">
        <f t="shared" si="39"/>
        <v>1.5668046325190301E-4</v>
      </c>
      <c r="AO265" s="3"/>
      <c r="AP265">
        <v>0</v>
      </c>
      <c r="AR265" t="s">
        <v>1</v>
      </c>
      <c r="AT265" s="2">
        <v>0.77</v>
      </c>
      <c r="AU265" s="1">
        <f t="shared" si="35"/>
        <v>0.59891840060373158</v>
      </c>
      <c r="AV265" s="1">
        <f t="shared" si="36"/>
        <v>0.43227544223843406</v>
      </c>
      <c r="AW265" s="1">
        <f t="shared" si="37"/>
        <v>0.26563248387313659</v>
      </c>
    </row>
    <row r="266" spans="1:49" x14ac:dyDescent="0.2">
      <c r="A266">
        <v>264</v>
      </c>
      <c r="B266" t="s">
        <v>9957</v>
      </c>
      <c r="C266" t="s">
        <v>9956</v>
      </c>
      <c r="F266" t="s">
        <v>9955</v>
      </c>
      <c r="G266" t="s">
        <v>15</v>
      </c>
      <c r="H266" t="s">
        <v>14</v>
      </c>
      <c r="I266" t="s">
        <v>9954</v>
      </c>
      <c r="J266">
        <v>60032006</v>
      </c>
      <c r="K266" t="s">
        <v>4213</v>
      </c>
      <c r="L266" t="s">
        <v>4212</v>
      </c>
      <c r="M266" t="s">
        <v>303</v>
      </c>
      <c r="N266">
        <v>3</v>
      </c>
      <c r="O266" t="s">
        <v>9953</v>
      </c>
      <c r="P266" t="s">
        <v>9952</v>
      </c>
      <c r="Q266" t="s">
        <v>4209</v>
      </c>
      <c r="R266" s="7">
        <v>33970</v>
      </c>
      <c r="S266" s="8">
        <f t="shared" si="32"/>
        <v>1993</v>
      </c>
      <c r="T266" s="8">
        <v>1993</v>
      </c>
      <c r="U266" s="8">
        <f t="shared" si="33"/>
        <v>29</v>
      </c>
      <c r="V266" s="7">
        <v>33970</v>
      </c>
      <c r="W266" t="s">
        <v>9951</v>
      </c>
      <c r="X266" s="2">
        <v>0.33800000000000002</v>
      </c>
      <c r="Y266" s="6">
        <f t="shared" si="38"/>
        <v>9.0227169589706634E-3</v>
      </c>
      <c r="AA266">
        <v>34347</v>
      </c>
      <c r="AB266">
        <v>17722</v>
      </c>
      <c r="AC266">
        <v>19589395</v>
      </c>
      <c r="AD266" t="s">
        <v>5</v>
      </c>
      <c r="AE266">
        <v>48</v>
      </c>
      <c r="AF266" s="9">
        <v>44228</v>
      </c>
      <c r="AH266" t="s">
        <v>9950</v>
      </c>
      <c r="AI266" t="s">
        <v>9949</v>
      </c>
      <c r="AJ266" t="s">
        <v>9948</v>
      </c>
      <c r="AK266" t="s">
        <v>9947</v>
      </c>
      <c r="AL266">
        <v>5</v>
      </c>
      <c r="AM266" s="5">
        <f t="shared" si="34"/>
        <v>0.17241379310344829</v>
      </c>
      <c r="AN266" s="4">
        <f t="shared" si="39"/>
        <v>2.6113410541983838E-4</v>
      </c>
      <c r="AO266" s="3"/>
      <c r="AP266">
        <v>0</v>
      </c>
      <c r="AR266" t="s">
        <v>1</v>
      </c>
      <c r="AT266" s="2" t="s">
        <v>0</v>
      </c>
      <c r="AU266" s="1">
        <f t="shared" si="35"/>
        <v>0.63942421029054153</v>
      </c>
      <c r="AV266" s="1">
        <f t="shared" si="36"/>
        <v>0.46419255321952513</v>
      </c>
      <c r="AW266" s="1">
        <f t="shared" si="37"/>
        <v>0.28896089614850856</v>
      </c>
    </row>
    <row r="267" spans="1:49" x14ac:dyDescent="0.2">
      <c r="A267">
        <v>265</v>
      </c>
      <c r="B267" t="s">
        <v>9946</v>
      </c>
      <c r="C267" t="s">
        <v>9945</v>
      </c>
      <c r="F267" t="s">
        <v>9944</v>
      </c>
      <c r="G267" t="s">
        <v>15</v>
      </c>
      <c r="H267" t="s">
        <v>14</v>
      </c>
      <c r="I267" t="s">
        <v>9943</v>
      </c>
      <c r="J267" t="s">
        <v>9942</v>
      </c>
      <c r="K267" t="s">
        <v>9941</v>
      </c>
      <c r="L267" t="s">
        <v>9940</v>
      </c>
      <c r="M267" t="s">
        <v>235</v>
      </c>
      <c r="N267">
        <v>2</v>
      </c>
      <c r="O267" t="s">
        <v>9939</v>
      </c>
      <c r="P267" t="s">
        <v>9938</v>
      </c>
      <c r="Q267" t="s">
        <v>9937</v>
      </c>
      <c r="R267" s="7">
        <v>33970</v>
      </c>
      <c r="S267" s="8">
        <f t="shared" si="32"/>
        <v>1993</v>
      </c>
      <c r="T267" s="8">
        <v>1993</v>
      </c>
      <c r="U267" s="8">
        <f t="shared" si="33"/>
        <v>29</v>
      </c>
      <c r="V267" s="7">
        <v>1993</v>
      </c>
      <c r="W267" t="s">
        <v>329</v>
      </c>
      <c r="X267" s="2">
        <v>0.28599999999999998</v>
      </c>
      <c r="Y267" s="6">
        <f t="shared" si="38"/>
        <v>7.6346066575905605E-3</v>
      </c>
      <c r="AA267">
        <v>9205071</v>
      </c>
      <c r="AB267">
        <v>28139</v>
      </c>
      <c r="AC267">
        <v>15693937</v>
      </c>
      <c r="AD267" t="s">
        <v>5</v>
      </c>
      <c r="AE267">
        <v>7</v>
      </c>
      <c r="AF267">
        <v>1</v>
      </c>
      <c r="AH267" t="s">
        <v>9936</v>
      </c>
      <c r="AI267" t="s">
        <v>9935</v>
      </c>
      <c r="AK267" t="s">
        <v>9934</v>
      </c>
      <c r="AL267">
        <v>6</v>
      </c>
      <c r="AM267" s="5">
        <f t="shared" si="34"/>
        <v>0.20689655172413793</v>
      </c>
      <c r="AN267" s="4">
        <f t="shared" si="39"/>
        <v>3.1336092650380602E-4</v>
      </c>
      <c r="AO267" s="3"/>
      <c r="AP267">
        <v>0</v>
      </c>
      <c r="AR267" t="s">
        <v>1</v>
      </c>
      <c r="AT267" s="2" t="s">
        <v>0</v>
      </c>
      <c r="AU267" s="1">
        <f t="shared" si="35"/>
        <v>0.54382329382645345</v>
      </c>
      <c r="AV267" s="1">
        <f t="shared" si="36"/>
        <v>0.39739837920471832</v>
      </c>
      <c r="AW267" s="1">
        <f t="shared" si="37"/>
        <v>0.25097346458298325</v>
      </c>
    </row>
    <row r="268" spans="1:49" x14ac:dyDescent="0.2">
      <c r="A268">
        <v>266</v>
      </c>
      <c r="B268" t="s">
        <v>9933</v>
      </c>
      <c r="C268" t="s">
        <v>9932</v>
      </c>
      <c r="F268" t="s">
        <v>9931</v>
      </c>
      <c r="G268" t="s">
        <v>15</v>
      </c>
      <c r="H268" t="s">
        <v>14</v>
      </c>
      <c r="I268" t="s">
        <v>9930</v>
      </c>
      <c r="J268" t="s">
        <v>9929</v>
      </c>
      <c r="K268" t="s">
        <v>9928</v>
      </c>
      <c r="L268" t="s">
        <v>9927</v>
      </c>
      <c r="M268" t="s">
        <v>235</v>
      </c>
      <c r="N268">
        <v>4</v>
      </c>
      <c r="O268" t="s">
        <v>9926</v>
      </c>
      <c r="P268" t="s">
        <v>9925</v>
      </c>
      <c r="Q268" t="s">
        <v>9924</v>
      </c>
      <c r="R268" s="7">
        <v>33970</v>
      </c>
      <c r="S268" s="8">
        <f t="shared" si="32"/>
        <v>1993</v>
      </c>
      <c r="T268" s="8">
        <v>1993</v>
      </c>
      <c r="U268" s="8">
        <f t="shared" si="33"/>
        <v>29</v>
      </c>
      <c r="V268" s="7" t="s">
        <v>4742</v>
      </c>
      <c r="W268" t="s">
        <v>548</v>
      </c>
      <c r="X268" s="2">
        <v>1.3720000000000001</v>
      </c>
      <c r="Y268" s="6">
        <f t="shared" si="38"/>
        <v>3.662475641333654E-2</v>
      </c>
      <c r="AA268">
        <v>189480</v>
      </c>
      <c r="AB268">
        <v>17366</v>
      </c>
      <c r="AC268">
        <v>15579670</v>
      </c>
      <c r="AD268" t="s">
        <v>5</v>
      </c>
      <c r="AE268">
        <v>41</v>
      </c>
      <c r="AF268">
        <v>6</v>
      </c>
      <c r="AH268" t="s">
        <v>9923</v>
      </c>
      <c r="AI268" t="s">
        <v>9922</v>
      </c>
      <c r="AK268" t="s">
        <v>9921</v>
      </c>
      <c r="AL268">
        <v>8</v>
      </c>
      <c r="AM268" s="5">
        <f t="shared" si="34"/>
        <v>0.27586206896551724</v>
      </c>
      <c r="AN268" s="4">
        <f t="shared" si="39"/>
        <v>4.1781456867174139E-4</v>
      </c>
      <c r="AO268" s="3"/>
      <c r="AP268">
        <v>0</v>
      </c>
      <c r="AR268" t="s">
        <v>1</v>
      </c>
      <c r="AT268" s="2" t="s">
        <v>0</v>
      </c>
      <c r="AU268" s="1">
        <f t="shared" si="35"/>
        <v>2.5762673859937095</v>
      </c>
      <c r="AV268" s="1">
        <f t="shared" si="36"/>
        <v>1.8521285491004142</v>
      </c>
      <c r="AW268" s="1">
        <f t="shared" si="37"/>
        <v>1.1279897122071181</v>
      </c>
    </row>
    <row r="269" spans="1:49" x14ac:dyDescent="0.2">
      <c r="A269">
        <v>267</v>
      </c>
      <c r="B269" t="s">
        <v>9920</v>
      </c>
      <c r="C269" t="s">
        <v>9919</v>
      </c>
      <c r="D269" t="s">
        <v>9918</v>
      </c>
      <c r="F269" t="s">
        <v>9917</v>
      </c>
      <c r="G269" t="s">
        <v>15</v>
      </c>
      <c r="H269" t="s">
        <v>14</v>
      </c>
      <c r="I269" t="s">
        <v>9916</v>
      </c>
      <c r="J269" t="s">
        <v>9915</v>
      </c>
      <c r="K269" t="s">
        <v>9914</v>
      </c>
      <c r="L269" t="s">
        <v>9913</v>
      </c>
      <c r="M269" t="s">
        <v>235</v>
      </c>
      <c r="N269">
        <v>2</v>
      </c>
      <c r="O269" t="s">
        <v>9912</v>
      </c>
      <c r="P269" t="s">
        <v>9911</v>
      </c>
      <c r="Q269" t="s">
        <v>9910</v>
      </c>
      <c r="R269" s="7">
        <v>33970</v>
      </c>
      <c r="S269" s="8">
        <f t="shared" si="32"/>
        <v>1993</v>
      </c>
      <c r="T269" s="8">
        <v>1993</v>
      </c>
      <c r="U269" s="8">
        <f t="shared" si="33"/>
        <v>29</v>
      </c>
      <c r="V269" s="7">
        <v>34151</v>
      </c>
      <c r="W269" t="s">
        <v>9909</v>
      </c>
      <c r="X269" s="2">
        <v>1.1339999999999999</v>
      </c>
      <c r="Y269" s="6">
        <f t="shared" si="38"/>
        <v>3.0271482341635299E-2</v>
      </c>
      <c r="AA269">
        <v>945765</v>
      </c>
      <c r="AB269">
        <v>12372</v>
      </c>
      <c r="AD269" t="s">
        <v>5</v>
      </c>
      <c r="AE269">
        <v>30</v>
      </c>
      <c r="AF269" t="s">
        <v>4857</v>
      </c>
      <c r="AH269" t="s">
        <v>9908</v>
      </c>
      <c r="AI269" t="s">
        <v>9907</v>
      </c>
      <c r="AK269" t="s">
        <v>9906</v>
      </c>
      <c r="AL269">
        <v>27</v>
      </c>
      <c r="AM269" s="5">
        <f t="shared" si="34"/>
        <v>0.93103448275862066</v>
      </c>
      <c r="AN269" s="4">
        <f t="shared" si="39"/>
        <v>1.410124169267127E-3</v>
      </c>
      <c r="AO269" s="3"/>
      <c r="AP269">
        <v>0</v>
      </c>
      <c r="AR269" t="s">
        <v>1</v>
      </c>
      <c r="AT269" s="2">
        <v>2.4129999999999998</v>
      </c>
      <c r="AU269" s="1">
        <f t="shared" si="35"/>
        <v>2.1613074889924846</v>
      </c>
      <c r="AV269" s="1">
        <f t="shared" si="36"/>
        <v>1.5840803255451212</v>
      </c>
      <c r="AW269" s="1">
        <f t="shared" si="37"/>
        <v>1.0068531620977579</v>
      </c>
    </row>
    <row r="270" spans="1:49" x14ac:dyDescent="0.2">
      <c r="A270">
        <v>268</v>
      </c>
      <c r="B270" t="s">
        <v>9905</v>
      </c>
      <c r="C270" t="s">
        <v>9904</v>
      </c>
      <c r="F270" t="s">
        <v>9903</v>
      </c>
      <c r="G270" t="s">
        <v>15</v>
      </c>
      <c r="H270" t="s">
        <v>14</v>
      </c>
      <c r="I270" t="s">
        <v>9902</v>
      </c>
      <c r="J270">
        <v>60005465</v>
      </c>
      <c r="K270" t="s">
        <v>3212</v>
      </c>
      <c r="L270" t="s">
        <v>3211</v>
      </c>
      <c r="M270" t="s">
        <v>463</v>
      </c>
      <c r="N270">
        <v>3</v>
      </c>
      <c r="O270" t="s">
        <v>9901</v>
      </c>
      <c r="P270" t="s">
        <v>9900</v>
      </c>
      <c r="Q270" t="s">
        <v>9899</v>
      </c>
      <c r="R270" s="7">
        <v>33970</v>
      </c>
      <c r="S270" s="8">
        <f t="shared" si="32"/>
        <v>1993</v>
      </c>
      <c r="T270" s="8">
        <v>1993</v>
      </c>
      <c r="U270" s="8">
        <f t="shared" si="33"/>
        <v>29</v>
      </c>
      <c r="V270" s="7">
        <v>33970</v>
      </c>
      <c r="W270" t="s">
        <v>2915</v>
      </c>
      <c r="X270" s="2">
        <v>0.61499999999999999</v>
      </c>
      <c r="Y270" s="6">
        <f t="shared" si="38"/>
        <v>1.6417073756706976E-2</v>
      </c>
      <c r="AA270">
        <v>1959271</v>
      </c>
      <c r="AB270">
        <v>12141</v>
      </c>
      <c r="AC270">
        <v>15729559</v>
      </c>
      <c r="AD270" t="s">
        <v>5</v>
      </c>
      <c r="AE270">
        <v>14</v>
      </c>
      <c r="AF270">
        <v>1</v>
      </c>
      <c r="AH270" t="s">
        <v>9898</v>
      </c>
      <c r="AI270" t="s">
        <v>9897</v>
      </c>
      <c r="AK270" t="s">
        <v>9896</v>
      </c>
      <c r="AL270">
        <v>2</v>
      </c>
      <c r="AM270" s="5">
        <f t="shared" si="34"/>
        <v>6.8965517241379309E-2</v>
      </c>
      <c r="AN270" s="4">
        <f t="shared" si="39"/>
        <v>1.0445364216793535E-4</v>
      </c>
      <c r="AO270" s="3"/>
      <c r="AP270">
        <v>0</v>
      </c>
      <c r="AR270" t="s">
        <v>1</v>
      </c>
      <c r="AT270" s="2" t="s">
        <v>0</v>
      </c>
      <c r="AU270" s="1">
        <f t="shared" si="35"/>
        <v>1.1523287722345261</v>
      </c>
      <c r="AV270" s="1">
        <f t="shared" si="36"/>
        <v>0.82607636994374545</v>
      </c>
      <c r="AW270" s="1">
        <f t="shared" si="37"/>
        <v>0.49982396765296472</v>
      </c>
    </row>
    <row r="271" spans="1:49" x14ac:dyDescent="0.2">
      <c r="A271">
        <v>269</v>
      </c>
      <c r="B271" t="s">
        <v>9895</v>
      </c>
      <c r="C271" t="s">
        <v>9894</v>
      </c>
      <c r="F271" t="s">
        <v>9893</v>
      </c>
      <c r="G271" t="s">
        <v>15</v>
      </c>
      <c r="H271" t="s">
        <v>14</v>
      </c>
      <c r="I271" t="s">
        <v>9892</v>
      </c>
      <c r="J271" t="s">
        <v>9891</v>
      </c>
      <c r="K271" t="s">
        <v>9890</v>
      </c>
      <c r="L271" t="s">
        <v>9889</v>
      </c>
      <c r="M271" t="s">
        <v>235</v>
      </c>
      <c r="N271">
        <v>3</v>
      </c>
      <c r="O271" t="s">
        <v>9888</v>
      </c>
      <c r="P271" t="s">
        <v>9887</v>
      </c>
      <c r="Q271" t="s">
        <v>9886</v>
      </c>
      <c r="R271" s="7">
        <v>33970</v>
      </c>
      <c r="S271" s="8">
        <f t="shared" si="32"/>
        <v>1993</v>
      </c>
      <c r="T271" s="8">
        <v>1993</v>
      </c>
      <c r="U271" s="8">
        <f t="shared" si="33"/>
        <v>29</v>
      </c>
      <c r="V271" s="7">
        <v>1993</v>
      </c>
      <c r="W271" t="s">
        <v>9885</v>
      </c>
      <c r="X271" s="2">
        <v>2.3759999999999999</v>
      </c>
      <c r="Y271" s="6">
        <f t="shared" si="38"/>
        <v>6.3425963001521576E-2</v>
      </c>
      <c r="AA271" t="s">
        <v>9884</v>
      </c>
      <c r="AB271">
        <v>26765</v>
      </c>
      <c r="AC271">
        <v>15384357</v>
      </c>
      <c r="AD271" t="s">
        <v>5</v>
      </c>
      <c r="AE271">
        <v>403</v>
      </c>
      <c r="AF271" t="s">
        <v>9883</v>
      </c>
      <c r="AI271" t="s">
        <v>9882</v>
      </c>
      <c r="AJ271" t="s">
        <v>9881</v>
      </c>
      <c r="AK271" t="s">
        <v>9880</v>
      </c>
      <c r="AL271">
        <v>32</v>
      </c>
      <c r="AM271" s="5">
        <f t="shared" si="34"/>
        <v>1.103448275862069</v>
      </c>
      <c r="AN271" s="4">
        <f t="shared" si="39"/>
        <v>1.6712582746869656E-3</v>
      </c>
      <c r="AO271" s="3"/>
      <c r="AP271">
        <v>0</v>
      </c>
      <c r="AR271" t="s">
        <v>1</v>
      </c>
      <c r="AT271" s="2">
        <v>5.8739999999999997</v>
      </c>
      <c r="AU271" s="1">
        <f t="shared" si="35"/>
        <v>4.4899551583471187</v>
      </c>
      <c r="AV271" s="1">
        <f t="shared" si="36"/>
        <v>3.2548610638104272</v>
      </c>
      <c r="AW271" s="1">
        <f t="shared" si="37"/>
        <v>2.0197669692737348</v>
      </c>
    </row>
    <row r="272" spans="1:49" x14ac:dyDescent="0.2">
      <c r="A272">
        <v>270</v>
      </c>
      <c r="B272" t="s">
        <v>9879</v>
      </c>
      <c r="C272" t="s">
        <v>9878</v>
      </c>
      <c r="F272" t="s">
        <v>9877</v>
      </c>
      <c r="G272" t="s">
        <v>15</v>
      </c>
      <c r="H272" t="s">
        <v>14</v>
      </c>
      <c r="I272" t="s">
        <v>9876</v>
      </c>
      <c r="J272">
        <v>60009226</v>
      </c>
      <c r="K272" t="s">
        <v>9875</v>
      </c>
      <c r="L272" t="s">
        <v>9874</v>
      </c>
      <c r="M272" t="s">
        <v>10</v>
      </c>
      <c r="N272">
        <v>2</v>
      </c>
      <c r="O272" t="s">
        <v>9873</v>
      </c>
      <c r="P272" t="s">
        <v>9872</v>
      </c>
      <c r="Q272" t="s">
        <v>9871</v>
      </c>
      <c r="R272" s="7">
        <v>33970</v>
      </c>
      <c r="S272" s="8">
        <f t="shared" si="32"/>
        <v>1993</v>
      </c>
      <c r="T272" s="8">
        <v>1993</v>
      </c>
      <c r="U272" s="8">
        <f t="shared" si="33"/>
        <v>29</v>
      </c>
      <c r="V272" s="7">
        <v>1993</v>
      </c>
      <c r="W272" t="s">
        <v>9870</v>
      </c>
      <c r="X272" s="2" t="s">
        <v>0</v>
      </c>
      <c r="Y272" s="6" t="e">
        <f t="shared" si="38"/>
        <v>#VALUE!</v>
      </c>
      <c r="AA272">
        <v>282960</v>
      </c>
      <c r="AB272">
        <v>37615</v>
      </c>
      <c r="AD272" t="s">
        <v>5</v>
      </c>
      <c r="AE272">
        <v>44</v>
      </c>
      <c r="AF272" s="9">
        <v>44289</v>
      </c>
      <c r="AH272" t="s">
        <v>9869</v>
      </c>
      <c r="AI272" t="s">
        <v>9868</v>
      </c>
      <c r="AJ272" t="s">
        <v>9867</v>
      </c>
      <c r="AK272" t="s">
        <v>9866</v>
      </c>
      <c r="AL272">
        <v>2</v>
      </c>
      <c r="AM272" s="5">
        <f t="shared" si="34"/>
        <v>6.8965517241379309E-2</v>
      </c>
      <c r="AN272" s="4">
        <f t="shared" si="39"/>
        <v>1.0445364216793535E-4</v>
      </c>
      <c r="AO272" s="3"/>
      <c r="AP272">
        <v>0</v>
      </c>
      <c r="AR272" t="s">
        <v>1</v>
      </c>
      <c r="AT272" s="2" t="s">
        <v>0</v>
      </c>
      <c r="AU272" s="1" t="e">
        <f t="shared" si="35"/>
        <v>#VALUE!</v>
      </c>
      <c r="AV272" s="1" t="e">
        <f t="shared" si="36"/>
        <v>#VALUE!</v>
      </c>
      <c r="AW272" s="1" t="e">
        <f t="shared" si="37"/>
        <v>#VALUE!</v>
      </c>
    </row>
    <row r="273" spans="1:49" x14ac:dyDescent="0.2">
      <c r="A273">
        <v>271</v>
      </c>
      <c r="B273" t="s">
        <v>9865</v>
      </c>
      <c r="C273" t="s">
        <v>9864</v>
      </c>
      <c r="F273" t="s">
        <v>9863</v>
      </c>
      <c r="G273" t="s">
        <v>15</v>
      </c>
      <c r="H273" t="s">
        <v>14</v>
      </c>
      <c r="I273" t="s">
        <v>7206</v>
      </c>
      <c r="J273">
        <v>60020547</v>
      </c>
      <c r="K273" t="s">
        <v>3199</v>
      </c>
      <c r="L273" t="s">
        <v>3198</v>
      </c>
      <c r="M273" t="s">
        <v>10</v>
      </c>
      <c r="N273">
        <v>1</v>
      </c>
      <c r="O273" t="s">
        <v>9862</v>
      </c>
      <c r="P273">
        <v>7004961387</v>
      </c>
      <c r="Q273">
        <v>60020547</v>
      </c>
      <c r="R273" s="7">
        <v>33970</v>
      </c>
      <c r="S273" s="8">
        <f t="shared" si="32"/>
        <v>1993</v>
      </c>
      <c r="T273" s="8">
        <v>1993</v>
      </c>
      <c r="U273" s="8">
        <f t="shared" si="33"/>
        <v>29</v>
      </c>
      <c r="V273" s="7">
        <v>1993</v>
      </c>
      <c r="W273" t="s">
        <v>329</v>
      </c>
      <c r="X273" s="2">
        <v>0.28599999999999998</v>
      </c>
      <c r="Y273" s="6">
        <f t="shared" si="38"/>
        <v>7.6346066575905605E-3</v>
      </c>
      <c r="AA273">
        <v>9205071</v>
      </c>
      <c r="AB273">
        <v>28139</v>
      </c>
      <c r="AC273">
        <v>15693937</v>
      </c>
      <c r="AD273" t="s">
        <v>5</v>
      </c>
      <c r="AE273">
        <v>7</v>
      </c>
      <c r="AF273">
        <v>7</v>
      </c>
      <c r="AH273" t="s">
        <v>9861</v>
      </c>
      <c r="AI273" t="s">
        <v>9860</v>
      </c>
      <c r="AK273" t="s">
        <v>9859</v>
      </c>
      <c r="AL273">
        <v>12</v>
      </c>
      <c r="AM273" s="5">
        <f t="shared" si="34"/>
        <v>0.41379310344827586</v>
      </c>
      <c r="AN273" s="4">
        <f t="shared" si="39"/>
        <v>6.2672185300761203E-4</v>
      </c>
      <c r="AO273" s="3"/>
      <c r="AP273">
        <v>0</v>
      </c>
      <c r="AQ273" t="s">
        <v>1358</v>
      </c>
      <c r="AR273" t="s">
        <v>9858</v>
      </c>
      <c r="AS273" t="s">
        <v>1356</v>
      </c>
      <c r="AT273" s="2" t="s">
        <v>0</v>
      </c>
      <c r="AU273" s="1">
        <f t="shared" si="35"/>
        <v>0.55322412162156753</v>
      </c>
      <c r="AV273" s="1">
        <f t="shared" si="36"/>
        <v>0.41306642552990869</v>
      </c>
      <c r="AW273" s="1">
        <f t="shared" si="37"/>
        <v>0.27290872943824968</v>
      </c>
    </row>
    <row r="274" spans="1:49" x14ac:dyDescent="0.2">
      <c r="A274">
        <v>272</v>
      </c>
      <c r="B274" t="s">
        <v>9857</v>
      </c>
      <c r="C274" t="s">
        <v>9856</v>
      </c>
      <c r="F274" t="s">
        <v>9855</v>
      </c>
      <c r="G274" t="s">
        <v>15</v>
      </c>
      <c r="H274" t="s">
        <v>14</v>
      </c>
      <c r="I274" t="s">
        <v>9854</v>
      </c>
      <c r="J274">
        <v>60000036</v>
      </c>
      <c r="K274" t="s">
        <v>9853</v>
      </c>
      <c r="L274" t="s">
        <v>9852</v>
      </c>
      <c r="M274" t="s">
        <v>391</v>
      </c>
      <c r="N274">
        <v>2</v>
      </c>
      <c r="O274" t="s">
        <v>9851</v>
      </c>
      <c r="P274" t="s">
        <v>9850</v>
      </c>
      <c r="Q274" t="s">
        <v>9849</v>
      </c>
      <c r="R274" s="7">
        <v>33970</v>
      </c>
      <c r="S274" s="8">
        <f t="shared" si="32"/>
        <v>1993</v>
      </c>
      <c r="T274" s="8">
        <v>1993</v>
      </c>
      <c r="U274" s="8">
        <f t="shared" si="33"/>
        <v>29</v>
      </c>
      <c r="V274" s="7">
        <v>34001</v>
      </c>
      <c r="W274" t="s">
        <v>9848</v>
      </c>
      <c r="X274" s="2">
        <v>3.5539999999999998</v>
      </c>
      <c r="Y274" s="6">
        <f t="shared" si="38"/>
        <v>9.4872000213555435E-2</v>
      </c>
      <c r="AA274">
        <v>320889</v>
      </c>
      <c r="AB274">
        <v>16615</v>
      </c>
      <c r="AD274" t="s">
        <v>5</v>
      </c>
      <c r="AE274">
        <v>101</v>
      </c>
      <c r="AF274">
        <v>2</v>
      </c>
      <c r="AH274" t="s">
        <v>9847</v>
      </c>
      <c r="AI274" t="s">
        <v>9846</v>
      </c>
      <c r="AK274" t="s">
        <v>9845</v>
      </c>
      <c r="AL274">
        <v>12</v>
      </c>
      <c r="AM274" s="5">
        <f t="shared" si="34"/>
        <v>0.41379310344827586</v>
      </c>
      <c r="AN274" s="4">
        <f t="shared" si="39"/>
        <v>6.2672185300761203E-4</v>
      </c>
      <c r="AO274" s="3"/>
      <c r="AP274">
        <v>1</v>
      </c>
      <c r="AR274" t="s">
        <v>1</v>
      </c>
      <c r="AT274" s="2">
        <v>8.34</v>
      </c>
      <c r="AU274" s="1">
        <f t="shared" si="35"/>
        <v>6.6598416705391088</v>
      </c>
      <c r="AV274" s="1">
        <f t="shared" si="36"/>
        <v>4.7749361033281517</v>
      </c>
      <c r="AW274" s="1">
        <f t="shared" si="37"/>
        <v>2.8900305361171958</v>
      </c>
    </row>
    <row r="275" spans="1:49" x14ac:dyDescent="0.2">
      <c r="A275">
        <v>273</v>
      </c>
      <c r="B275" t="s">
        <v>9844</v>
      </c>
      <c r="C275" t="s">
        <v>9843</v>
      </c>
      <c r="F275" t="s">
        <v>9842</v>
      </c>
      <c r="G275" t="s">
        <v>15</v>
      </c>
      <c r="H275" t="s">
        <v>14</v>
      </c>
      <c r="I275" t="s">
        <v>9841</v>
      </c>
      <c r="J275" t="s">
        <v>9840</v>
      </c>
      <c r="K275" t="s">
        <v>9839</v>
      </c>
      <c r="L275" t="s">
        <v>9838</v>
      </c>
      <c r="M275" t="s">
        <v>2030</v>
      </c>
      <c r="N275">
        <v>7</v>
      </c>
      <c r="O275" t="s">
        <v>9837</v>
      </c>
      <c r="P275" t="s">
        <v>9836</v>
      </c>
      <c r="Q275" t="s">
        <v>9835</v>
      </c>
      <c r="R275" s="7">
        <v>33970</v>
      </c>
      <c r="S275" s="8">
        <f t="shared" si="32"/>
        <v>1993</v>
      </c>
      <c r="T275" s="8">
        <v>1993</v>
      </c>
      <c r="U275" s="8">
        <f t="shared" si="33"/>
        <v>29</v>
      </c>
      <c r="V275" s="7">
        <v>1993</v>
      </c>
      <c r="W275" t="s">
        <v>192</v>
      </c>
      <c r="X275" s="2">
        <v>1.1879999999999999</v>
      </c>
      <c r="Y275" s="6">
        <f t="shared" si="38"/>
        <v>3.1712981500760788E-2</v>
      </c>
      <c r="AA275">
        <v>8998221</v>
      </c>
      <c r="AB275">
        <v>8900153323</v>
      </c>
      <c r="AD275" t="s">
        <v>5</v>
      </c>
      <c r="AE275">
        <v>5</v>
      </c>
      <c r="AF275">
        <v>10</v>
      </c>
      <c r="AH275" t="s">
        <v>9834</v>
      </c>
      <c r="AI275" t="s">
        <v>9833</v>
      </c>
      <c r="AK275" t="s">
        <v>9832</v>
      </c>
      <c r="AL275">
        <v>11</v>
      </c>
      <c r="AM275" s="5">
        <f t="shared" si="34"/>
        <v>0.37931034482758619</v>
      </c>
      <c r="AN275" s="4">
        <f t="shared" si="39"/>
        <v>5.7449503192364435E-4</v>
      </c>
      <c r="AO275" s="3"/>
      <c r="AP275">
        <v>0</v>
      </c>
      <c r="AR275" t="s">
        <v>1</v>
      </c>
      <c r="AT275" s="2" t="s">
        <v>0</v>
      </c>
      <c r="AU275" s="1">
        <f t="shared" si="35"/>
        <v>2.237143556010964</v>
      </c>
      <c r="AV275" s="1">
        <f t="shared" si="36"/>
        <v>1.6143738266342216</v>
      </c>
      <c r="AW275" s="1">
        <f t="shared" si="37"/>
        <v>0.99160409725747878</v>
      </c>
    </row>
    <row r="276" spans="1:49" x14ac:dyDescent="0.2">
      <c r="A276">
        <v>274</v>
      </c>
      <c r="B276" t="s">
        <v>9831</v>
      </c>
      <c r="C276" t="s">
        <v>9830</v>
      </c>
      <c r="F276" t="s">
        <v>9829</v>
      </c>
      <c r="G276" t="s">
        <v>15</v>
      </c>
      <c r="H276" t="s">
        <v>14</v>
      </c>
      <c r="I276" t="s">
        <v>9828</v>
      </c>
      <c r="J276" t="s">
        <v>9827</v>
      </c>
      <c r="K276" t="s">
        <v>9826</v>
      </c>
      <c r="L276" t="s">
        <v>9825</v>
      </c>
      <c r="M276" t="s">
        <v>9824</v>
      </c>
      <c r="N276">
        <v>2</v>
      </c>
      <c r="O276" t="s">
        <v>9823</v>
      </c>
      <c r="P276" t="s">
        <v>9822</v>
      </c>
      <c r="Q276" t="s">
        <v>9821</v>
      </c>
      <c r="R276" s="7">
        <v>33970</v>
      </c>
      <c r="S276" s="8">
        <f t="shared" si="32"/>
        <v>1993</v>
      </c>
      <c r="T276" s="8">
        <v>1993</v>
      </c>
      <c r="U276" s="8">
        <f t="shared" si="33"/>
        <v>29</v>
      </c>
      <c r="V276" s="7">
        <v>1993</v>
      </c>
      <c r="W276" t="s">
        <v>192</v>
      </c>
      <c r="X276" s="2">
        <v>1.1879999999999999</v>
      </c>
      <c r="Y276" s="6">
        <f t="shared" si="38"/>
        <v>3.1712981500760788E-2</v>
      </c>
      <c r="AA276">
        <v>8998221</v>
      </c>
      <c r="AB276">
        <v>8900153323</v>
      </c>
      <c r="AD276" t="s">
        <v>5</v>
      </c>
      <c r="AE276">
        <v>5</v>
      </c>
      <c r="AF276">
        <v>4</v>
      </c>
      <c r="AH276" t="s">
        <v>9820</v>
      </c>
      <c r="AI276" t="s">
        <v>9819</v>
      </c>
      <c r="AK276" t="s">
        <v>9818</v>
      </c>
      <c r="AL276">
        <v>52</v>
      </c>
      <c r="AM276" s="5">
        <f t="shared" si="34"/>
        <v>1.7931034482758621</v>
      </c>
      <c r="AN276" s="4">
        <f t="shared" si="39"/>
        <v>2.7157946963663189E-3</v>
      </c>
      <c r="AO276" s="3"/>
      <c r="AP276">
        <v>0</v>
      </c>
      <c r="AR276" t="s">
        <v>1</v>
      </c>
      <c r="AT276" s="2" t="s">
        <v>0</v>
      </c>
      <c r="AU276" s="1">
        <f t="shared" si="35"/>
        <v>2.3013825459442443</v>
      </c>
      <c r="AV276" s="1">
        <f t="shared" si="36"/>
        <v>1.7214388098563553</v>
      </c>
      <c r="AW276" s="1">
        <f t="shared" si="37"/>
        <v>1.1414950737684659</v>
      </c>
    </row>
    <row r="277" spans="1:49" x14ac:dyDescent="0.2">
      <c r="A277">
        <v>275</v>
      </c>
      <c r="B277" t="s">
        <v>9817</v>
      </c>
      <c r="C277" t="s">
        <v>9816</v>
      </c>
      <c r="F277" t="s">
        <v>9815</v>
      </c>
      <c r="G277" t="s">
        <v>15</v>
      </c>
      <c r="H277" t="s">
        <v>14</v>
      </c>
      <c r="I277" t="s">
        <v>9814</v>
      </c>
      <c r="J277" t="s">
        <v>9813</v>
      </c>
      <c r="K277" t="s">
        <v>9812</v>
      </c>
      <c r="L277" t="s">
        <v>9811</v>
      </c>
      <c r="M277" t="s">
        <v>9810</v>
      </c>
      <c r="N277">
        <v>4</v>
      </c>
      <c r="O277" t="s">
        <v>9809</v>
      </c>
      <c r="P277" t="s">
        <v>9808</v>
      </c>
      <c r="Q277" t="s">
        <v>9807</v>
      </c>
      <c r="R277" s="7">
        <v>33970</v>
      </c>
      <c r="S277" s="8">
        <f t="shared" si="32"/>
        <v>1993</v>
      </c>
      <c r="T277" s="8">
        <v>1993</v>
      </c>
      <c r="U277" s="8">
        <f t="shared" si="33"/>
        <v>29</v>
      </c>
      <c r="V277" s="7">
        <v>34090</v>
      </c>
      <c r="W277" t="s">
        <v>9302</v>
      </c>
      <c r="X277" s="2">
        <v>0.81799999999999995</v>
      </c>
      <c r="Y277" s="6">
        <f t="shared" si="38"/>
        <v>2.1836042817863912E-2</v>
      </c>
      <c r="AA277">
        <v>318655</v>
      </c>
      <c r="AB277">
        <v>27010</v>
      </c>
      <c r="AC277">
        <v>17511097</v>
      </c>
      <c r="AD277" t="s">
        <v>5</v>
      </c>
      <c r="AE277">
        <v>57</v>
      </c>
      <c r="AF277">
        <v>5</v>
      </c>
      <c r="AH277" t="s">
        <v>9806</v>
      </c>
      <c r="AI277" t="s">
        <v>9805</v>
      </c>
      <c r="AK277" t="s">
        <v>9804</v>
      </c>
      <c r="AL277">
        <v>5</v>
      </c>
      <c r="AM277" s="5">
        <f t="shared" si="34"/>
        <v>0.17241379310344829</v>
      </c>
      <c r="AN277" s="4">
        <f t="shared" si="39"/>
        <v>2.6113410541983838E-4</v>
      </c>
      <c r="AO277" s="3"/>
      <c r="AP277">
        <v>0</v>
      </c>
      <c r="AR277" t="s">
        <v>1</v>
      </c>
      <c r="AT277" s="2">
        <v>3.4209999999999998</v>
      </c>
      <c r="AU277" s="1">
        <f t="shared" si="35"/>
        <v>1.5363570204130688</v>
      </c>
      <c r="AV277" s="1">
        <f t="shared" si="36"/>
        <v>1.1048588461641875</v>
      </c>
      <c r="AW277" s="1">
        <f t="shared" si="37"/>
        <v>0.67336067191530602</v>
      </c>
    </row>
    <row r="278" spans="1:49" x14ac:dyDescent="0.2">
      <c r="A278">
        <v>276</v>
      </c>
      <c r="B278" t="s">
        <v>9803</v>
      </c>
      <c r="C278" t="s">
        <v>9802</v>
      </c>
      <c r="F278" t="s">
        <v>9801</v>
      </c>
      <c r="G278" t="s">
        <v>15</v>
      </c>
      <c r="H278" t="s">
        <v>14</v>
      </c>
      <c r="I278" t="s">
        <v>9800</v>
      </c>
      <c r="J278">
        <v>60030622</v>
      </c>
      <c r="K278" t="s">
        <v>9799</v>
      </c>
      <c r="L278" t="s">
        <v>1350</v>
      </c>
      <c r="M278" t="s">
        <v>576</v>
      </c>
      <c r="N278">
        <v>2</v>
      </c>
      <c r="O278" t="s">
        <v>9798</v>
      </c>
      <c r="P278" t="s">
        <v>9797</v>
      </c>
      <c r="Q278" t="s">
        <v>9796</v>
      </c>
      <c r="R278" s="7">
        <v>33970</v>
      </c>
      <c r="S278" s="8">
        <f t="shared" si="32"/>
        <v>1993</v>
      </c>
      <c r="T278" s="8">
        <v>1993</v>
      </c>
      <c r="U278" s="8">
        <f t="shared" si="33"/>
        <v>29</v>
      </c>
      <c r="V278" s="7">
        <v>33970</v>
      </c>
      <c r="W278" t="s">
        <v>263</v>
      </c>
      <c r="X278" s="2">
        <v>1.1579999999999999</v>
      </c>
      <c r="Y278" s="6">
        <f t="shared" si="38"/>
        <v>3.0912148634579962E-2</v>
      </c>
      <c r="AA278">
        <v>1668595</v>
      </c>
      <c r="AB278">
        <v>14223</v>
      </c>
      <c r="AC278">
        <v>15735079</v>
      </c>
      <c r="AD278" t="s">
        <v>5</v>
      </c>
      <c r="AE278">
        <v>38</v>
      </c>
      <c r="AF278">
        <v>3</v>
      </c>
      <c r="AH278" t="s">
        <v>9795</v>
      </c>
      <c r="AI278" t="s">
        <v>9794</v>
      </c>
      <c r="AJ278" t="s">
        <v>9793</v>
      </c>
      <c r="AK278" t="s">
        <v>9792</v>
      </c>
      <c r="AL278">
        <v>6</v>
      </c>
      <c r="AM278" s="5">
        <f t="shared" si="34"/>
        <v>0.20689655172413793</v>
      </c>
      <c r="AN278" s="4">
        <f t="shared" si="39"/>
        <v>3.1336092650380602E-4</v>
      </c>
      <c r="AO278" s="3"/>
      <c r="AP278">
        <v>0</v>
      </c>
      <c r="AR278" t="s">
        <v>1</v>
      </c>
      <c r="AT278" s="2">
        <v>3.573</v>
      </c>
      <c r="AU278" s="1">
        <f t="shared" si="35"/>
        <v>2.1732512322157111</v>
      </c>
      <c r="AV278" s="1">
        <f t="shared" si="36"/>
        <v>1.5612754780541884</v>
      </c>
      <c r="AW278" s="1">
        <f t="shared" si="37"/>
        <v>0.94929972389266526</v>
      </c>
    </row>
    <row r="279" spans="1:49" x14ac:dyDescent="0.2">
      <c r="A279">
        <v>277</v>
      </c>
      <c r="B279" t="s">
        <v>9791</v>
      </c>
      <c r="C279" t="s">
        <v>9790</v>
      </c>
      <c r="F279" t="s">
        <v>9789</v>
      </c>
      <c r="G279" t="s">
        <v>15</v>
      </c>
      <c r="H279" t="s">
        <v>14</v>
      </c>
      <c r="I279" t="s">
        <v>9788</v>
      </c>
      <c r="J279" t="s">
        <v>9787</v>
      </c>
      <c r="K279" t="s">
        <v>9786</v>
      </c>
      <c r="L279" t="s">
        <v>9785</v>
      </c>
      <c r="M279" t="s">
        <v>2289</v>
      </c>
      <c r="N279">
        <v>4</v>
      </c>
      <c r="O279" t="s">
        <v>9784</v>
      </c>
      <c r="P279" t="s">
        <v>9783</v>
      </c>
      <c r="Q279" t="s">
        <v>9782</v>
      </c>
      <c r="R279" s="7">
        <v>33970</v>
      </c>
      <c r="S279" s="8">
        <f t="shared" si="32"/>
        <v>1993</v>
      </c>
      <c r="T279" s="8">
        <v>1993</v>
      </c>
      <c r="U279" s="8">
        <f t="shared" si="33"/>
        <v>29</v>
      </c>
      <c r="V279" s="7">
        <v>34029</v>
      </c>
      <c r="W279" t="s">
        <v>402</v>
      </c>
      <c r="X279" s="2">
        <v>2.61</v>
      </c>
      <c r="Y279" s="6">
        <f t="shared" si="38"/>
        <v>6.9672459357732044E-2</v>
      </c>
      <c r="AA279">
        <v>46256</v>
      </c>
      <c r="AB279">
        <v>26704</v>
      </c>
      <c r="AD279" t="s">
        <v>5</v>
      </c>
      <c r="AE279">
        <v>105</v>
      </c>
      <c r="AF279">
        <v>3</v>
      </c>
      <c r="AH279" t="s">
        <v>9781</v>
      </c>
      <c r="AI279" t="s">
        <v>9780</v>
      </c>
      <c r="AK279" t="s">
        <v>9779</v>
      </c>
      <c r="AL279">
        <v>66</v>
      </c>
      <c r="AM279" s="5">
        <f t="shared" si="34"/>
        <v>2.2758620689655173</v>
      </c>
      <c r="AN279" s="4">
        <f t="shared" si="39"/>
        <v>3.4469701915418663E-3</v>
      </c>
      <c r="AO279" s="3"/>
      <c r="AP279">
        <v>0</v>
      </c>
      <c r="AR279" t="s">
        <v>1</v>
      </c>
      <c r="AT279" s="2">
        <v>6.2629999999999999</v>
      </c>
      <c r="AU279" s="1">
        <f t="shared" si="35"/>
        <v>4.9804812607874993</v>
      </c>
      <c r="AV279" s="1">
        <f t="shared" si="36"/>
        <v>3.6559714774636958</v>
      </c>
      <c r="AW279" s="1">
        <f t="shared" si="37"/>
        <v>2.3314616941398922</v>
      </c>
    </row>
    <row r="280" spans="1:49" x14ac:dyDescent="0.2">
      <c r="A280">
        <v>278</v>
      </c>
      <c r="B280" t="s">
        <v>9778</v>
      </c>
      <c r="C280" t="s">
        <v>9777</v>
      </c>
      <c r="F280" t="s">
        <v>9776</v>
      </c>
      <c r="G280" t="s">
        <v>15</v>
      </c>
      <c r="H280" t="s">
        <v>14</v>
      </c>
      <c r="I280" t="s">
        <v>9775</v>
      </c>
      <c r="J280">
        <v>60027550</v>
      </c>
      <c r="K280" t="s">
        <v>1833</v>
      </c>
      <c r="L280" t="s">
        <v>1832</v>
      </c>
      <c r="M280" t="s">
        <v>10</v>
      </c>
      <c r="N280">
        <v>3</v>
      </c>
      <c r="O280" t="s">
        <v>9774</v>
      </c>
      <c r="P280" t="s">
        <v>9773</v>
      </c>
      <c r="Q280" t="s">
        <v>1829</v>
      </c>
      <c r="R280" s="7">
        <v>33970</v>
      </c>
      <c r="S280" s="8">
        <f t="shared" si="32"/>
        <v>1993</v>
      </c>
      <c r="T280" s="8">
        <v>1993</v>
      </c>
      <c r="U280" s="8">
        <f t="shared" si="33"/>
        <v>29</v>
      </c>
      <c r="V280" s="7">
        <v>1993</v>
      </c>
      <c r="W280" t="s">
        <v>192</v>
      </c>
      <c r="X280" s="2">
        <v>1.1879999999999999</v>
      </c>
      <c r="Y280" s="6">
        <f t="shared" si="38"/>
        <v>3.1712981500760788E-2</v>
      </c>
      <c r="AA280">
        <v>8998221</v>
      </c>
      <c r="AB280">
        <v>8900153323</v>
      </c>
      <c r="AD280" t="s">
        <v>5</v>
      </c>
      <c r="AE280">
        <v>5</v>
      </c>
      <c r="AF280">
        <v>2</v>
      </c>
      <c r="AH280" t="s">
        <v>9772</v>
      </c>
      <c r="AI280" t="s">
        <v>9771</v>
      </c>
      <c r="AK280" t="s">
        <v>9770</v>
      </c>
      <c r="AL280">
        <v>50</v>
      </c>
      <c r="AM280" s="5">
        <f t="shared" si="34"/>
        <v>1.7241379310344827</v>
      </c>
      <c r="AN280" s="4">
        <f t="shared" si="39"/>
        <v>2.6113410541983833E-3</v>
      </c>
      <c r="AO280" s="3"/>
      <c r="AP280">
        <v>0</v>
      </c>
      <c r="AR280" t="s">
        <v>1</v>
      </c>
      <c r="AT280" s="2" t="s">
        <v>0</v>
      </c>
      <c r="AU280" s="1">
        <f t="shared" si="35"/>
        <v>2.2982489366792063</v>
      </c>
      <c r="AV280" s="1">
        <f t="shared" si="36"/>
        <v>1.7162161277479586</v>
      </c>
      <c r="AW280" s="1">
        <f t="shared" si="37"/>
        <v>1.1341833188167105</v>
      </c>
    </row>
    <row r="281" spans="1:49" x14ac:dyDescent="0.2">
      <c r="A281">
        <v>279</v>
      </c>
      <c r="B281" t="s">
        <v>9769</v>
      </c>
      <c r="C281" t="s">
        <v>9768</v>
      </c>
      <c r="F281" t="s">
        <v>9767</v>
      </c>
      <c r="G281" t="s">
        <v>15</v>
      </c>
      <c r="H281" t="s">
        <v>14</v>
      </c>
      <c r="I281" t="s">
        <v>9766</v>
      </c>
      <c r="J281" t="s">
        <v>423</v>
      </c>
      <c r="K281" t="s">
        <v>422</v>
      </c>
      <c r="L281" t="s">
        <v>421</v>
      </c>
      <c r="M281" t="s">
        <v>420</v>
      </c>
      <c r="N281">
        <v>2</v>
      </c>
      <c r="O281" t="s">
        <v>9765</v>
      </c>
      <c r="P281" t="s">
        <v>9764</v>
      </c>
      <c r="Q281" t="s">
        <v>9763</v>
      </c>
      <c r="R281" s="7">
        <v>33970</v>
      </c>
      <c r="S281" s="8">
        <f t="shared" si="32"/>
        <v>1993</v>
      </c>
      <c r="T281" s="8">
        <v>1993</v>
      </c>
      <c r="U281" s="8">
        <f t="shared" si="33"/>
        <v>29</v>
      </c>
      <c r="V281" s="7">
        <v>1993</v>
      </c>
      <c r="W281" t="s">
        <v>192</v>
      </c>
      <c r="X281" s="2">
        <v>1.1879999999999999</v>
      </c>
      <c r="Y281" s="6">
        <f t="shared" si="38"/>
        <v>3.1712981500760788E-2</v>
      </c>
      <c r="AA281">
        <v>8998221</v>
      </c>
      <c r="AB281">
        <v>8900153323</v>
      </c>
      <c r="AD281" t="s">
        <v>5</v>
      </c>
      <c r="AE281">
        <v>5</v>
      </c>
      <c r="AF281">
        <v>9</v>
      </c>
      <c r="AH281" t="s">
        <v>9762</v>
      </c>
      <c r="AI281" t="s">
        <v>9761</v>
      </c>
      <c r="AK281" t="s">
        <v>9760</v>
      </c>
      <c r="AL281">
        <v>8</v>
      </c>
      <c r="AM281" s="5">
        <f t="shared" si="34"/>
        <v>0.27586206896551724</v>
      </c>
      <c r="AN281" s="4">
        <f t="shared" si="39"/>
        <v>4.1781456867174139E-4</v>
      </c>
      <c r="AO281" s="3"/>
      <c r="AP281">
        <v>0</v>
      </c>
      <c r="AR281" t="s">
        <v>1</v>
      </c>
      <c r="AT281" s="2" t="s">
        <v>0</v>
      </c>
      <c r="AU281" s="1">
        <f t="shared" si="35"/>
        <v>2.2324431421134072</v>
      </c>
      <c r="AV281" s="1">
        <f t="shared" si="36"/>
        <v>1.6065398034716267</v>
      </c>
      <c r="AW281" s="1">
        <f t="shared" si="37"/>
        <v>0.98063646482984568</v>
      </c>
    </row>
    <row r="282" spans="1:49" x14ac:dyDescent="0.2">
      <c r="A282">
        <v>280</v>
      </c>
      <c r="B282" t="s">
        <v>9759</v>
      </c>
      <c r="C282" t="s">
        <v>9758</v>
      </c>
      <c r="F282" t="s">
        <v>9757</v>
      </c>
      <c r="G282" t="s">
        <v>15</v>
      </c>
      <c r="H282" t="s">
        <v>14</v>
      </c>
      <c r="I282" t="s">
        <v>7311</v>
      </c>
      <c r="J282" t="s">
        <v>9756</v>
      </c>
      <c r="K282" t="s">
        <v>9755</v>
      </c>
      <c r="L282" t="s">
        <v>9754</v>
      </c>
      <c r="M282" t="s">
        <v>9753</v>
      </c>
      <c r="N282">
        <v>3</v>
      </c>
      <c r="O282" t="s">
        <v>7308</v>
      </c>
      <c r="P282" t="s">
        <v>7307</v>
      </c>
      <c r="Q282" t="s">
        <v>9752</v>
      </c>
      <c r="R282" s="7">
        <v>33970</v>
      </c>
      <c r="S282" s="8">
        <f t="shared" si="32"/>
        <v>1993</v>
      </c>
      <c r="T282" s="8">
        <v>1993</v>
      </c>
      <c r="U282" s="8">
        <f t="shared" si="33"/>
        <v>29</v>
      </c>
      <c r="V282" s="7">
        <v>34304</v>
      </c>
      <c r="W282" t="s">
        <v>868</v>
      </c>
      <c r="X282" s="2">
        <v>0.375</v>
      </c>
      <c r="Y282" s="6">
        <f t="shared" si="38"/>
        <v>1.0010410827260351E-2</v>
      </c>
      <c r="AA282">
        <v>135194</v>
      </c>
      <c r="AB282">
        <v>24918</v>
      </c>
      <c r="AD282" t="s">
        <v>5</v>
      </c>
      <c r="AE282">
        <v>29</v>
      </c>
      <c r="AF282">
        <v>25</v>
      </c>
      <c r="AH282" t="s">
        <v>9751</v>
      </c>
      <c r="AI282" t="s">
        <v>9750</v>
      </c>
      <c r="AJ282" t="s">
        <v>9749</v>
      </c>
      <c r="AK282" t="s">
        <v>9748</v>
      </c>
      <c r="AL282">
        <v>3</v>
      </c>
      <c r="AM282" s="5">
        <f t="shared" si="34"/>
        <v>0.10344827586206896</v>
      </c>
      <c r="AN282" s="4">
        <f t="shared" si="39"/>
        <v>1.5668046325190301E-4</v>
      </c>
      <c r="AO282" s="3"/>
      <c r="AP282">
        <v>0</v>
      </c>
      <c r="AR282" t="s">
        <v>1</v>
      </c>
      <c r="AT282" s="2">
        <v>1.3140000000000001</v>
      </c>
      <c r="AU282" s="1">
        <f t="shared" si="35"/>
        <v>0.70542917180578169</v>
      </c>
      <c r="AV282" s="1">
        <f t="shared" si="36"/>
        <v>0.50835456452561267</v>
      </c>
      <c r="AW282" s="1">
        <f t="shared" si="37"/>
        <v>0.31127995724544377</v>
      </c>
    </row>
    <row r="283" spans="1:49" x14ac:dyDescent="0.2">
      <c r="A283">
        <v>281</v>
      </c>
      <c r="B283" t="s">
        <v>9747</v>
      </c>
      <c r="C283" t="s">
        <v>9746</v>
      </c>
      <c r="F283" t="s">
        <v>9745</v>
      </c>
      <c r="G283" t="s">
        <v>15</v>
      </c>
      <c r="H283" t="s">
        <v>14</v>
      </c>
      <c r="I283" t="s">
        <v>9744</v>
      </c>
      <c r="J283">
        <v>60026638</v>
      </c>
      <c r="K283" t="s">
        <v>9743</v>
      </c>
      <c r="L283" t="s">
        <v>4613</v>
      </c>
      <c r="M283" t="s">
        <v>4612</v>
      </c>
      <c r="N283">
        <v>2</v>
      </c>
      <c r="O283" t="s">
        <v>9742</v>
      </c>
      <c r="P283" t="s">
        <v>9741</v>
      </c>
      <c r="Q283" t="s">
        <v>9740</v>
      </c>
      <c r="R283" s="7">
        <v>33970</v>
      </c>
      <c r="S283" s="8">
        <f t="shared" si="32"/>
        <v>1993</v>
      </c>
      <c r="T283" s="8">
        <v>1993</v>
      </c>
      <c r="U283" s="8">
        <f t="shared" si="33"/>
        <v>29</v>
      </c>
      <c r="V283" s="7">
        <v>34304</v>
      </c>
      <c r="W283" t="s">
        <v>868</v>
      </c>
      <c r="X283" s="2">
        <v>0.375</v>
      </c>
      <c r="Y283" s="6">
        <f t="shared" si="38"/>
        <v>1.0010410827260351E-2</v>
      </c>
      <c r="AA283">
        <v>135194</v>
      </c>
      <c r="AB283">
        <v>24918</v>
      </c>
      <c r="AD283" t="s">
        <v>5</v>
      </c>
      <c r="AE283">
        <v>29</v>
      </c>
      <c r="AF283">
        <v>25</v>
      </c>
      <c r="AH283" t="s">
        <v>9739</v>
      </c>
      <c r="AI283" t="s">
        <v>9738</v>
      </c>
      <c r="AJ283" t="s">
        <v>9737</v>
      </c>
      <c r="AK283" t="s">
        <v>9736</v>
      </c>
      <c r="AL283">
        <v>1</v>
      </c>
      <c r="AM283" s="5">
        <f t="shared" si="34"/>
        <v>3.4482758620689655E-2</v>
      </c>
      <c r="AN283" s="4">
        <f t="shared" si="39"/>
        <v>5.2226821083967674E-5</v>
      </c>
      <c r="AO283" s="3"/>
      <c r="AP283">
        <v>0</v>
      </c>
      <c r="AR283" t="s">
        <v>1</v>
      </c>
      <c r="AT283" s="2">
        <v>1.3140000000000001</v>
      </c>
      <c r="AU283" s="1">
        <f t="shared" si="35"/>
        <v>0.70229556254074355</v>
      </c>
      <c r="AV283" s="1">
        <f t="shared" si="36"/>
        <v>0.50313188241721596</v>
      </c>
      <c r="AW283" s="1">
        <f t="shared" si="37"/>
        <v>0.30396820229368826</v>
      </c>
    </row>
    <row r="284" spans="1:49" x14ac:dyDescent="0.2">
      <c r="A284">
        <v>282</v>
      </c>
      <c r="B284" t="s">
        <v>9735</v>
      </c>
      <c r="C284" t="s">
        <v>9734</v>
      </c>
      <c r="F284" t="s">
        <v>9733</v>
      </c>
      <c r="G284" t="s">
        <v>15</v>
      </c>
      <c r="H284" t="s">
        <v>14</v>
      </c>
      <c r="I284" t="s">
        <v>9732</v>
      </c>
      <c r="J284">
        <v>60012162</v>
      </c>
      <c r="K284" t="s">
        <v>9731</v>
      </c>
      <c r="L284" t="s">
        <v>9730</v>
      </c>
      <c r="M284" t="s">
        <v>2423</v>
      </c>
      <c r="N284">
        <v>2</v>
      </c>
      <c r="O284" t="s">
        <v>9729</v>
      </c>
      <c r="P284" t="s">
        <v>9728</v>
      </c>
      <c r="Q284" t="s">
        <v>9727</v>
      </c>
      <c r="R284" s="7">
        <v>33970</v>
      </c>
      <c r="S284" s="8">
        <f t="shared" si="32"/>
        <v>1993</v>
      </c>
      <c r="T284" s="8">
        <v>1993</v>
      </c>
      <c r="U284" s="8">
        <f t="shared" si="33"/>
        <v>29</v>
      </c>
      <c r="V284" s="7">
        <v>34304</v>
      </c>
      <c r="W284" t="s">
        <v>868</v>
      </c>
      <c r="X284" s="2">
        <v>0.375</v>
      </c>
      <c r="Y284" s="6">
        <f t="shared" si="38"/>
        <v>1.0010410827260351E-2</v>
      </c>
      <c r="AA284">
        <v>135194</v>
      </c>
      <c r="AB284">
        <v>24918</v>
      </c>
      <c r="AD284" t="s">
        <v>5</v>
      </c>
      <c r="AE284">
        <v>29</v>
      </c>
      <c r="AF284">
        <v>25</v>
      </c>
      <c r="AH284" t="s">
        <v>9726</v>
      </c>
      <c r="AI284" t="s">
        <v>9725</v>
      </c>
      <c r="AJ284" t="s">
        <v>9724</v>
      </c>
      <c r="AK284" t="s">
        <v>9723</v>
      </c>
      <c r="AL284">
        <v>33</v>
      </c>
      <c r="AM284" s="5">
        <f t="shared" si="34"/>
        <v>1.1379310344827587</v>
      </c>
      <c r="AN284" s="4">
        <f t="shared" si="39"/>
        <v>1.7234850957709331E-3</v>
      </c>
      <c r="AO284" s="3"/>
      <c r="AP284">
        <v>0</v>
      </c>
      <c r="AR284" t="s">
        <v>1</v>
      </c>
      <c r="AT284" s="2">
        <v>1.3140000000000001</v>
      </c>
      <c r="AU284" s="1">
        <f t="shared" si="35"/>
        <v>0.75243331078135256</v>
      </c>
      <c r="AV284" s="1">
        <f t="shared" si="36"/>
        <v>0.58669479615156428</v>
      </c>
      <c r="AW284" s="1">
        <f t="shared" si="37"/>
        <v>0.42095628152177578</v>
      </c>
    </row>
    <row r="285" spans="1:49" x14ac:dyDescent="0.2">
      <c r="A285">
        <v>283</v>
      </c>
      <c r="B285" t="s">
        <v>9722</v>
      </c>
      <c r="C285" t="s">
        <v>9721</v>
      </c>
      <c r="F285" t="s">
        <v>9720</v>
      </c>
      <c r="G285" t="s">
        <v>15</v>
      </c>
      <c r="H285" t="s">
        <v>14</v>
      </c>
      <c r="I285" t="s">
        <v>9719</v>
      </c>
      <c r="J285">
        <v>117837654</v>
      </c>
      <c r="K285" t="s">
        <v>9718</v>
      </c>
      <c r="L285" t="s">
        <v>791</v>
      </c>
      <c r="M285" t="s">
        <v>59</v>
      </c>
      <c r="N285">
        <v>1</v>
      </c>
      <c r="O285" t="s">
        <v>9717</v>
      </c>
      <c r="P285">
        <v>6602631403</v>
      </c>
      <c r="Q285">
        <v>117837654</v>
      </c>
      <c r="R285" s="7">
        <v>33970</v>
      </c>
      <c r="S285" s="8">
        <f t="shared" si="32"/>
        <v>1993</v>
      </c>
      <c r="T285" s="8">
        <v>1993</v>
      </c>
      <c r="U285" s="8">
        <f t="shared" si="33"/>
        <v>29</v>
      </c>
      <c r="V285" s="7">
        <v>34304</v>
      </c>
      <c r="W285" t="s">
        <v>868</v>
      </c>
      <c r="X285" s="2">
        <v>0.375</v>
      </c>
      <c r="Y285" s="6">
        <f t="shared" si="38"/>
        <v>1.0010410827260351E-2</v>
      </c>
      <c r="AA285">
        <v>135194</v>
      </c>
      <c r="AB285">
        <v>24918</v>
      </c>
      <c r="AD285" t="s">
        <v>5</v>
      </c>
      <c r="AE285">
        <v>29</v>
      </c>
      <c r="AF285">
        <v>25</v>
      </c>
      <c r="AH285" t="s">
        <v>9716</v>
      </c>
      <c r="AI285" t="s">
        <v>9715</v>
      </c>
      <c r="AJ285" t="s">
        <v>9714</v>
      </c>
      <c r="AK285" t="s">
        <v>9713</v>
      </c>
      <c r="AL285">
        <v>5</v>
      </c>
      <c r="AM285" s="5">
        <f t="shared" si="34"/>
        <v>0.17241379310344829</v>
      </c>
      <c r="AN285" s="4">
        <f t="shared" si="39"/>
        <v>2.6113410541983838E-4</v>
      </c>
      <c r="AO285" s="3"/>
      <c r="AP285">
        <v>0</v>
      </c>
      <c r="AR285" t="s">
        <v>1</v>
      </c>
      <c r="AT285" s="2">
        <v>1.3140000000000001</v>
      </c>
      <c r="AU285" s="1">
        <f t="shared" si="35"/>
        <v>0.70856278107081971</v>
      </c>
      <c r="AV285" s="1">
        <f t="shared" si="36"/>
        <v>0.5135772466340095</v>
      </c>
      <c r="AW285" s="1">
        <f t="shared" si="37"/>
        <v>0.31859171219719917</v>
      </c>
    </row>
    <row r="286" spans="1:49" x14ac:dyDescent="0.2">
      <c r="A286">
        <v>284</v>
      </c>
      <c r="B286" t="s">
        <v>9712</v>
      </c>
      <c r="C286" t="s">
        <v>9711</v>
      </c>
      <c r="F286" t="s">
        <v>9710</v>
      </c>
      <c r="G286" t="s">
        <v>15</v>
      </c>
      <c r="H286" t="s">
        <v>14</v>
      </c>
      <c r="I286" t="s">
        <v>6257</v>
      </c>
      <c r="J286">
        <v>60025225</v>
      </c>
      <c r="K286" t="s">
        <v>6256</v>
      </c>
      <c r="L286" t="s">
        <v>6255</v>
      </c>
      <c r="M286" t="s">
        <v>493</v>
      </c>
      <c r="N286">
        <v>3</v>
      </c>
      <c r="O286" t="s">
        <v>9709</v>
      </c>
      <c r="P286" t="s">
        <v>9708</v>
      </c>
      <c r="Q286" t="s">
        <v>9707</v>
      </c>
      <c r="R286" s="7">
        <v>33970</v>
      </c>
      <c r="S286" s="8">
        <f t="shared" si="32"/>
        <v>1993</v>
      </c>
      <c r="T286" s="8">
        <v>1993</v>
      </c>
      <c r="U286" s="8">
        <f t="shared" si="33"/>
        <v>29</v>
      </c>
      <c r="V286" s="7">
        <v>34151</v>
      </c>
      <c r="W286" t="s">
        <v>868</v>
      </c>
      <c r="X286" s="2">
        <v>0.375</v>
      </c>
      <c r="Y286" s="6">
        <f t="shared" si="38"/>
        <v>1.0010410827260351E-2</v>
      </c>
      <c r="AA286">
        <v>135194</v>
      </c>
      <c r="AB286">
        <v>24918</v>
      </c>
      <c r="AD286" t="s">
        <v>5</v>
      </c>
      <c r="AE286">
        <v>29</v>
      </c>
      <c r="AF286">
        <v>14</v>
      </c>
      <c r="AH286" t="s">
        <v>9706</v>
      </c>
      <c r="AI286" t="s">
        <v>9705</v>
      </c>
      <c r="AJ286" t="s">
        <v>9704</v>
      </c>
      <c r="AK286" t="s">
        <v>9703</v>
      </c>
      <c r="AL286">
        <v>2</v>
      </c>
      <c r="AM286" s="5">
        <f t="shared" si="34"/>
        <v>6.8965517241379309E-2</v>
      </c>
      <c r="AN286" s="4">
        <f t="shared" si="39"/>
        <v>1.0445364216793535E-4</v>
      </c>
      <c r="AO286" s="3"/>
      <c r="AP286">
        <v>0</v>
      </c>
      <c r="AR286" t="s">
        <v>1</v>
      </c>
      <c r="AT286" s="2">
        <v>1.3140000000000001</v>
      </c>
      <c r="AU286" s="1">
        <f t="shared" si="35"/>
        <v>0.70386236717326256</v>
      </c>
      <c r="AV286" s="1">
        <f t="shared" si="36"/>
        <v>0.50574322347141432</v>
      </c>
      <c r="AW286" s="1">
        <f t="shared" si="37"/>
        <v>0.30762407976956602</v>
      </c>
    </row>
    <row r="287" spans="1:49" x14ac:dyDescent="0.2">
      <c r="A287">
        <v>285</v>
      </c>
      <c r="B287" t="s">
        <v>9702</v>
      </c>
      <c r="C287" t="s">
        <v>9701</v>
      </c>
      <c r="F287" t="s">
        <v>9700</v>
      </c>
      <c r="G287" t="s">
        <v>15</v>
      </c>
      <c r="H287" t="s">
        <v>14</v>
      </c>
      <c r="I287" t="s">
        <v>8290</v>
      </c>
      <c r="J287">
        <v>100352408</v>
      </c>
      <c r="K287" t="s">
        <v>9699</v>
      </c>
      <c r="L287" t="s">
        <v>9698</v>
      </c>
      <c r="M287" t="s">
        <v>10</v>
      </c>
      <c r="N287">
        <v>1</v>
      </c>
      <c r="O287" t="s">
        <v>9697</v>
      </c>
      <c r="P287">
        <v>24512080300</v>
      </c>
      <c r="Q287">
        <v>100352408</v>
      </c>
      <c r="R287" s="7">
        <v>33970</v>
      </c>
      <c r="S287" s="8">
        <f t="shared" si="32"/>
        <v>1993</v>
      </c>
      <c r="T287" s="8">
        <v>1993</v>
      </c>
      <c r="U287" s="8">
        <f t="shared" si="33"/>
        <v>29</v>
      </c>
      <c r="V287" s="7">
        <v>34151</v>
      </c>
      <c r="W287" t="s">
        <v>868</v>
      </c>
      <c r="X287" s="2">
        <v>0.375</v>
      </c>
      <c r="Y287" s="6">
        <f t="shared" si="38"/>
        <v>1.0010410827260351E-2</v>
      </c>
      <c r="AA287">
        <v>135194</v>
      </c>
      <c r="AB287">
        <v>24918</v>
      </c>
      <c r="AD287" t="s">
        <v>5</v>
      </c>
      <c r="AE287">
        <v>29</v>
      </c>
      <c r="AF287">
        <v>14</v>
      </c>
      <c r="AH287" t="s">
        <v>9696</v>
      </c>
      <c r="AI287" t="s">
        <v>9695</v>
      </c>
      <c r="AJ287" t="s">
        <v>9694</v>
      </c>
      <c r="AK287" t="s">
        <v>9693</v>
      </c>
      <c r="AL287">
        <v>1</v>
      </c>
      <c r="AM287" s="5">
        <f t="shared" si="34"/>
        <v>3.4482758620689655E-2</v>
      </c>
      <c r="AN287" s="4">
        <f t="shared" si="39"/>
        <v>5.2226821083967674E-5</v>
      </c>
      <c r="AO287" s="3"/>
      <c r="AP287">
        <v>0</v>
      </c>
      <c r="AR287" t="s">
        <v>1</v>
      </c>
      <c r="AT287" s="2">
        <v>1.3140000000000001</v>
      </c>
      <c r="AU287" s="1">
        <f t="shared" si="35"/>
        <v>0.70229556254074355</v>
      </c>
      <c r="AV287" s="1">
        <f t="shared" si="36"/>
        <v>0.50313188241721596</v>
      </c>
      <c r="AW287" s="1">
        <f t="shared" si="37"/>
        <v>0.30396820229368826</v>
      </c>
    </row>
    <row r="288" spans="1:49" x14ac:dyDescent="0.2">
      <c r="A288">
        <v>286</v>
      </c>
      <c r="B288" t="s">
        <v>9692</v>
      </c>
      <c r="C288" t="s">
        <v>9691</v>
      </c>
      <c r="F288" t="s">
        <v>9690</v>
      </c>
      <c r="G288" t="s">
        <v>15</v>
      </c>
      <c r="H288" t="s">
        <v>14</v>
      </c>
      <c r="I288" t="s">
        <v>9689</v>
      </c>
      <c r="J288" t="s">
        <v>9688</v>
      </c>
      <c r="K288" t="s">
        <v>9687</v>
      </c>
      <c r="L288" t="s">
        <v>9686</v>
      </c>
      <c r="M288" t="s">
        <v>478</v>
      </c>
      <c r="N288">
        <v>3</v>
      </c>
      <c r="O288" t="s">
        <v>9685</v>
      </c>
      <c r="P288" t="s">
        <v>9684</v>
      </c>
      <c r="Q288" t="s">
        <v>9683</v>
      </c>
      <c r="R288" s="7">
        <v>33970</v>
      </c>
      <c r="S288" s="8">
        <f t="shared" si="32"/>
        <v>1993</v>
      </c>
      <c r="T288" s="8">
        <v>1993</v>
      </c>
      <c r="U288" s="8">
        <f t="shared" si="33"/>
        <v>29</v>
      </c>
      <c r="V288" s="7">
        <v>34151</v>
      </c>
      <c r="W288" t="s">
        <v>868</v>
      </c>
      <c r="X288" s="2">
        <v>0.375</v>
      </c>
      <c r="Y288" s="6">
        <f t="shared" si="38"/>
        <v>1.0010410827260351E-2</v>
      </c>
      <c r="AA288">
        <v>135194</v>
      </c>
      <c r="AB288">
        <v>24918</v>
      </c>
      <c r="AD288" t="s">
        <v>5</v>
      </c>
      <c r="AE288">
        <v>29</v>
      </c>
      <c r="AF288">
        <v>14</v>
      </c>
      <c r="AH288" t="s">
        <v>9682</v>
      </c>
      <c r="AI288" t="s">
        <v>9681</v>
      </c>
      <c r="AJ288" t="s">
        <v>9680</v>
      </c>
      <c r="AK288" t="s">
        <v>9679</v>
      </c>
      <c r="AL288">
        <v>3</v>
      </c>
      <c r="AM288" s="5">
        <f t="shared" si="34"/>
        <v>0.10344827586206896</v>
      </c>
      <c r="AN288" s="4">
        <f t="shared" si="39"/>
        <v>1.5668046325190301E-4</v>
      </c>
      <c r="AO288" s="3"/>
      <c r="AP288">
        <v>0</v>
      </c>
      <c r="AR288" t="s">
        <v>1</v>
      </c>
      <c r="AT288" s="2">
        <v>1.3140000000000001</v>
      </c>
      <c r="AU288" s="1">
        <f t="shared" si="35"/>
        <v>0.70542917180578169</v>
      </c>
      <c r="AV288" s="1">
        <f t="shared" si="36"/>
        <v>0.50835456452561267</v>
      </c>
      <c r="AW288" s="1">
        <f t="shared" si="37"/>
        <v>0.31127995724544377</v>
      </c>
    </row>
    <row r="289" spans="1:49" x14ac:dyDescent="0.2">
      <c r="A289">
        <v>287</v>
      </c>
      <c r="B289" t="s">
        <v>9678</v>
      </c>
      <c r="C289" t="s">
        <v>9677</v>
      </c>
      <c r="F289" t="s">
        <v>9676</v>
      </c>
      <c r="G289" t="s">
        <v>15</v>
      </c>
      <c r="H289" t="s">
        <v>14</v>
      </c>
      <c r="I289" t="s">
        <v>9675</v>
      </c>
      <c r="J289">
        <v>60008134</v>
      </c>
      <c r="K289" t="s">
        <v>4234</v>
      </c>
      <c r="L289" t="s">
        <v>4233</v>
      </c>
      <c r="M289" t="s">
        <v>303</v>
      </c>
      <c r="N289">
        <v>2</v>
      </c>
      <c r="O289" t="s">
        <v>9674</v>
      </c>
      <c r="P289" t="s">
        <v>9673</v>
      </c>
      <c r="Q289" t="s">
        <v>9489</v>
      </c>
      <c r="R289" s="7">
        <v>33970</v>
      </c>
      <c r="S289" s="8">
        <f t="shared" si="32"/>
        <v>1993</v>
      </c>
      <c r="T289" s="8">
        <v>1993</v>
      </c>
      <c r="U289" s="8">
        <f t="shared" si="33"/>
        <v>29</v>
      </c>
      <c r="V289" s="7">
        <v>33970</v>
      </c>
      <c r="W289" t="s">
        <v>868</v>
      </c>
      <c r="X289" s="2">
        <v>0.375</v>
      </c>
      <c r="Y289" s="6">
        <f t="shared" si="38"/>
        <v>1.0010410827260351E-2</v>
      </c>
      <c r="AA289">
        <v>135194</v>
      </c>
      <c r="AB289">
        <v>24918</v>
      </c>
      <c r="AD289" t="s">
        <v>5</v>
      </c>
      <c r="AE289">
        <v>29</v>
      </c>
      <c r="AF289">
        <v>1</v>
      </c>
      <c r="AH289" t="s">
        <v>9672</v>
      </c>
      <c r="AI289" t="s">
        <v>9671</v>
      </c>
      <c r="AJ289" t="s">
        <v>3811</v>
      </c>
      <c r="AK289" t="s">
        <v>9670</v>
      </c>
      <c r="AL289">
        <v>9</v>
      </c>
      <c r="AM289" s="5">
        <f t="shared" si="34"/>
        <v>0.31034482758620691</v>
      </c>
      <c r="AN289" s="4">
        <f t="shared" si="39"/>
        <v>4.7004138975570908E-4</v>
      </c>
      <c r="AO289" s="3"/>
      <c r="AP289">
        <v>0</v>
      </c>
      <c r="AR289" t="s">
        <v>1</v>
      </c>
      <c r="AT289" s="2">
        <v>1.3140000000000001</v>
      </c>
      <c r="AU289" s="1">
        <f t="shared" si="35"/>
        <v>0.71482999960089588</v>
      </c>
      <c r="AV289" s="1">
        <f t="shared" si="36"/>
        <v>0.52402261085080304</v>
      </c>
      <c r="AW289" s="1">
        <f t="shared" si="37"/>
        <v>0.33321522210071014</v>
      </c>
    </row>
    <row r="290" spans="1:49" x14ac:dyDescent="0.2">
      <c r="A290">
        <v>288</v>
      </c>
      <c r="B290" t="s">
        <v>9669</v>
      </c>
      <c r="C290" t="s">
        <v>9668</v>
      </c>
      <c r="F290" t="s">
        <v>9667</v>
      </c>
      <c r="G290" t="s">
        <v>15</v>
      </c>
      <c r="H290" t="s">
        <v>14</v>
      </c>
      <c r="I290" t="s">
        <v>9666</v>
      </c>
      <c r="J290">
        <v>60009658</v>
      </c>
      <c r="K290" t="s">
        <v>2497</v>
      </c>
      <c r="L290" t="s">
        <v>2496</v>
      </c>
      <c r="M290" t="s">
        <v>493</v>
      </c>
      <c r="N290">
        <v>1</v>
      </c>
      <c r="O290" t="s">
        <v>9665</v>
      </c>
      <c r="P290">
        <v>7403693888</v>
      </c>
      <c r="Q290">
        <v>60009658</v>
      </c>
      <c r="R290" s="7">
        <v>33970</v>
      </c>
      <c r="S290" s="8">
        <f t="shared" si="32"/>
        <v>1993</v>
      </c>
      <c r="T290" s="8">
        <v>1993</v>
      </c>
      <c r="U290" s="8">
        <f t="shared" si="33"/>
        <v>29</v>
      </c>
      <c r="V290" s="7">
        <v>33970</v>
      </c>
      <c r="W290" t="s">
        <v>868</v>
      </c>
      <c r="X290" s="2">
        <v>0.375</v>
      </c>
      <c r="Y290" s="6">
        <f t="shared" si="38"/>
        <v>1.0010410827260351E-2</v>
      </c>
      <c r="AA290">
        <v>135194</v>
      </c>
      <c r="AB290">
        <v>24918</v>
      </c>
      <c r="AD290" t="s">
        <v>5</v>
      </c>
      <c r="AE290">
        <v>29</v>
      </c>
      <c r="AF290">
        <v>1</v>
      </c>
      <c r="AH290" t="s">
        <v>9664</v>
      </c>
      <c r="AI290" t="s">
        <v>9663</v>
      </c>
      <c r="AJ290" t="s">
        <v>9662</v>
      </c>
      <c r="AK290" t="s">
        <v>9661</v>
      </c>
      <c r="AL290">
        <v>13</v>
      </c>
      <c r="AM290" s="5">
        <f t="shared" si="34"/>
        <v>0.44827586206896552</v>
      </c>
      <c r="AN290" s="4">
        <f t="shared" si="39"/>
        <v>6.7894867409157972E-4</v>
      </c>
      <c r="AO290" s="3"/>
      <c r="AP290">
        <v>0</v>
      </c>
      <c r="AR290" t="s">
        <v>1</v>
      </c>
      <c r="AT290" s="2">
        <v>1.3140000000000001</v>
      </c>
      <c r="AU290" s="1">
        <f t="shared" si="35"/>
        <v>0.72109721813097194</v>
      </c>
      <c r="AV290" s="1">
        <f t="shared" si="36"/>
        <v>0.53446797506759658</v>
      </c>
      <c r="AW290" s="1">
        <f t="shared" si="37"/>
        <v>0.34783873200422111</v>
      </c>
    </row>
    <row r="291" spans="1:49" x14ac:dyDescent="0.2">
      <c r="A291">
        <v>289</v>
      </c>
      <c r="B291" t="s">
        <v>9660</v>
      </c>
      <c r="C291" t="s">
        <v>9659</v>
      </c>
      <c r="F291" t="s">
        <v>9658</v>
      </c>
      <c r="G291" t="s">
        <v>15</v>
      </c>
      <c r="H291" t="s">
        <v>14</v>
      </c>
      <c r="I291" t="s">
        <v>9207</v>
      </c>
      <c r="J291">
        <v>60019656</v>
      </c>
      <c r="K291" t="s">
        <v>7665</v>
      </c>
      <c r="L291" t="s">
        <v>7664</v>
      </c>
      <c r="M291" t="s">
        <v>493</v>
      </c>
      <c r="N291">
        <v>2</v>
      </c>
      <c r="O291" t="s">
        <v>9657</v>
      </c>
      <c r="P291" t="s">
        <v>9205</v>
      </c>
      <c r="Q291" t="s">
        <v>9204</v>
      </c>
      <c r="R291" s="7">
        <v>33970</v>
      </c>
      <c r="S291" s="8">
        <f t="shared" si="32"/>
        <v>1993</v>
      </c>
      <c r="T291" s="8">
        <v>1993</v>
      </c>
      <c r="U291" s="8">
        <f t="shared" si="33"/>
        <v>29</v>
      </c>
      <c r="V291" s="7">
        <v>33970</v>
      </c>
      <c r="W291" t="s">
        <v>868</v>
      </c>
      <c r="X291" s="2">
        <v>0.375</v>
      </c>
      <c r="Y291" s="6">
        <f t="shared" si="38"/>
        <v>1.0010410827260351E-2</v>
      </c>
      <c r="AA291">
        <v>135194</v>
      </c>
      <c r="AB291">
        <v>24918</v>
      </c>
      <c r="AD291" t="s">
        <v>5</v>
      </c>
      <c r="AE291">
        <v>29</v>
      </c>
      <c r="AF291">
        <v>1</v>
      </c>
      <c r="AH291" t="s">
        <v>9656</v>
      </c>
      <c r="AI291" t="s">
        <v>9655</v>
      </c>
      <c r="AJ291" t="s">
        <v>9654</v>
      </c>
      <c r="AK291" t="s">
        <v>9653</v>
      </c>
      <c r="AL291">
        <v>28</v>
      </c>
      <c r="AM291" s="5">
        <f t="shared" si="34"/>
        <v>0.96551724137931039</v>
      </c>
      <c r="AN291" s="4">
        <f t="shared" si="39"/>
        <v>1.4623509903510948E-3</v>
      </c>
      <c r="AO291" s="3"/>
      <c r="AP291">
        <v>0</v>
      </c>
      <c r="AR291" t="s">
        <v>1</v>
      </c>
      <c r="AT291" s="2">
        <v>1.3140000000000001</v>
      </c>
      <c r="AU291" s="1">
        <f t="shared" si="35"/>
        <v>0.74459928761875738</v>
      </c>
      <c r="AV291" s="1">
        <f t="shared" si="36"/>
        <v>0.57363809088057227</v>
      </c>
      <c r="AW291" s="1">
        <f t="shared" si="37"/>
        <v>0.40267689414238711</v>
      </c>
    </row>
    <row r="292" spans="1:49" x14ac:dyDescent="0.2">
      <c r="A292">
        <v>290</v>
      </c>
      <c r="B292" t="s">
        <v>9652</v>
      </c>
      <c r="C292" t="s">
        <v>9651</v>
      </c>
      <c r="F292" t="s">
        <v>9650</v>
      </c>
      <c r="G292" t="s">
        <v>15</v>
      </c>
      <c r="H292" t="s">
        <v>14</v>
      </c>
      <c r="I292" t="s">
        <v>9649</v>
      </c>
      <c r="J292">
        <v>60018829</v>
      </c>
      <c r="K292" t="s">
        <v>9648</v>
      </c>
      <c r="L292" t="s">
        <v>5930</v>
      </c>
      <c r="M292" t="s">
        <v>493</v>
      </c>
      <c r="N292">
        <v>2</v>
      </c>
      <c r="O292" t="s">
        <v>9647</v>
      </c>
      <c r="P292" t="s">
        <v>9646</v>
      </c>
      <c r="Q292" t="s">
        <v>9645</v>
      </c>
      <c r="R292" s="7">
        <v>33970</v>
      </c>
      <c r="S292" s="8">
        <f t="shared" si="32"/>
        <v>1993</v>
      </c>
      <c r="T292" s="8">
        <v>1993</v>
      </c>
      <c r="U292" s="8">
        <f t="shared" si="33"/>
        <v>29</v>
      </c>
      <c r="V292" s="7">
        <v>33970</v>
      </c>
      <c r="W292" t="s">
        <v>868</v>
      </c>
      <c r="X292" s="2">
        <v>0.375</v>
      </c>
      <c r="Y292" s="6">
        <f t="shared" si="38"/>
        <v>1.0010410827260351E-2</v>
      </c>
      <c r="AA292">
        <v>135194</v>
      </c>
      <c r="AB292">
        <v>24918</v>
      </c>
      <c r="AD292" t="s">
        <v>5</v>
      </c>
      <c r="AE292">
        <v>29</v>
      </c>
      <c r="AF292">
        <v>1</v>
      </c>
      <c r="AH292" t="s">
        <v>9644</v>
      </c>
      <c r="AI292" t="s">
        <v>9643</v>
      </c>
      <c r="AJ292" t="s">
        <v>9642</v>
      </c>
      <c r="AK292" t="s">
        <v>9641</v>
      </c>
      <c r="AL292">
        <v>3</v>
      </c>
      <c r="AM292" s="5">
        <f t="shared" si="34"/>
        <v>0.10344827586206896</v>
      </c>
      <c r="AN292" s="4">
        <f t="shared" si="39"/>
        <v>1.5668046325190301E-4</v>
      </c>
      <c r="AO292" s="3"/>
      <c r="AP292">
        <v>0</v>
      </c>
      <c r="AR292" t="s">
        <v>1</v>
      </c>
      <c r="AT292" s="2">
        <v>1.3140000000000001</v>
      </c>
      <c r="AU292" s="1">
        <f t="shared" si="35"/>
        <v>0.70542917180578169</v>
      </c>
      <c r="AV292" s="1">
        <f t="shared" si="36"/>
        <v>0.50835456452561267</v>
      </c>
      <c r="AW292" s="1">
        <f t="shared" si="37"/>
        <v>0.31127995724544377</v>
      </c>
    </row>
    <row r="293" spans="1:49" x14ac:dyDescent="0.2">
      <c r="A293">
        <v>291</v>
      </c>
      <c r="B293" t="s">
        <v>9640</v>
      </c>
      <c r="C293" t="s">
        <v>9639</v>
      </c>
      <c r="F293" t="s">
        <v>9638</v>
      </c>
      <c r="G293" t="s">
        <v>15</v>
      </c>
      <c r="H293" t="s">
        <v>14</v>
      </c>
      <c r="I293" t="s">
        <v>9461</v>
      </c>
      <c r="J293">
        <v>60009037</v>
      </c>
      <c r="K293" t="s">
        <v>647</v>
      </c>
      <c r="L293" t="s">
        <v>646</v>
      </c>
      <c r="M293" t="s">
        <v>10</v>
      </c>
      <c r="N293">
        <v>1</v>
      </c>
      <c r="O293" t="s">
        <v>9637</v>
      </c>
      <c r="P293">
        <v>7404814748</v>
      </c>
      <c r="Q293">
        <v>60009037</v>
      </c>
      <c r="R293" s="7">
        <v>33970</v>
      </c>
      <c r="S293" s="8">
        <f t="shared" si="32"/>
        <v>1993</v>
      </c>
      <c r="T293" s="8">
        <v>1993</v>
      </c>
      <c r="U293" s="8">
        <f t="shared" si="33"/>
        <v>29</v>
      </c>
      <c r="V293" s="7">
        <v>34308</v>
      </c>
      <c r="W293" t="s">
        <v>2382</v>
      </c>
      <c r="X293" s="2">
        <v>0.30399999999999999</v>
      </c>
      <c r="Y293" s="6">
        <f t="shared" si="38"/>
        <v>8.115106377299057E-3</v>
      </c>
      <c r="AA293">
        <v>8952477</v>
      </c>
      <c r="AB293">
        <v>12250</v>
      </c>
      <c r="AC293">
        <v>10982760</v>
      </c>
      <c r="AD293" t="s">
        <v>5</v>
      </c>
      <c r="AE293">
        <v>6</v>
      </c>
      <c r="AF293">
        <v>15</v>
      </c>
      <c r="AH293" t="s">
        <v>9636</v>
      </c>
      <c r="AI293" t="s">
        <v>9635</v>
      </c>
      <c r="AJ293" t="s">
        <v>9634</v>
      </c>
      <c r="AK293" t="s">
        <v>9633</v>
      </c>
      <c r="AL293">
        <v>3</v>
      </c>
      <c r="AM293" s="5">
        <f t="shared" si="34"/>
        <v>0.10344827586206896</v>
      </c>
      <c r="AN293" s="4">
        <f t="shared" si="39"/>
        <v>1.5668046325190301E-4</v>
      </c>
      <c r="AO293" s="3"/>
      <c r="AP293">
        <v>0</v>
      </c>
      <c r="AR293" t="s">
        <v>1</v>
      </c>
      <c r="AT293" s="2" t="s">
        <v>0</v>
      </c>
      <c r="AU293" s="1">
        <f t="shared" si="35"/>
        <v>0.57275786030849107</v>
      </c>
      <c r="AV293" s="1">
        <f t="shared" si="36"/>
        <v>0.41358934202754799</v>
      </c>
      <c r="AW293" s="1">
        <f t="shared" si="37"/>
        <v>0.25442082374660496</v>
      </c>
    </row>
    <row r="294" spans="1:49" x14ac:dyDescent="0.2">
      <c r="A294">
        <v>292</v>
      </c>
      <c r="B294" t="s">
        <v>9632</v>
      </c>
      <c r="C294" t="s">
        <v>9631</v>
      </c>
      <c r="F294" t="s">
        <v>9630</v>
      </c>
      <c r="G294" t="s">
        <v>15</v>
      </c>
      <c r="H294" t="s">
        <v>14</v>
      </c>
      <c r="I294" t="s">
        <v>3125</v>
      </c>
      <c r="J294">
        <v>60008524</v>
      </c>
      <c r="K294" t="s">
        <v>3124</v>
      </c>
      <c r="L294" t="s">
        <v>3123</v>
      </c>
      <c r="M294" t="s">
        <v>493</v>
      </c>
      <c r="N294">
        <v>2</v>
      </c>
      <c r="O294" t="s">
        <v>3122</v>
      </c>
      <c r="P294" t="s">
        <v>3121</v>
      </c>
      <c r="Q294" t="s">
        <v>3120</v>
      </c>
      <c r="R294" s="7">
        <v>33970</v>
      </c>
      <c r="S294" s="8">
        <f t="shared" si="32"/>
        <v>1993</v>
      </c>
      <c r="T294" s="8">
        <v>1993</v>
      </c>
      <c r="U294" s="8">
        <f t="shared" si="33"/>
        <v>29</v>
      </c>
      <c r="V294" s="7">
        <v>34308</v>
      </c>
      <c r="W294" t="s">
        <v>2382</v>
      </c>
      <c r="X294" s="2">
        <v>0.30399999999999999</v>
      </c>
      <c r="Y294" s="6">
        <f t="shared" si="38"/>
        <v>8.115106377299057E-3</v>
      </c>
      <c r="AA294">
        <v>8952477</v>
      </c>
      <c r="AB294">
        <v>12250</v>
      </c>
      <c r="AC294">
        <v>10982760</v>
      </c>
      <c r="AD294" t="s">
        <v>5</v>
      </c>
      <c r="AE294">
        <v>6</v>
      </c>
      <c r="AF294">
        <v>15</v>
      </c>
      <c r="AH294" t="s">
        <v>9629</v>
      </c>
      <c r="AI294" t="s">
        <v>9628</v>
      </c>
      <c r="AJ294" t="s">
        <v>9627</v>
      </c>
      <c r="AK294" t="s">
        <v>9626</v>
      </c>
      <c r="AL294">
        <v>11</v>
      </c>
      <c r="AM294" s="5">
        <f t="shared" si="34"/>
        <v>0.37931034482758619</v>
      </c>
      <c r="AN294" s="4">
        <f t="shared" si="39"/>
        <v>5.7449503192364435E-4</v>
      </c>
      <c r="AO294" s="3"/>
      <c r="AP294">
        <v>0</v>
      </c>
      <c r="AR294" t="s">
        <v>1</v>
      </c>
      <c r="AT294" s="2" t="s">
        <v>0</v>
      </c>
      <c r="AU294" s="1">
        <f t="shared" si="35"/>
        <v>0.5852922973686433</v>
      </c>
      <c r="AV294" s="1">
        <f t="shared" si="36"/>
        <v>0.43448007046113502</v>
      </c>
      <c r="AW294" s="1">
        <f t="shared" si="37"/>
        <v>0.28366784355362679</v>
      </c>
    </row>
    <row r="295" spans="1:49" x14ac:dyDescent="0.2">
      <c r="A295">
        <v>293</v>
      </c>
      <c r="B295" t="s">
        <v>9625</v>
      </c>
      <c r="C295" t="s">
        <v>9624</v>
      </c>
      <c r="F295" t="s">
        <v>9623</v>
      </c>
      <c r="G295" t="s">
        <v>15</v>
      </c>
      <c r="H295" t="s">
        <v>14</v>
      </c>
      <c r="I295" t="s">
        <v>9407</v>
      </c>
      <c r="J295">
        <v>60020547</v>
      </c>
      <c r="K295" t="s">
        <v>3199</v>
      </c>
      <c r="L295" t="s">
        <v>3198</v>
      </c>
      <c r="M295" t="s">
        <v>10</v>
      </c>
      <c r="N295">
        <v>2</v>
      </c>
      <c r="O295" t="s">
        <v>9622</v>
      </c>
      <c r="P295" t="s">
        <v>9405</v>
      </c>
      <c r="Q295" t="s">
        <v>9366</v>
      </c>
      <c r="R295" s="7">
        <v>33970</v>
      </c>
      <c r="S295" s="8">
        <f t="shared" si="32"/>
        <v>1993</v>
      </c>
      <c r="T295" s="8">
        <v>1993</v>
      </c>
      <c r="U295" s="8">
        <f t="shared" si="33"/>
        <v>29</v>
      </c>
      <c r="V295" s="7">
        <v>34308</v>
      </c>
      <c r="W295" t="s">
        <v>2382</v>
      </c>
      <c r="X295" s="2">
        <v>0.30399999999999999</v>
      </c>
      <c r="Y295" s="6">
        <f t="shared" si="38"/>
        <v>8.115106377299057E-3</v>
      </c>
      <c r="AA295">
        <v>8952477</v>
      </c>
      <c r="AB295">
        <v>12250</v>
      </c>
      <c r="AC295">
        <v>10982760</v>
      </c>
      <c r="AD295" t="s">
        <v>5</v>
      </c>
      <c r="AE295">
        <v>6</v>
      </c>
      <c r="AF295">
        <v>15</v>
      </c>
      <c r="AH295" t="s">
        <v>9621</v>
      </c>
      <c r="AI295" t="s">
        <v>9620</v>
      </c>
      <c r="AJ295" t="s">
        <v>9619</v>
      </c>
      <c r="AK295" t="s">
        <v>9618</v>
      </c>
      <c r="AL295">
        <v>1</v>
      </c>
      <c r="AM295" s="5">
        <f t="shared" si="34"/>
        <v>3.4482758620689655E-2</v>
      </c>
      <c r="AN295" s="4">
        <f t="shared" si="39"/>
        <v>5.2226821083967674E-5</v>
      </c>
      <c r="AO295" s="3"/>
      <c r="AP295">
        <v>0</v>
      </c>
      <c r="AR295" t="s">
        <v>1</v>
      </c>
      <c r="AT295" s="2" t="s">
        <v>0</v>
      </c>
      <c r="AU295" s="1">
        <f t="shared" si="35"/>
        <v>0.56962425104345293</v>
      </c>
      <c r="AV295" s="1">
        <f t="shared" si="36"/>
        <v>0.40836665991915122</v>
      </c>
      <c r="AW295" s="1">
        <f t="shared" si="37"/>
        <v>0.24710906879484945</v>
      </c>
    </row>
    <row r="296" spans="1:49" x14ac:dyDescent="0.2">
      <c r="A296">
        <v>294</v>
      </c>
      <c r="B296" t="s">
        <v>9617</v>
      </c>
      <c r="C296" t="s">
        <v>9616</v>
      </c>
      <c r="F296" t="s">
        <v>9615</v>
      </c>
      <c r="G296" t="s">
        <v>15</v>
      </c>
      <c r="H296" t="s">
        <v>14</v>
      </c>
      <c r="I296" t="s">
        <v>9614</v>
      </c>
      <c r="J296">
        <v>60015465</v>
      </c>
      <c r="K296" t="s">
        <v>4453</v>
      </c>
      <c r="L296" t="s">
        <v>4452</v>
      </c>
      <c r="M296" t="s">
        <v>576</v>
      </c>
      <c r="N296">
        <v>2</v>
      </c>
      <c r="O296" t="s">
        <v>9613</v>
      </c>
      <c r="P296" t="s">
        <v>9612</v>
      </c>
      <c r="Q296" t="s">
        <v>9611</v>
      </c>
      <c r="R296" s="7">
        <v>33970</v>
      </c>
      <c r="S296" s="8">
        <f t="shared" si="32"/>
        <v>1993</v>
      </c>
      <c r="T296" s="8">
        <v>1993</v>
      </c>
      <c r="U296" s="8">
        <f t="shared" si="33"/>
        <v>29</v>
      </c>
      <c r="V296" s="7">
        <v>34217</v>
      </c>
      <c r="W296" t="s">
        <v>2382</v>
      </c>
      <c r="X296" s="2">
        <v>0.30399999999999999</v>
      </c>
      <c r="Y296" s="6">
        <f t="shared" si="38"/>
        <v>8.115106377299057E-3</v>
      </c>
      <c r="AA296">
        <v>8952477</v>
      </c>
      <c r="AB296">
        <v>12250</v>
      </c>
      <c r="AC296">
        <v>10982760</v>
      </c>
      <c r="AD296" t="s">
        <v>5</v>
      </c>
      <c r="AE296">
        <v>6</v>
      </c>
      <c r="AF296">
        <v>11</v>
      </c>
      <c r="AH296" t="s">
        <v>9610</v>
      </c>
      <c r="AI296" t="s">
        <v>9609</v>
      </c>
      <c r="AJ296" t="s">
        <v>9608</v>
      </c>
      <c r="AK296" t="s">
        <v>9607</v>
      </c>
      <c r="AL296">
        <v>1</v>
      </c>
      <c r="AM296" s="5">
        <f t="shared" si="34"/>
        <v>3.4482758620689655E-2</v>
      </c>
      <c r="AN296" s="4">
        <f t="shared" si="39"/>
        <v>5.2226821083967674E-5</v>
      </c>
      <c r="AO296" s="3"/>
      <c r="AP296">
        <v>0</v>
      </c>
      <c r="AR296" t="s">
        <v>1</v>
      </c>
      <c r="AT296" s="2" t="s">
        <v>0</v>
      </c>
      <c r="AU296" s="1">
        <f t="shared" si="35"/>
        <v>0.56962425104345293</v>
      </c>
      <c r="AV296" s="1">
        <f t="shared" si="36"/>
        <v>0.40836665991915122</v>
      </c>
      <c r="AW296" s="1">
        <f t="shared" si="37"/>
        <v>0.24710906879484945</v>
      </c>
    </row>
    <row r="297" spans="1:49" x14ac:dyDescent="0.2">
      <c r="A297">
        <v>295</v>
      </c>
      <c r="B297" t="s">
        <v>9606</v>
      </c>
      <c r="C297" t="s">
        <v>9605</v>
      </c>
      <c r="F297" t="s">
        <v>9604</v>
      </c>
      <c r="G297" t="s">
        <v>15</v>
      </c>
      <c r="H297" t="s">
        <v>14</v>
      </c>
      <c r="I297" t="s">
        <v>9603</v>
      </c>
      <c r="J297">
        <v>60020547</v>
      </c>
      <c r="K297" t="s">
        <v>3199</v>
      </c>
      <c r="L297" t="s">
        <v>3198</v>
      </c>
      <c r="M297" t="s">
        <v>10</v>
      </c>
      <c r="N297">
        <v>2</v>
      </c>
      <c r="O297" t="s">
        <v>9602</v>
      </c>
      <c r="P297" t="s">
        <v>9601</v>
      </c>
      <c r="Q297" t="s">
        <v>9366</v>
      </c>
      <c r="R297" s="7">
        <v>33970</v>
      </c>
      <c r="S297" s="8">
        <f t="shared" si="32"/>
        <v>1993</v>
      </c>
      <c r="T297" s="8">
        <v>1993</v>
      </c>
      <c r="U297" s="8">
        <f t="shared" si="33"/>
        <v>29</v>
      </c>
      <c r="V297" s="7">
        <v>34217</v>
      </c>
      <c r="W297" t="s">
        <v>2382</v>
      </c>
      <c r="X297" s="2">
        <v>0.30399999999999999</v>
      </c>
      <c r="Y297" s="6">
        <f t="shared" si="38"/>
        <v>8.115106377299057E-3</v>
      </c>
      <c r="AA297">
        <v>8952477</v>
      </c>
      <c r="AB297">
        <v>12250</v>
      </c>
      <c r="AC297">
        <v>10982760</v>
      </c>
      <c r="AD297" t="s">
        <v>5</v>
      </c>
      <c r="AE297">
        <v>6</v>
      </c>
      <c r="AF297">
        <v>11</v>
      </c>
      <c r="AH297" t="s">
        <v>9600</v>
      </c>
      <c r="AI297" t="s">
        <v>9599</v>
      </c>
      <c r="AJ297" t="s">
        <v>9598</v>
      </c>
      <c r="AK297" t="s">
        <v>9597</v>
      </c>
      <c r="AL297">
        <v>3</v>
      </c>
      <c r="AM297" s="5">
        <f t="shared" si="34"/>
        <v>0.10344827586206896</v>
      </c>
      <c r="AN297" s="4">
        <f t="shared" si="39"/>
        <v>1.5668046325190301E-4</v>
      </c>
      <c r="AO297" s="3"/>
      <c r="AP297">
        <v>0</v>
      </c>
      <c r="AR297" t="s">
        <v>1</v>
      </c>
      <c r="AT297" s="2" t="s">
        <v>0</v>
      </c>
      <c r="AU297" s="1">
        <f t="shared" si="35"/>
        <v>0.57275786030849107</v>
      </c>
      <c r="AV297" s="1">
        <f t="shared" si="36"/>
        <v>0.41358934202754799</v>
      </c>
      <c r="AW297" s="1">
        <f t="shared" si="37"/>
        <v>0.25442082374660496</v>
      </c>
    </row>
    <row r="298" spans="1:49" x14ac:dyDescent="0.2">
      <c r="A298">
        <v>296</v>
      </c>
      <c r="B298" t="s">
        <v>9596</v>
      </c>
      <c r="C298" t="s">
        <v>9595</v>
      </c>
      <c r="F298" t="s">
        <v>9594</v>
      </c>
      <c r="G298" t="s">
        <v>15</v>
      </c>
      <c r="H298" t="s">
        <v>14</v>
      </c>
      <c r="I298" t="s">
        <v>9593</v>
      </c>
      <c r="J298">
        <v>60043875</v>
      </c>
      <c r="K298" t="s">
        <v>9592</v>
      </c>
      <c r="L298" t="s">
        <v>9591</v>
      </c>
      <c r="M298" t="s">
        <v>576</v>
      </c>
      <c r="N298">
        <v>1</v>
      </c>
      <c r="O298" t="s">
        <v>9590</v>
      </c>
      <c r="P298">
        <v>35479424600</v>
      </c>
      <c r="Q298">
        <v>60043875</v>
      </c>
      <c r="R298" s="7">
        <v>33970</v>
      </c>
      <c r="S298" s="8">
        <f t="shared" si="32"/>
        <v>1993</v>
      </c>
      <c r="T298" s="8">
        <v>1993</v>
      </c>
      <c r="U298" s="8">
        <f t="shared" si="33"/>
        <v>29</v>
      </c>
      <c r="V298" s="7">
        <v>34217</v>
      </c>
      <c r="W298" t="s">
        <v>2382</v>
      </c>
      <c r="X298" s="2">
        <v>0.30399999999999999</v>
      </c>
      <c r="Y298" s="6">
        <f t="shared" si="38"/>
        <v>8.115106377299057E-3</v>
      </c>
      <c r="AA298">
        <v>8952477</v>
      </c>
      <c r="AB298">
        <v>12250</v>
      </c>
      <c r="AC298">
        <v>10982760</v>
      </c>
      <c r="AD298" t="s">
        <v>5</v>
      </c>
      <c r="AE298">
        <v>6</v>
      </c>
      <c r="AF298">
        <v>11</v>
      </c>
      <c r="AH298" t="s">
        <v>9589</v>
      </c>
      <c r="AI298" t="s">
        <v>9588</v>
      </c>
      <c r="AJ298" t="s">
        <v>9587</v>
      </c>
      <c r="AK298" t="s">
        <v>9586</v>
      </c>
      <c r="AL298">
        <v>0</v>
      </c>
      <c r="AM298" s="5">
        <f t="shared" si="34"/>
        <v>0</v>
      </c>
      <c r="AN298" s="4">
        <f t="shared" si="39"/>
        <v>0</v>
      </c>
      <c r="AO298" s="3"/>
      <c r="AP298">
        <v>0</v>
      </c>
      <c r="AR298" t="s">
        <v>1</v>
      </c>
      <c r="AT298" s="2" t="s">
        <v>0</v>
      </c>
      <c r="AU298" s="1">
        <f t="shared" si="35"/>
        <v>0.56805744641093392</v>
      </c>
      <c r="AV298" s="1">
        <f t="shared" si="36"/>
        <v>0.40575531886495286</v>
      </c>
      <c r="AW298" s="1">
        <f t="shared" si="37"/>
        <v>0.24345319131897172</v>
      </c>
    </row>
    <row r="299" spans="1:49" x14ac:dyDescent="0.2">
      <c r="A299">
        <v>297</v>
      </c>
      <c r="B299" t="s">
        <v>9585</v>
      </c>
      <c r="C299" t="s">
        <v>9584</v>
      </c>
      <c r="F299" t="s">
        <v>9583</v>
      </c>
      <c r="G299" t="s">
        <v>15</v>
      </c>
      <c r="H299" t="s">
        <v>14</v>
      </c>
      <c r="I299" t="s">
        <v>3758</v>
      </c>
      <c r="J299" t="s">
        <v>3757</v>
      </c>
      <c r="K299" t="s">
        <v>3756</v>
      </c>
      <c r="L299" t="s">
        <v>3755</v>
      </c>
      <c r="M299" t="s">
        <v>3754</v>
      </c>
      <c r="N299">
        <v>4</v>
      </c>
      <c r="O299" t="s">
        <v>9582</v>
      </c>
      <c r="P299" t="s">
        <v>9581</v>
      </c>
      <c r="Q299" t="s">
        <v>9580</v>
      </c>
      <c r="R299" s="7">
        <v>33970</v>
      </c>
      <c r="S299" s="8">
        <f t="shared" si="32"/>
        <v>1993</v>
      </c>
      <c r="T299" s="8">
        <v>1993</v>
      </c>
      <c r="U299" s="8">
        <f t="shared" si="33"/>
        <v>29</v>
      </c>
      <c r="V299" s="7">
        <v>34217</v>
      </c>
      <c r="W299" t="s">
        <v>2382</v>
      </c>
      <c r="X299" s="2">
        <v>0.30399999999999999</v>
      </c>
      <c r="Y299" s="6">
        <f t="shared" si="38"/>
        <v>8.115106377299057E-3</v>
      </c>
      <c r="AA299">
        <v>8952477</v>
      </c>
      <c r="AB299">
        <v>12250</v>
      </c>
      <c r="AC299">
        <v>10982760</v>
      </c>
      <c r="AD299" t="s">
        <v>5</v>
      </c>
      <c r="AE299">
        <v>6</v>
      </c>
      <c r="AF299">
        <v>11</v>
      </c>
      <c r="AH299" t="s">
        <v>9579</v>
      </c>
      <c r="AI299" t="s">
        <v>9578</v>
      </c>
      <c r="AJ299" t="s">
        <v>9577</v>
      </c>
      <c r="AK299" t="s">
        <v>9576</v>
      </c>
      <c r="AL299">
        <v>5</v>
      </c>
      <c r="AM299" s="5">
        <f t="shared" si="34"/>
        <v>0.17241379310344829</v>
      </c>
      <c r="AN299" s="4">
        <f t="shared" si="39"/>
        <v>2.6113410541983838E-4</v>
      </c>
      <c r="AO299" s="3"/>
      <c r="AP299">
        <v>0</v>
      </c>
      <c r="AR299" t="s">
        <v>1</v>
      </c>
      <c r="AT299" s="2" t="s">
        <v>0</v>
      </c>
      <c r="AU299" s="1">
        <f t="shared" si="35"/>
        <v>0.5758914695735291</v>
      </c>
      <c r="AV299" s="1">
        <f t="shared" si="36"/>
        <v>0.41881202413594482</v>
      </c>
      <c r="AW299" s="1">
        <f t="shared" si="37"/>
        <v>0.26173257869836042</v>
      </c>
    </row>
    <row r="300" spans="1:49" x14ac:dyDescent="0.2">
      <c r="A300">
        <v>298</v>
      </c>
      <c r="B300" t="s">
        <v>9575</v>
      </c>
      <c r="C300" t="s">
        <v>9574</v>
      </c>
      <c r="F300" t="s">
        <v>9573</v>
      </c>
      <c r="G300" t="s">
        <v>15</v>
      </c>
      <c r="H300" t="s">
        <v>14</v>
      </c>
      <c r="I300" t="s">
        <v>4144</v>
      </c>
      <c r="J300" t="s">
        <v>4139</v>
      </c>
      <c r="K300" t="s">
        <v>4143</v>
      </c>
      <c r="L300" t="s">
        <v>4142</v>
      </c>
      <c r="M300" t="s">
        <v>235</v>
      </c>
      <c r="N300">
        <v>3</v>
      </c>
      <c r="O300" t="s">
        <v>9572</v>
      </c>
      <c r="P300" t="s">
        <v>9571</v>
      </c>
      <c r="Q300" t="s">
        <v>9570</v>
      </c>
      <c r="R300" s="7">
        <v>33970</v>
      </c>
      <c r="S300" s="8">
        <f t="shared" si="32"/>
        <v>1993</v>
      </c>
      <c r="T300" s="8">
        <v>1993</v>
      </c>
      <c r="U300" s="8">
        <f t="shared" si="33"/>
        <v>29</v>
      </c>
      <c r="V300" s="7">
        <v>34217</v>
      </c>
      <c r="W300" t="s">
        <v>2382</v>
      </c>
      <c r="X300" s="2">
        <v>0.30399999999999999</v>
      </c>
      <c r="Y300" s="6">
        <f t="shared" si="38"/>
        <v>8.115106377299057E-3</v>
      </c>
      <c r="AA300">
        <v>8952477</v>
      </c>
      <c r="AB300">
        <v>12250</v>
      </c>
      <c r="AC300">
        <v>10982760</v>
      </c>
      <c r="AD300" t="s">
        <v>5</v>
      </c>
      <c r="AE300">
        <v>6</v>
      </c>
      <c r="AF300">
        <v>11</v>
      </c>
      <c r="AH300" t="s">
        <v>9569</v>
      </c>
      <c r="AI300" t="s">
        <v>9568</v>
      </c>
      <c r="AJ300" t="s">
        <v>9567</v>
      </c>
      <c r="AK300" t="s">
        <v>9566</v>
      </c>
      <c r="AL300">
        <v>4</v>
      </c>
      <c r="AM300" s="5">
        <f t="shared" si="34"/>
        <v>0.13793103448275862</v>
      </c>
      <c r="AN300" s="4">
        <f t="shared" si="39"/>
        <v>2.089072843358707E-4</v>
      </c>
      <c r="AO300" s="3"/>
      <c r="AP300">
        <v>0</v>
      </c>
      <c r="AR300" t="s">
        <v>1</v>
      </c>
      <c r="AT300" s="2" t="s">
        <v>0</v>
      </c>
      <c r="AU300" s="1">
        <f t="shared" si="35"/>
        <v>0.57432466494101009</v>
      </c>
      <c r="AV300" s="1">
        <f t="shared" si="36"/>
        <v>0.41620068308174635</v>
      </c>
      <c r="AW300" s="1">
        <f t="shared" si="37"/>
        <v>0.25807670122248266</v>
      </c>
    </row>
    <row r="301" spans="1:49" x14ac:dyDescent="0.2">
      <c r="A301">
        <v>299</v>
      </c>
      <c r="B301" t="s">
        <v>9565</v>
      </c>
      <c r="C301" t="s">
        <v>9564</v>
      </c>
      <c r="F301" t="s">
        <v>9563</v>
      </c>
      <c r="G301" t="s">
        <v>15</v>
      </c>
      <c r="H301" t="s">
        <v>14</v>
      </c>
      <c r="I301" t="s">
        <v>6244</v>
      </c>
      <c r="N301">
        <v>2</v>
      </c>
      <c r="O301" t="s">
        <v>6243</v>
      </c>
      <c r="P301" t="s">
        <v>6242</v>
      </c>
      <c r="Q301" t="s">
        <v>1557</v>
      </c>
      <c r="R301" s="7">
        <v>33970</v>
      </c>
      <c r="S301" s="8">
        <f t="shared" si="32"/>
        <v>1993</v>
      </c>
      <c r="T301" s="8">
        <v>1993</v>
      </c>
      <c r="U301" s="8">
        <f t="shared" si="33"/>
        <v>29</v>
      </c>
      <c r="V301" s="7">
        <v>34217</v>
      </c>
      <c r="W301" t="s">
        <v>2382</v>
      </c>
      <c r="X301" s="2">
        <v>0.30399999999999999</v>
      </c>
      <c r="Y301" s="6">
        <f t="shared" si="38"/>
        <v>8.115106377299057E-3</v>
      </c>
      <c r="AA301">
        <v>8952477</v>
      </c>
      <c r="AB301">
        <v>12250</v>
      </c>
      <c r="AC301">
        <v>10982760</v>
      </c>
      <c r="AD301" t="s">
        <v>5</v>
      </c>
      <c r="AE301">
        <v>6</v>
      </c>
      <c r="AF301">
        <v>11</v>
      </c>
      <c r="AH301" t="s">
        <v>9562</v>
      </c>
      <c r="AI301" t="s">
        <v>9561</v>
      </c>
      <c r="AJ301" t="s">
        <v>9560</v>
      </c>
      <c r="AK301" t="s">
        <v>9559</v>
      </c>
      <c r="AL301">
        <v>4</v>
      </c>
      <c r="AM301" s="5">
        <f t="shared" si="34"/>
        <v>0.13793103448275862</v>
      </c>
      <c r="AN301" s="4">
        <f t="shared" si="39"/>
        <v>2.089072843358707E-4</v>
      </c>
      <c r="AO301" s="3"/>
      <c r="AP301">
        <v>0</v>
      </c>
      <c r="AR301" t="s">
        <v>1</v>
      </c>
      <c r="AT301" s="2" t="s">
        <v>0</v>
      </c>
      <c r="AU301" s="1">
        <f t="shared" si="35"/>
        <v>0.57432466494101009</v>
      </c>
      <c r="AV301" s="1">
        <f t="shared" si="36"/>
        <v>0.41620068308174635</v>
      </c>
      <c r="AW301" s="1">
        <f t="shared" si="37"/>
        <v>0.25807670122248266</v>
      </c>
    </row>
    <row r="302" spans="1:49" x14ac:dyDescent="0.2">
      <c r="A302">
        <v>300</v>
      </c>
      <c r="B302" t="s">
        <v>9558</v>
      </c>
      <c r="C302" t="s">
        <v>9557</v>
      </c>
      <c r="F302" t="s">
        <v>9556</v>
      </c>
      <c r="G302" t="s">
        <v>15</v>
      </c>
      <c r="H302" t="s">
        <v>14</v>
      </c>
      <c r="I302" t="s">
        <v>5002</v>
      </c>
      <c r="J302">
        <v>60031475</v>
      </c>
      <c r="K302" t="s">
        <v>5001</v>
      </c>
      <c r="L302" t="s">
        <v>5000</v>
      </c>
      <c r="M302" t="s">
        <v>576</v>
      </c>
      <c r="N302">
        <v>2</v>
      </c>
      <c r="O302" t="s">
        <v>9555</v>
      </c>
      <c r="P302" t="s">
        <v>9554</v>
      </c>
      <c r="Q302" t="s">
        <v>9553</v>
      </c>
      <c r="R302" s="7">
        <v>33970</v>
      </c>
      <c r="S302" s="8">
        <f t="shared" si="32"/>
        <v>1993</v>
      </c>
      <c r="T302" s="8">
        <v>1993</v>
      </c>
      <c r="U302" s="8">
        <f t="shared" si="33"/>
        <v>29</v>
      </c>
      <c r="V302" s="7">
        <v>34217</v>
      </c>
      <c r="W302" t="s">
        <v>2382</v>
      </c>
      <c r="X302" s="2">
        <v>0.30399999999999999</v>
      </c>
      <c r="Y302" s="6">
        <f t="shared" si="38"/>
        <v>8.115106377299057E-3</v>
      </c>
      <c r="AA302">
        <v>8952477</v>
      </c>
      <c r="AB302">
        <v>12250</v>
      </c>
      <c r="AC302">
        <v>10982760</v>
      </c>
      <c r="AD302" t="s">
        <v>5</v>
      </c>
      <c r="AE302">
        <v>6</v>
      </c>
      <c r="AF302">
        <v>11</v>
      </c>
      <c r="AH302" t="s">
        <v>9552</v>
      </c>
      <c r="AI302" t="s">
        <v>9551</v>
      </c>
      <c r="AJ302" t="s">
        <v>9550</v>
      </c>
      <c r="AK302" t="s">
        <v>9549</v>
      </c>
      <c r="AL302">
        <v>1</v>
      </c>
      <c r="AM302" s="5">
        <f t="shared" si="34"/>
        <v>3.4482758620689655E-2</v>
      </c>
      <c r="AN302" s="4">
        <f t="shared" si="39"/>
        <v>5.2226821083967674E-5</v>
      </c>
      <c r="AO302" s="3"/>
      <c r="AP302">
        <v>0</v>
      </c>
      <c r="AR302" t="s">
        <v>1</v>
      </c>
      <c r="AT302" s="2" t="s">
        <v>0</v>
      </c>
      <c r="AU302" s="1">
        <f t="shared" si="35"/>
        <v>0.56962425104345293</v>
      </c>
      <c r="AV302" s="1">
        <f t="shared" si="36"/>
        <v>0.40836665991915122</v>
      </c>
      <c r="AW302" s="1">
        <f t="shared" si="37"/>
        <v>0.24710906879484945</v>
      </c>
    </row>
    <row r="303" spans="1:49" x14ac:dyDescent="0.2">
      <c r="A303">
        <v>301</v>
      </c>
      <c r="B303" t="s">
        <v>9548</v>
      </c>
      <c r="C303" t="s">
        <v>9547</v>
      </c>
      <c r="F303" t="s">
        <v>9546</v>
      </c>
      <c r="G303" t="s">
        <v>15</v>
      </c>
      <c r="H303" t="s">
        <v>14</v>
      </c>
      <c r="I303" t="s">
        <v>5231</v>
      </c>
      <c r="J303" t="s">
        <v>9543</v>
      </c>
      <c r="K303" t="s">
        <v>9545</v>
      </c>
      <c r="L303" t="s">
        <v>9544</v>
      </c>
      <c r="M303" t="s">
        <v>478</v>
      </c>
      <c r="N303">
        <v>2</v>
      </c>
      <c r="O303" t="s">
        <v>5226</v>
      </c>
      <c r="P303" t="s">
        <v>5225</v>
      </c>
      <c r="Q303" t="s">
        <v>9543</v>
      </c>
      <c r="R303" s="7">
        <v>33970</v>
      </c>
      <c r="S303" s="8">
        <f t="shared" si="32"/>
        <v>1993</v>
      </c>
      <c r="T303" s="8">
        <v>1993</v>
      </c>
      <c r="U303" s="8">
        <f t="shared" si="33"/>
        <v>29</v>
      </c>
      <c r="V303" s="7">
        <v>34182</v>
      </c>
      <c r="W303" t="s">
        <v>868</v>
      </c>
      <c r="X303" s="2">
        <v>0.375</v>
      </c>
      <c r="Y303" s="6">
        <f t="shared" si="38"/>
        <v>1.0010410827260351E-2</v>
      </c>
      <c r="AA303">
        <v>135194</v>
      </c>
      <c r="AB303">
        <v>24918</v>
      </c>
      <c r="AD303" t="s">
        <v>5</v>
      </c>
      <c r="AE303">
        <v>29</v>
      </c>
      <c r="AF303">
        <v>16</v>
      </c>
      <c r="AH303" t="s">
        <v>9542</v>
      </c>
      <c r="AI303" t="s">
        <v>9541</v>
      </c>
      <c r="AJ303" t="s">
        <v>9540</v>
      </c>
      <c r="AK303" t="s">
        <v>9539</v>
      </c>
      <c r="AL303">
        <v>0</v>
      </c>
      <c r="AM303" s="5">
        <f t="shared" si="34"/>
        <v>0</v>
      </c>
      <c r="AN303" s="4">
        <f t="shared" si="39"/>
        <v>0</v>
      </c>
      <c r="AO303" s="3"/>
      <c r="AP303">
        <v>0</v>
      </c>
      <c r="AR303" t="s">
        <v>1</v>
      </c>
      <c r="AT303" s="2">
        <v>1.3140000000000001</v>
      </c>
      <c r="AU303" s="1">
        <f t="shared" si="35"/>
        <v>0.70072875790822453</v>
      </c>
      <c r="AV303" s="1">
        <f t="shared" si="36"/>
        <v>0.5005205413630176</v>
      </c>
      <c r="AW303" s="1">
        <f t="shared" si="37"/>
        <v>0.30031232481781051</v>
      </c>
    </row>
    <row r="304" spans="1:49" x14ac:dyDescent="0.2">
      <c r="A304">
        <v>302</v>
      </c>
      <c r="B304" t="s">
        <v>9538</v>
      </c>
      <c r="C304" t="s">
        <v>9537</v>
      </c>
      <c r="F304" t="s">
        <v>9536</v>
      </c>
      <c r="G304" t="s">
        <v>15</v>
      </c>
      <c r="H304" t="s">
        <v>14</v>
      </c>
      <c r="I304" t="s">
        <v>9535</v>
      </c>
      <c r="J304" t="s">
        <v>9534</v>
      </c>
      <c r="K304" t="s">
        <v>9533</v>
      </c>
      <c r="L304" t="s">
        <v>9532</v>
      </c>
      <c r="M304" t="s">
        <v>2629</v>
      </c>
      <c r="N304">
        <v>3</v>
      </c>
      <c r="O304" t="s">
        <v>9531</v>
      </c>
      <c r="P304" t="s">
        <v>9530</v>
      </c>
      <c r="Q304" t="s">
        <v>9529</v>
      </c>
      <c r="R304" s="7">
        <v>33970</v>
      </c>
      <c r="S304" s="8">
        <f t="shared" si="32"/>
        <v>1993</v>
      </c>
      <c r="T304" s="8">
        <v>1993</v>
      </c>
      <c r="U304" s="8">
        <f t="shared" si="33"/>
        <v>29</v>
      </c>
      <c r="V304" s="7">
        <v>34182</v>
      </c>
      <c r="W304" t="s">
        <v>868</v>
      </c>
      <c r="X304" s="2">
        <v>0.375</v>
      </c>
      <c r="Y304" s="6">
        <f t="shared" si="38"/>
        <v>1.0010410827260351E-2</v>
      </c>
      <c r="AA304">
        <v>135194</v>
      </c>
      <c r="AB304">
        <v>24918</v>
      </c>
      <c r="AD304" t="s">
        <v>5</v>
      </c>
      <c r="AE304">
        <v>29</v>
      </c>
      <c r="AF304">
        <v>16</v>
      </c>
      <c r="AH304" t="s">
        <v>9528</v>
      </c>
      <c r="AI304" t="s">
        <v>9527</v>
      </c>
      <c r="AJ304" t="s">
        <v>9526</v>
      </c>
      <c r="AK304" t="s">
        <v>9525</v>
      </c>
      <c r="AL304">
        <v>2</v>
      </c>
      <c r="AM304" s="5">
        <f t="shared" si="34"/>
        <v>6.8965517241379309E-2</v>
      </c>
      <c r="AN304" s="4">
        <f t="shared" si="39"/>
        <v>1.0445364216793535E-4</v>
      </c>
      <c r="AO304" s="3"/>
      <c r="AP304">
        <v>0</v>
      </c>
      <c r="AR304" t="s">
        <v>1</v>
      </c>
      <c r="AT304" s="2">
        <v>1.3140000000000001</v>
      </c>
      <c r="AU304" s="1">
        <f t="shared" si="35"/>
        <v>0.70386236717326256</v>
      </c>
      <c r="AV304" s="1">
        <f t="shared" si="36"/>
        <v>0.50574322347141432</v>
      </c>
      <c r="AW304" s="1">
        <f t="shared" si="37"/>
        <v>0.30762407976956602</v>
      </c>
    </row>
    <row r="305" spans="1:49" x14ac:dyDescent="0.2">
      <c r="A305">
        <v>303</v>
      </c>
      <c r="B305" t="s">
        <v>9524</v>
      </c>
      <c r="C305" t="s">
        <v>9523</v>
      </c>
      <c r="F305" t="s">
        <v>9522</v>
      </c>
      <c r="G305" t="s">
        <v>15</v>
      </c>
      <c r="H305" t="s">
        <v>14</v>
      </c>
      <c r="I305" t="s">
        <v>9521</v>
      </c>
      <c r="J305">
        <v>60005465</v>
      </c>
      <c r="K305" t="s">
        <v>3212</v>
      </c>
      <c r="L305" t="s">
        <v>3211</v>
      </c>
      <c r="M305" t="s">
        <v>463</v>
      </c>
      <c r="N305">
        <v>1</v>
      </c>
      <c r="O305" t="s">
        <v>9520</v>
      </c>
      <c r="P305">
        <v>8529377200</v>
      </c>
      <c r="Q305">
        <v>60005465</v>
      </c>
      <c r="R305" s="7">
        <v>33970</v>
      </c>
      <c r="S305" s="8">
        <f t="shared" si="32"/>
        <v>1993</v>
      </c>
      <c r="T305" s="8">
        <v>1993</v>
      </c>
      <c r="U305" s="8">
        <f t="shared" si="33"/>
        <v>29</v>
      </c>
      <c r="V305" s="7">
        <v>34182</v>
      </c>
      <c r="W305" t="s">
        <v>868</v>
      </c>
      <c r="X305" s="2">
        <v>0.375</v>
      </c>
      <c r="Y305" s="6">
        <f t="shared" si="38"/>
        <v>1.0010410827260351E-2</v>
      </c>
      <c r="AA305">
        <v>135194</v>
      </c>
      <c r="AB305">
        <v>24918</v>
      </c>
      <c r="AD305" t="s">
        <v>5</v>
      </c>
      <c r="AE305">
        <v>29</v>
      </c>
      <c r="AF305">
        <v>16</v>
      </c>
      <c r="AH305" t="s">
        <v>9519</v>
      </c>
      <c r="AI305" t="s">
        <v>9518</v>
      </c>
      <c r="AJ305" t="s">
        <v>9517</v>
      </c>
      <c r="AK305" t="s">
        <v>9516</v>
      </c>
      <c r="AL305">
        <v>1</v>
      </c>
      <c r="AM305" s="5">
        <f t="shared" si="34"/>
        <v>3.4482758620689655E-2</v>
      </c>
      <c r="AN305" s="4">
        <f t="shared" si="39"/>
        <v>5.2226821083967674E-5</v>
      </c>
      <c r="AO305" s="3"/>
      <c r="AP305">
        <v>0</v>
      </c>
      <c r="AR305" t="s">
        <v>1</v>
      </c>
      <c r="AT305" s="2">
        <v>1.3140000000000001</v>
      </c>
      <c r="AU305" s="1">
        <f t="shared" si="35"/>
        <v>0.70229556254074355</v>
      </c>
      <c r="AV305" s="1">
        <f t="shared" si="36"/>
        <v>0.50313188241721596</v>
      </c>
      <c r="AW305" s="1">
        <f t="shared" si="37"/>
        <v>0.30396820229368826</v>
      </c>
    </row>
    <row r="306" spans="1:49" x14ac:dyDescent="0.2">
      <c r="A306">
        <v>304</v>
      </c>
      <c r="B306" t="s">
        <v>9515</v>
      </c>
      <c r="C306" t="s">
        <v>9514</v>
      </c>
      <c r="F306" t="s">
        <v>9513</v>
      </c>
      <c r="G306" t="s">
        <v>15</v>
      </c>
      <c r="H306" t="s">
        <v>14</v>
      </c>
      <c r="I306" t="s">
        <v>6888</v>
      </c>
      <c r="J306">
        <v>60021859</v>
      </c>
      <c r="K306" t="s">
        <v>6027</v>
      </c>
      <c r="L306" t="s">
        <v>6026</v>
      </c>
      <c r="M306" t="s">
        <v>2423</v>
      </c>
      <c r="N306">
        <v>3</v>
      </c>
      <c r="O306" t="s">
        <v>9512</v>
      </c>
      <c r="P306" t="s">
        <v>9511</v>
      </c>
      <c r="Q306" t="s">
        <v>6023</v>
      </c>
      <c r="R306" s="7">
        <v>33970</v>
      </c>
      <c r="S306" s="8">
        <f t="shared" si="32"/>
        <v>1993</v>
      </c>
      <c r="T306" s="8">
        <v>1993</v>
      </c>
      <c r="U306" s="8">
        <f t="shared" si="33"/>
        <v>29</v>
      </c>
      <c r="V306" s="7">
        <v>34182</v>
      </c>
      <c r="W306" t="s">
        <v>868</v>
      </c>
      <c r="X306" s="2">
        <v>0.375</v>
      </c>
      <c r="Y306" s="6">
        <f t="shared" si="38"/>
        <v>1.0010410827260351E-2</v>
      </c>
      <c r="AA306">
        <v>135194</v>
      </c>
      <c r="AB306">
        <v>24918</v>
      </c>
      <c r="AD306" t="s">
        <v>5</v>
      </c>
      <c r="AE306">
        <v>29</v>
      </c>
      <c r="AF306">
        <v>16</v>
      </c>
      <c r="AH306" t="s">
        <v>9510</v>
      </c>
      <c r="AI306" t="s">
        <v>9509</v>
      </c>
      <c r="AJ306" t="s">
        <v>9508</v>
      </c>
      <c r="AK306" t="s">
        <v>9507</v>
      </c>
      <c r="AL306">
        <v>48</v>
      </c>
      <c r="AM306" s="5">
        <f t="shared" si="34"/>
        <v>1.6551724137931034</v>
      </c>
      <c r="AN306" s="4">
        <f t="shared" si="39"/>
        <v>2.5068874120304481E-3</v>
      </c>
      <c r="AO306" s="3"/>
      <c r="AP306">
        <v>0</v>
      </c>
      <c r="AR306" t="s">
        <v>1</v>
      </c>
      <c r="AT306" s="2">
        <v>1.3140000000000001</v>
      </c>
      <c r="AU306" s="1">
        <f t="shared" si="35"/>
        <v>0.775935380269138</v>
      </c>
      <c r="AV306" s="1">
        <f t="shared" si="36"/>
        <v>0.62586491196453997</v>
      </c>
      <c r="AW306" s="1">
        <f t="shared" si="37"/>
        <v>0.47579444365994189</v>
      </c>
    </row>
    <row r="307" spans="1:49" x14ac:dyDescent="0.2">
      <c r="A307">
        <v>305</v>
      </c>
      <c r="B307" t="s">
        <v>9506</v>
      </c>
      <c r="C307" t="s">
        <v>9505</v>
      </c>
      <c r="F307" t="s">
        <v>9504</v>
      </c>
      <c r="G307" t="s">
        <v>15</v>
      </c>
      <c r="H307" t="s">
        <v>14</v>
      </c>
      <c r="I307" t="s">
        <v>9503</v>
      </c>
      <c r="J307" t="s">
        <v>9497</v>
      </c>
      <c r="K307" t="s">
        <v>9502</v>
      </c>
      <c r="L307" t="s">
        <v>9501</v>
      </c>
      <c r="M307" t="s">
        <v>9500</v>
      </c>
      <c r="N307">
        <v>2</v>
      </c>
      <c r="O307" t="s">
        <v>9499</v>
      </c>
      <c r="P307" t="s">
        <v>9498</v>
      </c>
      <c r="Q307" t="s">
        <v>9497</v>
      </c>
      <c r="R307" s="7">
        <v>33970</v>
      </c>
      <c r="S307" s="8">
        <f t="shared" si="32"/>
        <v>1993</v>
      </c>
      <c r="T307" s="8">
        <v>1993</v>
      </c>
      <c r="U307" s="8">
        <f t="shared" si="33"/>
        <v>29</v>
      </c>
      <c r="V307" s="7">
        <v>34125</v>
      </c>
      <c r="W307" t="s">
        <v>2382</v>
      </c>
      <c r="X307" s="2">
        <v>0.30399999999999999</v>
      </c>
      <c r="Y307" s="6">
        <f t="shared" si="38"/>
        <v>8.115106377299057E-3</v>
      </c>
      <c r="AA307">
        <v>8952477</v>
      </c>
      <c r="AB307">
        <v>12250</v>
      </c>
      <c r="AC307">
        <v>10982760</v>
      </c>
      <c r="AD307" t="s">
        <v>5</v>
      </c>
      <c r="AE307">
        <v>6</v>
      </c>
      <c r="AF307">
        <v>7</v>
      </c>
      <c r="AH307" t="s">
        <v>9496</v>
      </c>
      <c r="AI307" t="s">
        <v>9495</v>
      </c>
      <c r="AJ307" t="s">
        <v>9494</v>
      </c>
      <c r="AK307" t="s">
        <v>9493</v>
      </c>
      <c r="AL307">
        <v>4</v>
      </c>
      <c r="AM307" s="5">
        <f t="shared" si="34"/>
        <v>0.13793103448275862</v>
      </c>
      <c r="AN307" s="4">
        <f t="shared" si="39"/>
        <v>2.089072843358707E-4</v>
      </c>
      <c r="AO307" s="3"/>
      <c r="AP307">
        <v>0</v>
      </c>
      <c r="AR307" t="s">
        <v>1</v>
      </c>
      <c r="AT307" s="2" t="s">
        <v>0</v>
      </c>
      <c r="AU307" s="1">
        <f t="shared" si="35"/>
        <v>0.57432466494101009</v>
      </c>
      <c r="AV307" s="1">
        <f t="shared" si="36"/>
        <v>0.41620068308174635</v>
      </c>
      <c r="AW307" s="1">
        <f t="shared" si="37"/>
        <v>0.25807670122248266</v>
      </c>
    </row>
    <row r="308" spans="1:49" x14ac:dyDescent="0.2">
      <c r="A308">
        <v>306</v>
      </c>
      <c r="B308" t="s">
        <v>9492</v>
      </c>
      <c r="C308" t="s">
        <v>9491</v>
      </c>
      <c r="F308" t="s">
        <v>9490</v>
      </c>
      <c r="G308" t="s">
        <v>15</v>
      </c>
      <c r="H308" t="s">
        <v>14</v>
      </c>
      <c r="I308" t="s">
        <v>1290</v>
      </c>
      <c r="J308">
        <v>60008134</v>
      </c>
      <c r="K308" t="s">
        <v>4234</v>
      </c>
      <c r="L308" t="s">
        <v>4233</v>
      </c>
      <c r="M308" t="s">
        <v>303</v>
      </c>
      <c r="N308">
        <v>2</v>
      </c>
      <c r="O308" t="s">
        <v>1287</v>
      </c>
      <c r="P308" t="s">
        <v>1286</v>
      </c>
      <c r="Q308" t="s">
        <v>9489</v>
      </c>
      <c r="R308" s="7">
        <v>33970</v>
      </c>
      <c r="S308" s="8">
        <f t="shared" si="32"/>
        <v>1993</v>
      </c>
      <c r="T308" s="8">
        <v>1993</v>
      </c>
      <c r="U308" s="8">
        <f t="shared" si="33"/>
        <v>29</v>
      </c>
      <c r="V308" s="7">
        <v>34033</v>
      </c>
      <c r="W308" t="s">
        <v>2382</v>
      </c>
      <c r="X308" s="2">
        <v>0.30399999999999999</v>
      </c>
      <c r="Y308" s="6">
        <f t="shared" si="38"/>
        <v>8.115106377299057E-3</v>
      </c>
      <c r="AA308">
        <v>8952477</v>
      </c>
      <c r="AB308">
        <v>12250</v>
      </c>
      <c r="AC308">
        <v>10982760</v>
      </c>
      <c r="AD308" t="s">
        <v>5</v>
      </c>
      <c r="AE308">
        <v>6</v>
      </c>
      <c r="AF308">
        <v>3</v>
      </c>
      <c r="AH308" t="s">
        <v>9488</v>
      </c>
      <c r="AI308" t="s">
        <v>9487</v>
      </c>
      <c r="AJ308" t="s">
        <v>9486</v>
      </c>
      <c r="AK308" t="s">
        <v>9485</v>
      </c>
      <c r="AL308">
        <v>6</v>
      </c>
      <c r="AM308" s="5">
        <f t="shared" si="34"/>
        <v>0.20689655172413793</v>
      </c>
      <c r="AN308" s="4">
        <f t="shared" si="39"/>
        <v>3.1336092650380602E-4</v>
      </c>
      <c r="AO308" s="3"/>
      <c r="AP308">
        <v>0</v>
      </c>
      <c r="AR308" t="s">
        <v>1</v>
      </c>
      <c r="AT308" s="2" t="s">
        <v>0</v>
      </c>
      <c r="AU308" s="1">
        <f t="shared" si="35"/>
        <v>0.57745827420604812</v>
      </c>
      <c r="AV308" s="1">
        <f t="shared" si="36"/>
        <v>0.42142336519014317</v>
      </c>
      <c r="AW308" s="1">
        <f t="shared" si="37"/>
        <v>0.26538845617423812</v>
      </c>
    </row>
    <row r="309" spans="1:49" x14ac:dyDescent="0.2">
      <c r="A309">
        <v>307</v>
      </c>
      <c r="B309" t="s">
        <v>9484</v>
      </c>
      <c r="C309" t="s">
        <v>9483</v>
      </c>
      <c r="F309" t="s">
        <v>9482</v>
      </c>
      <c r="G309" t="s">
        <v>15</v>
      </c>
      <c r="H309" t="s">
        <v>14</v>
      </c>
      <c r="I309" t="s">
        <v>4010</v>
      </c>
      <c r="J309" t="s">
        <v>4009</v>
      </c>
      <c r="K309" t="s">
        <v>4008</v>
      </c>
      <c r="L309" t="s">
        <v>4007</v>
      </c>
      <c r="M309" t="s">
        <v>235</v>
      </c>
      <c r="N309">
        <v>3</v>
      </c>
      <c r="O309" t="s">
        <v>4006</v>
      </c>
      <c r="P309" t="s">
        <v>4005</v>
      </c>
      <c r="Q309" t="s">
        <v>4004</v>
      </c>
      <c r="R309" s="7">
        <v>33970</v>
      </c>
      <c r="S309" s="8">
        <f t="shared" si="32"/>
        <v>1993</v>
      </c>
      <c r="T309" s="8">
        <v>1993</v>
      </c>
      <c r="U309" s="8">
        <f t="shared" si="33"/>
        <v>29</v>
      </c>
      <c r="V309" s="7">
        <v>34033</v>
      </c>
      <c r="W309" t="s">
        <v>2382</v>
      </c>
      <c r="X309" s="2">
        <v>0.30399999999999999</v>
      </c>
      <c r="Y309" s="6">
        <f t="shared" si="38"/>
        <v>8.115106377299057E-3</v>
      </c>
      <c r="AA309">
        <v>8952477</v>
      </c>
      <c r="AB309">
        <v>12250</v>
      </c>
      <c r="AC309">
        <v>10982760</v>
      </c>
      <c r="AD309" t="s">
        <v>5</v>
      </c>
      <c r="AE309">
        <v>6</v>
      </c>
      <c r="AF309">
        <v>3</v>
      </c>
      <c r="AH309" t="s">
        <v>9481</v>
      </c>
      <c r="AI309" t="s">
        <v>9480</v>
      </c>
      <c r="AJ309" t="s">
        <v>9479</v>
      </c>
      <c r="AK309" t="s">
        <v>9478</v>
      </c>
      <c r="AL309">
        <v>27</v>
      </c>
      <c r="AM309" s="5">
        <f t="shared" si="34"/>
        <v>0.93103448275862066</v>
      </c>
      <c r="AN309" s="4">
        <f t="shared" si="39"/>
        <v>1.410124169267127E-3</v>
      </c>
      <c r="AO309" s="3"/>
      <c r="AP309">
        <v>0</v>
      </c>
      <c r="AR309" t="s">
        <v>1</v>
      </c>
      <c r="AT309" s="2" t="s">
        <v>0</v>
      </c>
      <c r="AU309" s="1">
        <f t="shared" si="35"/>
        <v>0.61036117148894775</v>
      </c>
      <c r="AV309" s="1">
        <f t="shared" si="36"/>
        <v>0.47626152732830918</v>
      </c>
      <c r="AW309" s="1">
        <f t="shared" si="37"/>
        <v>0.3421618831676706</v>
      </c>
    </row>
    <row r="310" spans="1:49" x14ac:dyDescent="0.2">
      <c r="A310">
        <v>308</v>
      </c>
      <c r="B310" t="s">
        <v>9477</v>
      </c>
      <c r="C310" t="s">
        <v>9476</v>
      </c>
      <c r="F310" t="s">
        <v>9475</v>
      </c>
      <c r="G310" t="s">
        <v>15</v>
      </c>
      <c r="H310" t="s">
        <v>14</v>
      </c>
      <c r="I310" t="s">
        <v>9474</v>
      </c>
      <c r="J310" t="s">
        <v>9469</v>
      </c>
      <c r="K310" t="s">
        <v>9473</v>
      </c>
      <c r="L310" t="s">
        <v>9472</v>
      </c>
      <c r="M310" t="s">
        <v>705</v>
      </c>
      <c r="N310">
        <v>2</v>
      </c>
      <c r="O310" t="s">
        <v>9471</v>
      </c>
      <c r="P310" t="s">
        <v>9470</v>
      </c>
      <c r="Q310" t="s">
        <v>9469</v>
      </c>
      <c r="R310" s="7">
        <v>33970</v>
      </c>
      <c r="S310" s="8">
        <f t="shared" si="32"/>
        <v>1993</v>
      </c>
      <c r="T310" s="8">
        <v>1993</v>
      </c>
      <c r="U310" s="8">
        <f t="shared" si="33"/>
        <v>29</v>
      </c>
      <c r="V310" s="7">
        <v>34033</v>
      </c>
      <c r="W310" t="s">
        <v>2382</v>
      </c>
      <c r="X310" s="2">
        <v>0.30399999999999999</v>
      </c>
      <c r="Y310" s="6">
        <f t="shared" si="38"/>
        <v>8.115106377299057E-3</v>
      </c>
      <c r="AA310">
        <v>8952477</v>
      </c>
      <c r="AB310">
        <v>12250</v>
      </c>
      <c r="AC310">
        <v>10982760</v>
      </c>
      <c r="AD310" t="s">
        <v>5</v>
      </c>
      <c r="AE310">
        <v>6</v>
      </c>
      <c r="AF310">
        <v>3</v>
      </c>
      <c r="AH310" t="s">
        <v>9468</v>
      </c>
      <c r="AI310" t="s">
        <v>9467</v>
      </c>
      <c r="AJ310" t="s">
        <v>9466</v>
      </c>
      <c r="AK310" t="s">
        <v>9465</v>
      </c>
      <c r="AL310">
        <v>4</v>
      </c>
      <c r="AM310" s="5">
        <f t="shared" si="34"/>
        <v>0.13793103448275862</v>
      </c>
      <c r="AN310" s="4">
        <f t="shared" si="39"/>
        <v>2.089072843358707E-4</v>
      </c>
      <c r="AO310" s="3"/>
      <c r="AP310">
        <v>0</v>
      </c>
      <c r="AR310" t="s">
        <v>1</v>
      </c>
      <c r="AT310" s="2" t="s">
        <v>0</v>
      </c>
      <c r="AU310" s="1">
        <f t="shared" si="35"/>
        <v>0.57432466494101009</v>
      </c>
      <c r="AV310" s="1">
        <f t="shared" si="36"/>
        <v>0.41620068308174635</v>
      </c>
      <c r="AW310" s="1">
        <f t="shared" si="37"/>
        <v>0.25807670122248266</v>
      </c>
    </row>
    <row r="311" spans="1:49" x14ac:dyDescent="0.2">
      <c r="A311">
        <v>309</v>
      </c>
      <c r="B311" t="s">
        <v>9464</v>
      </c>
      <c r="C311" t="s">
        <v>9463</v>
      </c>
      <c r="F311" t="s">
        <v>9462</v>
      </c>
      <c r="G311" t="s">
        <v>15</v>
      </c>
      <c r="H311" t="s">
        <v>14</v>
      </c>
      <c r="I311" t="s">
        <v>9461</v>
      </c>
      <c r="J311" t="s">
        <v>9460</v>
      </c>
      <c r="K311" t="s">
        <v>9459</v>
      </c>
      <c r="L311" t="s">
        <v>9458</v>
      </c>
      <c r="M311" t="s">
        <v>219</v>
      </c>
      <c r="N311">
        <v>3</v>
      </c>
      <c r="O311" t="s">
        <v>9457</v>
      </c>
      <c r="P311" t="s">
        <v>9456</v>
      </c>
      <c r="Q311" t="s">
        <v>9455</v>
      </c>
      <c r="R311" s="7">
        <v>33970</v>
      </c>
      <c r="S311" s="8">
        <f t="shared" si="32"/>
        <v>1993</v>
      </c>
      <c r="T311" s="8">
        <v>1993</v>
      </c>
      <c r="U311" s="8">
        <f t="shared" si="33"/>
        <v>29</v>
      </c>
      <c r="V311" s="7">
        <v>34033</v>
      </c>
      <c r="W311" t="s">
        <v>2382</v>
      </c>
      <c r="X311" s="2">
        <v>0.30399999999999999</v>
      </c>
      <c r="Y311" s="6">
        <f t="shared" si="38"/>
        <v>8.115106377299057E-3</v>
      </c>
      <c r="AA311">
        <v>8952477</v>
      </c>
      <c r="AB311">
        <v>12250</v>
      </c>
      <c r="AC311">
        <v>10982760</v>
      </c>
      <c r="AD311" t="s">
        <v>5</v>
      </c>
      <c r="AE311">
        <v>6</v>
      </c>
      <c r="AF311">
        <v>3</v>
      </c>
      <c r="AH311" t="s">
        <v>9454</v>
      </c>
      <c r="AI311" t="s">
        <v>9453</v>
      </c>
      <c r="AJ311" t="s">
        <v>9452</v>
      </c>
      <c r="AK311" t="s">
        <v>9451</v>
      </c>
      <c r="AL311">
        <v>8</v>
      </c>
      <c r="AM311" s="5">
        <f t="shared" si="34"/>
        <v>0.27586206896551724</v>
      </c>
      <c r="AN311" s="4">
        <f t="shared" si="39"/>
        <v>4.1781456867174139E-4</v>
      </c>
      <c r="AO311" s="3"/>
      <c r="AP311">
        <v>0</v>
      </c>
      <c r="AR311" t="s">
        <v>1</v>
      </c>
      <c r="AT311" s="2" t="s">
        <v>0</v>
      </c>
      <c r="AU311" s="1">
        <f t="shared" si="35"/>
        <v>0.58059188347108615</v>
      </c>
      <c r="AV311" s="1">
        <f t="shared" si="36"/>
        <v>0.42664604729853989</v>
      </c>
      <c r="AW311" s="1">
        <f t="shared" si="37"/>
        <v>0.27270021112599363</v>
      </c>
    </row>
    <row r="312" spans="1:49" x14ac:dyDescent="0.2">
      <c r="A312">
        <v>310</v>
      </c>
      <c r="B312" t="s">
        <v>9450</v>
      </c>
      <c r="C312" t="s">
        <v>9449</v>
      </c>
      <c r="F312" t="s">
        <v>9448</v>
      </c>
      <c r="G312" t="s">
        <v>15</v>
      </c>
      <c r="H312" t="s">
        <v>14</v>
      </c>
      <c r="I312" t="s">
        <v>3437</v>
      </c>
      <c r="J312">
        <v>60017161</v>
      </c>
      <c r="K312" t="s">
        <v>2398</v>
      </c>
      <c r="L312" t="s">
        <v>1461</v>
      </c>
      <c r="M312" t="s">
        <v>1460</v>
      </c>
      <c r="N312">
        <v>4</v>
      </c>
      <c r="O312" t="s">
        <v>9447</v>
      </c>
      <c r="P312" t="s">
        <v>9446</v>
      </c>
      <c r="Q312" t="s">
        <v>5719</v>
      </c>
      <c r="R312" s="7">
        <v>33970</v>
      </c>
      <c r="S312" s="8">
        <f t="shared" si="32"/>
        <v>1993</v>
      </c>
      <c r="T312" s="8">
        <v>1993</v>
      </c>
      <c r="U312" s="8">
        <f t="shared" si="33"/>
        <v>29</v>
      </c>
      <c r="V312" s="7">
        <v>34033</v>
      </c>
      <c r="W312" t="s">
        <v>2382</v>
      </c>
      <c r="X312" s="2">
        <v>0.30399999999999999</v>
      </c>
      <c r="Y312" s="6">
        <f t="shared" si="38"/>
        <v>8.115106377299057E-3</v>
      </c>
      <c r="AA312">
        <v>8952477</v>
      </c>
      <c r="AB312">
        <v>12250</v>
      </c>
      <c r="AC312">
        <v>10982760</v>
      </c>
      <c r="AD312" t="s">
        <v>5</v>
      </c>
      <c r="AE312">
        <v>6</v>
      </c>
      <c r="AF312">
        <v>3</v>
      </c>
      <c r="AH312" t="s">
        <v>9445</v>
      </c>
      <c r="AI312" t="s">
        <v>9444</v>
      </c>
      <c r="AJ312" t="s">
        <v>9443</v>
      </c>
      <c r="AK312" t="s">
        <v>9442</v>
      </c>
      <c r="AL312">
        <v>9</v>
      </c>
      <c r="AM312" s="5">
        <f t="shared" si="34"/>
        <v>0.31034482758620691</v>
      </c>
      <c r="AN312" s="4">
        <f t="shared" si="39"/>
        <v>4.7004138975570908E-4</v>
      </c>
      <c r="AO312" s="3"/>
      <c r="AP312">
        <v>0</v>
      </c>
      <c r="AR312" t="s">
        <v>1</v>
      </c>
      <c r="AT312" s="2" t="s">
        <v>0</v>
      </c>
      <c r="AU312" s="1">
        <f t="shared" si="35"/>
        <v>0.58215868810360527</v>
      </c>
      <c r="AV312" s="1">
        <f t="shared" si="36"/>
        <v>0.4292573883527383</v>
      </c>
      <c r="AW312" s="1">
        <f t="shared" si="37"/>
        <v>0.27635608860187139</v>
      </c>
    </row>
    <row r="313" spans="1:49" x14ac:dyDescent="0.2">
      <c r="A313">
        <v>311</v>
      </c>
      <c r="B313" t="s">
        <v>9441</v>
      </c>
      <c r="C313" t="s">
        <v>9440</v>
      </c>
      <c r="F313" t="s">
        <v>9439</v>
      </c>
      <c r="G313" t="s">
        <v>15</v>
      </c>
      <c r="H313" t="s">
        <v>14</v>
      </c>
      <c r="I313" t="s">
        <v>337</v>
      </c>
      <c r="J313" t="s">
        <v>336</v>
      </c>
      <c r="K313" t="s">
        <v>335</v>
      </c>
      <c r="L313" t="s">
        <v>334</v>
      </c>
      <c r="M313" t="s">
        <v>333</v>
      </c>
      <c r="N313">
        <v>2</v>
      </c>
      <c r="O313" t="s">
        <v>9438</v>
      </c>
      <c r="P313" t="s">
        <v>9437</v>
      </c>
      <c r="Q313" t="s">
        <v>336</v>
      </c>
      <c r="R313" s="7">
        <v>33970</v>
      </c>
      <c r="S313" s="8">
        <f t="shared" si="32"/>
        <v>1993</v>
      </c>
      <c r="T313" s="8">
        <v>1993</v>
      </c>
      <c r="U313" s="8">
        <f t="shared" si="33"/>
        <v>29</v>
      </c>
      <c r="V313" s="7">
        <v>34033</v>
      </c>
      <c r="W313" t="s">
        <v>2382</v>
      </c>
      <c r="X313" s="2">
        <v>0.30399999999999999</v>
      </c>
      <c r="Y313" s="6">
        <f t="shared" si="38"/>
        <v>8.115106377299057E-3</v>
      </c>
      <c r="AA313">
        <v>8952477</v>
      </c>
      <c r="AB313">
        <v>12250</v>
      </c>
      <c r="AC313">
        <v>10982760</v>
      </c>
      <c r="AD313" t="s">
        <v>5</v>
      </c>
      <c r="AE313">
        <v>6</v>
      </c>
      <c r="AF313">
        <v>3</v>
      </c>
      <c r="AH313" t="s">
        <v>9436</v>
      </c>
      <c r="AI313" t="s">
        <v>9435</v>
      </c>
      <c r="AJ313" t="s">
        <v>9434</v>
      </c>
      <c r="AK313" t="s">
        <v>9433</v>
      </c>
      <c r="AL313">
        <v>8</v>
      </c>
      <c r="AM313" s="5">
        <f t="shared" si="34"/>
        <v>0.27586206896551724</v>
      </c>
      <c r="AN313" s="4">
        <f t="shared" si="39"/>
        <v>4.1781456867174139E-4</v>
      </c>
      <c r="AO313" s="3"/>
      <c r="AP313">
        <v>0</v>
      </c>
      <c r="AR313" t="s">
        <v>1</v>
      </c>
      <c r="AT313" s="2" t="s">
        <v>0</v>
      </c>
      <c r="AU313" s="1">
        <f t="shared" si="35"/>
        <v>0.58059188347108615</v>
      </c>
      <c r="AV313" s="1">
        <f t="shared" si="36"/>
        <v>0.42664604729853989</v>
      </c>
      <c r="AW313" s="1">
        <f t="shared" si="37"/>
        <v>0.27270021112599363</v>
      </c>
    </row>
    <row r="314" spans="1:49" x14ac:dyDescent="0.2">
      <c r="A314">
        <v>312</v>
      </c>
      <c r="B314" t="s">
        <v>9432</v>
      </c>
      <c r="C314" t="s">
        <v>9431</v>
      </c>
      <c r="F314" t="s">
        <v>9430</v>
      </c>
      <c r="G314" t="s">
        <v>15</v>
      </c>
      <c r="H314" t="s">
        <v>14</v>
      </c>
      <c r="I314" t="s">
        <v>9429</v>
      </c>
      <c r="J314">
        <v>100427846</v>
      </c>
      <c r="K314" t="s">
        <v>9428</v>
      </c>
      <c r="L314" t="s">
        <v>9427</v>
      </c>
      <c r="M314" t="s">
        <v>493</v>
      </c>
      <c r="N314">
        <v>1</v>
      </c>
      <c r="O314" t="s">
        <v>9426</v>
      </c>
      <c r="P314">
        <v>7007048290</v>
      </c>
      <c r="Q314">
        <v>100427846</v>
      </c>
      <c r="R314" s="7">
        <v>33970</v>
      </c>
      <c r="S314" s="8">
        <f t="shared" si="32"/>
        <v>1993</v>
      </c>
      <c r="T314" s="8">
        <v>1993</v>
      </c>
      <c r="U314" s="8">
        <f t="shared" si="33"/>
        <v>29</v>
      </c>
      <c r="V314" s="7">
        <v>34029</v>
      </c>
      <c r="W314" t="s">
        <v>868</v>
      </c>
      <c r="X314" s="2">
        <v>0.375</v>
      </c>
      <c r="Y314" s="6">
        <f t="shared" si="38"/>
        <v>1.0010410827260351E-2</v>
      </c>
      <c r="AA314">
        <v>135194</v>
      </c>
      <c r="AB314">
        <v>24918</v>
      </c>
      <c r="AD314" t="s">
        <v>5</v>
      </c>
      <c r="AE314">
        <v>29</v>
      </c>
      <c r="AF314">
        <v>5</v>
      </c>
      <c r="AH314" t="s">
        <v>9425</v>
      </c>
      <c r="AI314" t="s">
        <v>9424</v>
      </c>
      <c r="AJ314" t="s">
        <v>9423</v>
      </c>
      <c r="AK314" t="s">
        <v>9422</v>
      </c>
      <c r="AL314">
        <v>2</v>
      </c>
      <c r="AM314" s="5">
        <f t="shared" si="34"/>
        <v>6.8965517241379309E-2</v>
      </c>
      <c r="AN314" s="4">
        <f t="shared" si="39"/>
        <v>1.0445364216793535E-4</v>
      </c>
      <c r="AO314" s="3"/>
      <c r="AP314">
        <v>0</v>
      </c>
      <c r="AR314" t="s">
        <v>1</v>
      </c>
      <c r="AT314" s="2">
        <v>1.3140000000000001</v>
      </c>
      <c r="AU314" s="1">
        <f t="shared" si="35"/>
        <v>0.70386236717326256</v>
      </c>
      <c r="AV314" s="1">
        <f t="shared" si="36"/>
        <v>0.50574322347141432</v>
      </c>
      <c r="AW314" s="1">
        <f t="shared" si="37"/>
        <v>0.30762407976956602</v>
      </c>
    </row>
    <row r="315" spans="1:49" x14ac:dyDescent="0.2">
      <c r="A315">
        <v>313</v>
      </c>
      <c r="B315" t="s">
        <v>9421</v>
      </c>
      <c r="C315" t="s">
        <v>9420</v>
      </c>
      <c r="F315" t="s">
        <v>9419</v>
      </c>
      <c r="G315" t="s">
        <v>15</v>
      </c>
      <c r="H315" t="s">
        <v>14</v>
      </c>
      <c r="I315" t="s">
        <v>9418</v>
      </c>
      <c r="J315">
        <v>60002644</v>
      </c>
      <c r="K315" t="s">
        <v>2595</v>
      </c>
      <c r="L315" t="s">
        <v>2594</v>
      </c>
      <c r="M315" t="s">
        <v>2508</v>
      </c>
      <c r="N315">
        <v>3</v>
      </c>
      <c r="O315" t="s">
        <v>9417</v>
      </c>
      <c r="P315" t="s">
        <v>9416</v>
      </c>
      <c r="Q315" t="s">
        <v>9415</v>
      </c>
      <c r="R315" s="7">
        <v>33970</v>
      </c>
      <c r="S315" s="8">
        <f t="shared" si="32"/>
        <v>1993</v>
      </c>
      <c r="T315" s="8">
        <v>1993</v>
      </c>
      <c r="U315" s="8">
        <f t="shared" si="33"/>
        <v>29</v>
      </c>
      <c r="V315" s="7">
        <v>34029</v>
      </c>
      <c r="W315" t="s">
        <v>868</v>
      </c>
      <c r="X315" s="2">
        <v>0.375</v>
      </c>
      <c r="Y315" s="6">
        <f t="shared" si="38"/>
        <v>1.0010410827260351E-2</v>
      </c>
      <c r="AA315">
        <v>135194</v>
      </c>
      <c r="AB315">
        <v>24918</v>
      </c>
      <c r="AD315" t="s">
        <v>5</v>
      </c>
      <c r="AE315">
        <v>29</v>
      </c>
      <c r="AF315">
        <v>5</v>
      </c>
      <c r="AH315" t="s">
        <v>9414</v>
      </c>
      <c r="AI315" t="s">
        <v>9413</v>
      </c>
      <c r="AJ315" t="s">
        <v>9412</v>
      </c>
      <c r="AK315" t="s">
        <v>9411</v>
      </c>
      <c r="AL315">
        <v>23</v>
      </c>
      <c r="AM315" s="5">
        <f t="shared" si="34"/>
        <v>0.7931034482758621</v>
      </c>
      <c r="AN315" s="4">
        <f t="shared" si="39"/>
        <v>1.2012168849312565E-3</v>
      </c>
      <c r="AO315" s="3"/>
      <c r="AP315">
        <v>0</v>
      </c>
      <c r="AR315" t="s">
        <v>1</v>
      </c>
      <c r="AT315" s="2">
        <v>1.3140000000000001</v>
      </c>
      <c r="AU315" s="1">
        <f t="shared" si="35"/>
        <v>0.73676526445616231</v>
      </c>
      <c r="AV315" s="1">
        <f t="shared" si="36"/>
        <v>0.56058138560958037</v>
      </c>
      <c r="AW315" s="1">
        <f t="shared" si="37"/>
        <v>0.38439750676299844</v>
      </c>
    </row>
    <row r="316" spans="1:49" x14ac:dyDescent="0.2">
      <c r="A316">
        <v>314</v>
      </c>
      <c r="B316" t="s">
        <v>9410</v>
      </c>
      <c r="C316" t="s">
        <v>9409</v>
      </c>
      <c r="F316" t="s">
        <v>9408</v>
      </c>
      <c r="G316" t="s">
        <v>15</v>
      </c>
      <c r="H316" t="s">
        <v>14</v>
      </c>
      <c r="I316" t="s">
        <v>9407</v>
      </c>
      <c r="J316">
        <v>60020547</v>
      </c>
      <c r="K316" t="s">
        <v>3199</v>
      </c>
      <c r="L316" t="s">
        <v>3198</v>
      </c>
      <c r="M316" t="s">
        <v>10</v>
      </c>
      <c r="N316">
        <v>2</v>
      </c>
      <c r="O316" t="s">
        <v>9406</v>
      </c>
      <c r="P316" t="s">
        <v>9405</v>
      </c>
      <c r="Q316" t="s">
        <v>9366</v>
      </c>
      <c r="R316" s="7">
        <v>33970</v>
      </c>
      <c r="S316" s="8">
        <f t="shared" si="32"/>
        <v>1993</v>
      </c>
      <c r="T316" s="8">
        <v>1993</v>
      </c>
      <c r="U316" s="8">
        <f t="shared" si="33"/>
        <v>29</v>
      </c>
      <c r="V316" s="7">
        <v>34029</v>
      </c>
      <c r="W316" t="s">
        <v>868</v>
      </c>
      <c r="X316" s="2">
        <v>0.375</v>
      </c>
      <c r="Y316" s="6">
        <f t="shared" si="38"/>
        <v>1.0010410827260351E-2</v>
      </c>
      <c r="AA316">
        <v>135194</v>
      </c>
      <c r="AB316">
        <v>24918</v>
      </c>
      <c r="AD316" t="s">
        <v>5</v>
      </c>
      <c r="AE316">
        <v>29</v>
      </c>
      <c r="AF316">
        <v>5</v>
      </c>
      <c r="AH316" t="s">
        <v>9404</v>
      </c>
      <c r="AI316" t="s">
        <v>9403</v>
      </c>
      <c r="AJ316" t="s">
        <v>9402</v>
      </c>
      <c r="AK316" t="s">
        <v>9401</v>
      </c>
      <c r="AL316">
        <v>10</v>
      </c>
      <c r="AM316" s="5">
        <f t="shared" si="34"/>
        <v>0.34482758620689657</v>
      </c>
      <c r="AN316" s="4">
        <f t="shared" si="39"/>
        <v>5.2226821083967677E-4</v>
      </c>
      <c r="AO316" s="3"/>
      <c r="AP316">
        <v>0</v>
      </c>
      <c r="AR316" t="s">
        <v>1</v>
      </c>
      <c r="AT316" s="2">
        <v>1.3140000000000001</v>
      </c>
      <c r="AU316" s="1">
        <f t="shared" si="35"/>
        <v>0.7163968042334149</v>
      </c>
      <c r="AV316" s="1">
        <f t="shared" si="36"/>
        <v>0.5266339519050014</v>
      </c>
      <c r="AW316" s="1">
        <f t="shared" si="37"/>
        <v>0.3368710995765879</v>
      </c>
    </row>
    <row r="317" spans="1:49" x14ac:dyDescent="0.2">
      <c r="A317">
        <v>315</v>
      </c>
      <c r="B317" t="s">
        <v>9400</v>
      </c>
      <c r="C317" t="s">
        <v>9399</v>
      </c>
      <c r="F317" t="s">
        <v>9398</v>
      </c>
      <c r="G317" t="s">
        <v>15</v>
      </c>
      <c r="H317" t="s">
        <v>14</v>
      </c>
      <c r="I317" t="s">
        <v>7497</v>
      </c>
      <c r="J317" t="s">
        <v>9397</v>
      </c>
      <c r="K317" t="s">
        <v>9396</v>
      </c>
      <c r="L317" t="s">
        <v>9395</v>
      </c>
      <c r="M317" t="s">
        <v>8311</v>
      </c>
      <c r="N317">
        <v>3</v>
      </c>
      <c r="O317" t="s">
        <v>7494</v>
      </c>
      <c r="P317" t="s">
        <v>7493</v>
      </c>
      <c r="Q317" t="s">
        <v>9394</v>
      </c>
      <c r="R317" s="7">
        <v>33970</v>
      </c>
      <c r="S317" s="8">
        <f t="shared" si="32"/>
        <v>1993</v>
      </c>
      <c r="T317" s="8">
        <v>1993</v>
      </c>
      <c r="U317" s="8">
        <f t="shared" si="33"/>
        <v>29</v>
      </c>
      <c r="V317" s="7">
        <v>34029</v>
      </c>
      <c r="W317" t="s">
        <v>868</v>
      </c>
      <c r="X317" s="2">
        <v>0.375</v>
      </c>
      <c r="Y317" s="6">
        <f t="shared" si="38"/>
        <v>1.0010410827260351E-2</v>
      </c>
      <c r="AA317">
        <v>135194</v>
      </c>
      <c r="AB317">
        <v>24918</v>
      </c>
      <c r="AD317" t="s">
        <v>5</v>
      </c>
      <c r="AE317">
        <v>29</v>
      </c>
      <c r="AF317">
        <v>5</v>
      </c>
      <c r="AH317" t="s">
        <v>9393</v>
      </c>
      <c r="AI317" t="s">
        <v>9392</v>
      </c>
      <c r="AJ317" t="s">
        <v>9391</v>
      </c>
      <c r="AK317" t="s">
        <v>9390</v>
      </c>
      <c r="AL317">
        <v>10</v>
      </c>
      <c r="AM317" s="5">
        <f t="shared" si="34"/>
        <v>0.34482758620689657</v>
      </c>
      <c r="AN317" s="4">
        <f t="shared" si="39"/>
        <v>5.2226821083967677E-4</v>
      </c>
      <c r="AO317" s="3"/>
      <c r="AP317">
        <v>0</v>
      </c>
      <c r="AR317" t="s">
        <v>1</v>
      </c>
      <c r="AT317" s="2">
        <v>1.3140000000000001</v>
      </c>
      <c r="AU317" s="1">
        <f t="shared" si="35"/>
        <v>0.7163968042334149</v>
      </c>
      <c r="AV317" s="1">
        <f t="shared" si="36"/>
        <v>0.5266339519050014</v>
      </c>
      <c r="AW317" s="1">
        <f t="shared" si="37"/>
        <v>0.3368710995765879</v>
      </c>
    </row>
    <row r="318" spans="1:49" x14ac:dyDescent="0.2">
      <c r="A318">
        <v>316</v>
      </c>
      <c r="B318" t="s">
        <v>9389</v>
      </c>
      <c r="C318" t="s">
        <v>9388</v>
      </c>
      <c r="F318" t="s">
        <v>9387</v>
      </c>
      <c r="G318" t="s">
        <v>15</v>
      </c>
      <c r="H318" t="s">
        <v>14</v>
      </c>
      <c r="I318" t="s">
        <v>9386</v>
      </c>
      <c r="J318">
        <v>60020573</v>
      </c>
      <c r="K318" t="s">
        <v>9385</v>
      </c>
      <c r="L318" t="s">
        <v>9384</v>
      </c>
      <c r="M318" t="s">
        <v>493</v>
      </c>
      <c r="N318">
        <v>1</v>
      </c>
      <c r="O318" t="s">
        <v>9383</v>
      </c>
      <c r="P318">
        <v>57195118709</v>
      </c>
      <c r="Q318">
        <v>60020573</v>
      </c>
      <c r="R318" s="7">
        <v>33970</v>
      </c>
      <c r="S318" s="8">
        <f t="shared" si="32"/>
        <v>1993</v>
      </c>
      <c r="T318" s="8">
        <v>1993</v>
      </c>
      <c r="U318" s="8">
        <f t="shared" si="33"/>
        <v>29</v>
      </c>
      <c r="V318" s="7">
        <v>34001</v>
      </c>
      <c r="W318" t="s">
        <v>868</v>
      </c>
      <c r="X318" s="2">
        <v>0.375</v>
      </c>
      <c r="Y318" s="6">
        <f t="shared" si="38"/>
        <v>1.0010410827260351E-2</v>
      </c>
      <c r="AA318">
        <v>135194</v>
      </c>
      <c r="AB318">
        <v>24918</v>
      </c>
      <c r="AD318" t="s">
        <v>5</v>
      </c>
      <c r="AE318">
        <v>29</v>
      </c>
      <c r="AF318">
        <v>3</v>
      </c>
      <c r="AH318" t="s">
        <v>9382</v>
      </c>
      <c r="AI318" t="s">
        <v>9381</v>
      </c>
      <c r="AJ318" t="s">
        <v>9380</v>
      </c>
      <c r="AK318" t="s">
        <v>9379</v>
      </c>
      <c r="AL318">
        <v>4</v>
      </c>
      <c r="AM318" s="5">
        <f t="shared" si="34"/>
        <v>0.13793103448275862</v>
      </c>
      <c r="AN318" s="4">
        <f t="shared" si="39"/>
        <v>2.089072843358707E-4</v>
      </c>
      <c r="AO318" s="3"/>
      <c r="AP318">
        <v>0</v>
      </c>
      <c r="AR318" t="s">
        <v>1</v>
      </c>
      <c r="AT318" s="2">
        <v>1.3140000000000001</v>
      </c>
      <c r="AU318" s="1">
        <f t="shared" si="35"/>
        <v>0.7069959764383007</v>
      </c>
      <c r="AV318" s="1">
        <f t="shared" si="36"/>
        <v>0.51096590557981103</v>
      </c>
      <c r="AW318" s="1">
        <f t="shared" si="37"/>
        <v>0.31493583472132147</v>
      </c>
    </row>
    <row r="319" spans="1:49" x14ac:dyDescent="0.2">
      <c r="A319">
        <v>317</v>
      </c>
      <c r="B319" t="s">
        <v>9378</v>
      </c>
      <c r="C319" t="s">
        <v>9377</v>
      </c>
      <c r="F319" t="s">
        <v>9376</v>
      </c>
      <c r="G319" t="s">
        <v>15</v>
      </c>
      <c r="H319" t="s">
        <v>14</v>
      </c>
      <c r="I319" t="s">
        <v>9348</v>
      </c>
      <c r="J319">
        <v>60025063</v>
      </c>
      <c r="K319" t="s">
        <v>4415</v>
      </c>
      <c r="L319" t="s">
        <v>4414</v>
      </c>
      <c r="M319" t="s">
        <v>2519</v>
      </c>
      <c r="N319">
        <v>3</v>
      </c>
      <c r="O319" t="s">
        <v>9347</v>
      </c>
      <c r="P319" t="s">
        <v>9346</v>
      </c>
      <c r="Q319" t="s">
        <v>7504</v>
      </c>
      <c r="R319" s="7">
        <v>33970</v>
      </c>
      <c r="S319" s="8">
        <f t="shared" si="32"/>
        <v>1993</v>
      </c>
      <c r="T319" s="8">
        <v>1993</v>
      </c>
      <c r="U319" s="8">
        <f t="shared" si="33"/>
        <v>29</v>
      </c>
      <c r="V319" s="7">
        <v>34001</v>
      </c>
      <c r="W319" t="s">
        <v>868</v>
      </c>
      <c r="X319" s="2">
        <v>0.375</v>
      </c>
      <c r="Y319" s="6">
        <f t="shared" si="38"/>
        <v>1.0010410827260351E-2</v>
      </c>
      <c r="AA319">
        <v>135194</v>
      </c>
      <c r="AB319">
        <v>24918</v>
      </c>
      <c r="AD319" t="s">
        <v>5</v>
      </c>
      <c r="AE319">
        <v>29</v>
      </c>
      <c r="AF319">
        <v>3</v>
      </c>
      <c r="AH319" t="s">
        <v>9375</v>
      </c>
      <c r="AI319" t="s">
        <v>9374</v>
      </c>
      <c r="AJ319" t="s">
        <v>9373</v>
      </c>
      <c r="AK319" t="s">
        <v>9372</v>
      </c>
      <c r="AL319">
        <v>3</v>
      </c>
      <c r="AM319" s="5">
        <f t="shared" si="34"/>
        <v>0.10344827586206896</v>
      </c>
      <c r="AN319" s="4">
        <f t="shared" si="39"/>
        <v>1.5668046325190301E-4</v>
      </c>
      <c r="AO319" s="3"/>
      <c r="AP319">
        <v>0</v>
      </c>
      <c r="AR319" t="s">
        <v>1</v>
      </c>
      <c r="AT319" s="2">
        <v>1.3140000000000001</v>
      </c>
      <c r="AU319" s="1">
        <f t="shared" si="35"/>
        <v>0.70542917180578169</v>
      </c>
      <c r="AV319" s="1">
        <f t="shared" si="36"/>
        <v>0.50835456452561267</v>
      </c>
      <c r="AW319" s="1">
        <f t="shared" si="37"/>
        <v>0.31127995724544377</v>
      </c>
    </row>
    <row r="320" spans="1:49" x14ac:dyDescent="0.2">
      <c r="A320">
        <v>318</v>
      </c>
      <c r="B320" t="s">
        <v>9371</v>
      </c>
      <c r="C320" t="s">
        <v>9370</v>
      </c>
      <c r="F320" t="s">
        <v>9369</v>
      </c>
      <c r="G320" t="s">
        <v>15</v>
      </c>
      <c r="H320" t="s">
        <v>14</v>
      </c>
      <c r="I320" t="s">
        <v>7062</v>
      </c>
      <c r="J320">
        <v>60020547</v>
      </c>
      <c r="K320" t="s">
        <v>3199</v>
      </c>
      <c r="L320" t="s">
        <v>3198</v>
      </c>
      <c r="M320" t="s">
        <v>10</v>
      </c>
      <c r="N320">
        <v>2</v>
      </c>
      <c r="O320" t="s">
        <v>9368</v>
      </c>
      <c r="P320" t="s">
        <v>9367</v>
      </c>
      <c r="Q320" t="s">
        <v>9366</v>
      </c>
      <c r="R320" s="7">
        <v>33970</v>
      </c>
      <c r="S320" s="8">
        <f t="shared" si="32"/>
        <v>1993</v>
      </c>
      <c r="T320" s="8">
        <v>1993</v>
      </c>
      <c r="U320" s="8">
        <f t="shared" si="33"/>
        <v>29</v>
      </c>
      <c r="V320" s="7">
        <v>34001</v>
      </c>
      <c r="W320" t="s">
        <v>868</v>
      </c>
      <c r="X320" s="2">
        <v>0.375</v>
      </c>
      <c r="Y320" s="6">
        <f t="shared" si="38"/>
        <v>1.0010410827260351E-2</v>
      </c>
      <c r="AA320">
        <v>135194</v>
      </c>
      <c r="AB320">
        <v>24918</v>
      </c>
      <c r="AD320" t="s">
        <v>5</v>
      </c>
      <c r="AE320">
        <v>29</v>
      </c>
      <c r="AF320">
        <v>3</v>
      </c>
      <c r="AH320" t="s">
        <v>9365</v>
      </c>
      <c r="AI320" t="s">
        <v>9364</v>
      </c>
      <c r="AJ320" t="s">
        <v>9363</v>
      </c>
      <c r="AK320" t="s">
        <v>9362</v>
      </c>
      <c r="AL320">
        <v>13</v>
      </c>
      <c r="AM320" s="5">
        <f t="shared" si="34"/>
        <v>0.44827586206896552</v>
      </c>
      <c r="AN320" s="4">
        <f t="shared" si="39"/>
        <v>6.7894867409157972E-4</v>
      </c>
      <c r="AO320" s="3"/>
      <c r="AP320">
        <v>0</v>
      </c>
      <c r="AR320" t="s">
        <v>1</v>
      </c>
      <c r="AT320" s="2">
        <v>1.3140000000000001</v>
      </c>
      <c r="AU320" s="1">
        <f t="shared" si="35"/>
        <v>0.72109721813097194</v>
      </c>
      <c r="AV320" s="1">
        <f t="shared" si="36"/>
        <v>0.53446797506759658</v>
      </c>
      <c r="AW320" s="1">
        <f t="shared" si="37"/>
        <v>0.34783873200422111</v>
      </c>
    </row>
    <row r="321" spans="1:49" x14ac:dyDescent="0.2">
      <c r="A321">
        <v>319</v>
      </c>
      <c r="B321" t="s">
        <v>9361</v>
      </c>
      <c r="C321" t="s">
        <v>9360</v>
      </c>
      <c r="F321" t="s">
        <v>9359</v>
      </c>
      <c r="G321" t="s">
        <v>15</v>
      </c>
      <c r="H321" t="s">
        <v>14</v>
      </c>
      <c r="I321" t="s">
        <v>9348</v>
      </c>
      <c r="J321">
        <v>123304551</v>
      </c>
      <c r="K321" t="s">
        <v>9358</v>
      </c>
      <c r="L321" t="s">
        <v>9357</v>
      </c>
      <c r="M321" t="s">
        <v>2519</v>
      </c>
      <c r="N321">
        <v>3</v>
      </c>
      <c r="O321" t="s">
        <v>9347</v>
      </c>
      <c r="P321" t="s">
        <v>9346</v>
      </c>
      <c r="Q321" t="s">
        <v>9356</v>
      </c>
      <c r="R321" s="7">
        <v>33970</v>
      </c>
      <c r="S321" s="8">
        <f t="shared" ref="S321:S384" si="40">YEAR(R321)</f>
        <v>1993</v>
      </c>
      <c r="T321" s="8">
        <v>1993</v>
      </c>
      <c r="U321" s="8">
        <f t="shared" ref="U321:U384" si="41">2022-T321</f>
        <v>29</v>
      </c>
      <c r="V321" s="7">
        <v>34213</v>
      </c>
      <c r="W321" t="s">
        <v>868</v>
      </c>
      <c r="X321" s="2">
        <v>0.375</v>
      </c>
      <c r="Y321" s="6">
        <f t="shared" si="38"/>
        <v>1.0010410827260351E-2</v>
      </c>
      <c r="AA321">
        <v>135194</v>
      </c>
      <c r="AB321">
        <v>24918</v>
      </c>
      <c r="AD321" t="s">
        <v>5</v>
      </c>
      <c r="AE321">
        <v>29</v>
      </c>
      <c r="AF321">
        <v>18</v>
      </c>
      <c r="AH321" t="s">
        <v>9355</v>
      </c>
      <c r="AI321" t="s">
        <v>9354</v>
      </c>
      <c r="AJ321" t="s">
        <v>9353</v>
      </c>
      <c r="AK321" t="s">
        <v>9352</v>
      </c>
      <c r="AL321">
        <v>12</v>
      </c>
      <c r="AM321" s="5">
        <f t="shared" ref="AM321:AM384" si="42">AL321/U321</f>
        <v>0.41379310344827586</v>
      </c>
      <c r="AN321" s="4">
        <f t="shared" si="39"/>
        <v>6.2672185300761203E-4</v>
      </c>
      <c r="AO321" s="3"/>
      <c r="AP321">
        <v>0</v>
      </c>
      <c r="AR321" t="s">
        <v>1</v>
      </c>
      <c r="AT321" s="2">
        <v>1.3140000000000001</v>
      </c>
      <c r="AU321" s="1">
        <f t="shared" ref="AU321:AU384" si="43">(Y321*0.7+AN321*0.3)*100</f>
        <v>0.71953041349845293</v>
      </c>
      <c r="AV321" s="1">
        <f t="shared" ref="AV321:AV384" si="44">(Y321*0.5+AN321*0.5)*100</f>
        <v>0.53185663401339822</v>
      </c>
      <c r="AW321" s="1">
        <f t="shared" ref="AW321:AW384" si="45">(Y321*0.3+AN321*0.7)*100</f>
        <v>0.34418285452834335</v>
      </c>
    </row>
    <row r="322" spans="1:49" x14ac:dyDescent="0.2">
      <c r="A322">
        <v>320</v>
      </c>
      <c r="B322" t="s">
        <v>9351</v>
      </c>
      <c r="C322" t="s">
        <v>9350</v>
      </c>
      <c r="F322" t="s">
        <v>9349</v>
      </c>
      <c r="G322" t="s">
        <v>15</v>
      </c>
      <c r="H322" t="s">
        <v>14</v>
      </c>
      <c r="I322" t="s">
        <v>9348</v>
      </c>
      <c r="J322">
        <v>60025063</v>
      </c>
      <c r="K322" t="s">
        <v>4415</v>
      </c>
      <c r="L322" t="s">
        <v>4414</v>
      </c>
      <c r="M322" t="s">
        <v>2519</v>
      </c>
      <c r="N322">
        <v>3</v>
      </c>
      <c r="O322" t="s">
        <v>9347</v>
      </c>
      <c r="P322" t="s">
        <v>9346</v>
      </c>
      <c r="Q322" t="s">
        <v>7504</v>
      </c>
      <c r="R322" s="7">
        <v>33970</v>
      </c>
      <c r="S322" s="8">
        <f t="shared" si="40"/>
        <v>1993</v>
      </c>
      <c r="T322" s="8">
        <v>1993</v>
      </c>
      <c r="U322" s="8">
        <f t="shared" si="41"/>
        <v>29</v>
      </c>
      <c r="V322" s="7">
        <v>34213</v>
      </c>
      <c r="W322" t="s">
        <v>868</v>
      </c>
      <c r="X322" s="2">
        <v>0.375</v>
      </c>
      <c r="Y322" s="6">
        <f t="shared" ref="Y322:Y385" si="46">(X322-$Z$4)/($Z$3-$Z$4)</f>
        <v>1.0010410827260351E-2</v>
      </c>
      <c r="AA322">
        <v>135194</v>
      </c>
      <c r="AB322">
        <v>24918</v>
      </c>
      <c r="AD322" t="s">
        <v>5</v>
      </c>
      <c r="AE322">
        <v>29</v>
      </c>
      <c r="AF322">
        <v>18</v>
      </c>
      <c r="AH322" t="s">
        <v>9345</v>
      </c>
      <c r="AI322" t="s">
        <v>9344</v>
      </c>
      <c r="AJ322" t="s">
        <v>9343</v>
      </c>
      <c r="AK322" t="s">
        <v>9342</v>
      </c>
      <c r="AL322">
        <v>10</v>
      </c>
      <c r="AM322" s="5">
        <f t="shared" si="42"/>
        <v>0.34482758620689657</v>
      </c>
      <c r="AN322" s="4">
        <f t="shared" ref="AN322:AN385" si="47">(AM322-$AO$4)/($AO$3-$AO$4)</f>
        <v>5.2226821083967677E-4</v>
      </c>
      <c r="AO322" s="3"/>
      <c r="AP322">
        <v>0</v>
      </c>
      <c r="AR322" t="s">
        <v>1</v>
      </c>
      <c r="AT322" s="2">
        <v>1.3140000000000001</v>
      </c>
      <c r="AU322" s="1">
        <f t="shared" si="43"/>
        <v>0.7163968042334149</v>
      </c>
      <c r="AV322" s="1">
        <f t="shared" si="44"/>
        <v>0.5266339519050014</v>
      </c>
      <c r="AW322" s="1">
        <f t="shared" si="45"/>
        <v>0.3368710995765879</v>
      </c>
    </row>
    <row r="323" spans="1:49" x14ac:dyDescent="0.2">
      <c r="A323">
        <v>321</v>
      </c>
      <c r="B323" t="s">
        <v>9341</v>
      </c>
      <c r="C323" t="s">
        <v>9340</v>
      </c>
      <c r="F323" t="s">
        <v>9339</v>
      </c>
      <c r="G323" t="s">
        <v>15</v>
      </c>
      <c r="H323" t="s">
        <v>14</v>
      </c>
      <c r="I323" t="s">
        <v>9338</v>
      </c>
      <c r="J323">
        <v>60009697</v>
      </c>
      <c r="K323" t="s">
        <v>1440</v>
      </c>
      <c r="L323" t="s">
        <v>1439</v>
      </c>
      <c r="M323" t="s">
        <v>508</v>
      </c>
      <c r="N323">
        <v>2</v>
      </c>
      <c r="O323" t="s">
        <v>9337</v>
      </c>
      <c r="P323" t="s">
        <v>9336</v>
      </c>
      <c r="Q323" t="s">
        <v>1436</v>
      </c>
      <c r="R323" s="7">
        <v>33970</v>
      </c>
      <c r="S323" s="8">
        <f t="shared" si="40"/>
        <v>1993</v>
      </c>
      <c r="T323" s="8">
        <v>1993</v>
      </c>
      <c r="U323" s="8">
        <f t="shared" si="41"/>
        <v>29</v>
      </c>
      <c r="V323" s="7">
        <v>34213</v>
      </c>
      <c r="W323" t="s">
        <v>868</v>
      </c>
      <c r="X323" s="2">
        <v>0.375</v>
      </c>
      <c r="Y323" s="6">
        <f t="shared" si="46"/>
        <v>1.0010410827260351E-2</v>
      </c>
      <c r="AA323">
        <v>135194</v>
      </c>
      <c r="AB323">
        <v>24918</v>
      </c>
      <c r="AD323" t="s">
        <v>5</v>
      </c>
      <c r="AE323">
        <v>29</v>
      </c>
      <c r="AF323">
        <v>18</v>
      </c>
      <c r="AH323" t="s">
        <v>9335</v>
      </c>
      <c r="AI323" t="s">
        <v>9334</v>
      </c>
      <c r="AJ323" t="s">
        <v>9333</v>
      </c>
      <c r="AK323" t="s">
        <v>9332</v>
      </c>
      <c r="AL323">
        <v>8</v>
      </c>
      <c r="AM323" s="5">
        <f t="shared" si="42"/>
        <v>0.27586206896551724</v>
      </c>
      <c r="AN323" s="4">
        <f t="shared" si="47"/>
        <v>4.1781456867174139E-4</v>
      </c>
      <c r="AO323" s="3"/>
      <c r="AP323">
        <v>0</v>
      </c>
      <c r="AR323" t="s">
        <v>1</v>
      </c>
      <c r="AT323" s="2">
        <v>1.3140000000000001</v>
      </c>
      <c r="AU323" s="1">
        <f t="shared" si="43"/>
        <v>0.71326319496837676</v>
      </c>
      <c r="AV323" s="1">
        <f t="shared" si="44"/>
        <v>0.52141126979660457</v>
      </c>
      <c r="AW323" s="1">
        <f t="shared" si="45"/>
        <v>0.32955934462483244</v>
      </c>
    </row>
    <row r="324" spans="1:49" x14ac:dyDescent="0.2">
      <c r="A324">
        <v>322</v>
      </c>
      <c r="B324" t="s">
        <v>9331</v>
      </c>
      <c r="C324" t="s">
        <v>9330</v>
      </c>
      <c r="F324" t="s">
        <v>9329</v>
      </c>
      <c r="G324" t="s">
        <v>15</v>
      </c>
      <c r="H324" t="s">
        <v>14</v>
      </c>
      <c r="I324" t="s">
        <v>5268</v>
      </c>
      <c r="J324">
        <v>60013983</v>
      </c>
      <c r="K324" t="s">
        <v>9328</v>
      </c>
      <c r="L324" t="s">
        <v>9327</v>
      </c>
      <c r="M324" t="s">
        <v>9326</v>
      </c>
      <c r="N324">
        <v>3</v>
      </c>
      <c r="O324" t="s">
        <v>9325</v>
      </c>
      <c r="P324" t="s">
        <v>9324</v>
      </c>
      <c r="Q324" t="s">
        <v>9323</v>
      </c>
      <c r="R324" s="7">
        <v>33970</v>
      </c>
      <c r="S324" s="8">
        <f t="shared" si="40"/>
        <v>1993</v>
      </c>
      <c r="T324" s="8">
        <v>1993</v>
      </c>
      <c r="U324" s="8">
        <f t="shared" si="41"/>
        <v>29</v>
      </c>
      <c r="V324" s="7">
        <v>34213</v>
      </c>
      <c r="W324" t="s">
        <v>868</v>
      </c>
      <c r="X324" s="2">
        <v>0.375</v>
      </c>
      <c r="Y324" s="6">
        <f t="shared" si="46"/>
        <v>1.0010410827260351E-2</v>
      </c>
      <c r="AA324">
        <v>135194</v>
      </c>
      <c r="AB324">
        <v>24918</v>
      </c>
      <c r="AD324" t="s">
        <v>5</v>
      </c>
      <c r="AE324">
        <v>29</v>
      </c>
      <c r="AF324">
        <v>18</v>
      </c>
      <c r="AH324" t="s">
        <v>9322</v>
      </c>
      <c r="AI324" t="s">
        <v>9321</v>
      </c>
      <c r="AJ324" t="s">
        <v>6071</v>
      </c>
      <c r="AK324" t="s">
        <v>9320</v>
      </c>
      <c r="AL324">
        <v>19</v>
      </c>
      <c r="AM324" s="5">
        <f t="shared" si="42"/>
        <v>0.65517241379310343</v>
      </c>
      <c r="AN324" s="4">
        <f t="shared" si="47"/>
        <v>9.9230960059538574E-4</v>
      </c>
      <c r="AO324" s="3"/>
      <c r="AP324">
        <v>0</v>
      </c>
      <c r="AR324" t="s">
        <v>1</v>
      </c>
      <c r="AT324" s="2">
        <v>1.3140000000000001</v>
      </c>
      <c r="AU324" s="1">
        <f t="shared" si="43"/>
        <v>0.73049804592608614</v>
      </c>
      <c r="AV324" s="1">
        <f t="shared" si="44"/>
        <v>0.55013602139278683</v>
      </c>
      <c r="AW324" s="1">
        <f t="shared" si="45"/>
        <v>0.36977399685948753</v>
      </c>
    </row>
    <row r="325" spans="1:49" x14ac:dyDescent="0.2">
      <c r="A325">
        <v>323</v>
      </c>
      <c r="B325" t="s">
        <v>9319</v>
      </c>
      <c r="C325" t="s">
        <v>9318</v>
      </c>
      <c r="F325" t="s">
        <v>9317</v>
      </c>
      <c r="G325" t="s">
        <v>15</v>
      </c>
      <c r="H325" t="s">
        <v>14</v>
      </c>
      <c r="I325" t="s">
        <v>9316</v>
      </c>
      <c r="J325">
        <v>60009697</v>
      </c>
      <c r="K325" t="s">
        <v>1440</v>
      </c>
      <c r="L325" t="s">
        <v>1439</v>
      </c>
      <c r="M325" t="s">
        <v>508</v>
      </c>
      <c r="N325">
        <v>2</v>
      </c>
      <c r="O325" t="s">
        <v>9315</v>
      </c>
      <c r="P325" t="s">
        <v>9314</v>
      </c>
      <c r="Q325" t="s">
        <v>1436</v>
      </c>
      <c r="R325" s="7">
        <v>33970</v>
      </c>
      <c r="S325" s="8">
        <f t="shared" si="40"/>
        <v>1993</v>
      </c>
      <c r="T325" s="8">
        <v>1993</v>
      </c>
      <c r="U325" s="8">
        <f t="shared" si="41"/>
        <v>29</v>
      </c>
      <c r="V325" s="7">
        <v>34213</v>
      </c>
      <c r="W325" t="s">
        <v>868</v>
      </c>
      <c r="X325" s="2">
        <v>0.375</v>
      </c>
      <c r="Y325" s="6">
        <f t="shared" si="46"/>
        <v>1.0010410827260351E-2</v>
      </c>
      <c r="AA325">
        <v>135194</v>
      </c>
      <c r="AB325">
        <v>24918</v>
      </c>
      <c r="AD325" t="s">
        <v>5</v>
      </c>
      <c r="AE325">
        <v>29</v>
      </c>
      <c r="AF325">
        <v>18</v>
      </c>
      <c r="AH325" t="s">
        <v>9313</v>
      </c>
      <c r="AI325" t="s">
        <v>9312</v>
      </c>
      <c r="AJ325" t="s">
        <v>9311</v>
      </c>
      <c r="AK325" t="s">
        <v>9310</v>
      </c>
      <c r="AL325">
        <v>8</v>
      </c>
      <c r="AM325" s="5">
        <f t="shared" si="42"/>
        <v>0.27586206896551724</v>
      </c>
      <c r="AN325" s="4">
        <f t="shared" si="47"/>
        <v>4.1781456867174139E-4</v>
      </c>
      <c r="AO325" s="3"/>
      <c r="AP325">
        <v>0</v>
      </c>
      <c r="AR325" t="s">
        <v>1</v>
      </c>
      <c r="AT325" s="2">
        <v>1.3140000000000001</v>
      </c>
      <c r="AU325" s="1">
        <f t="shared" si="43"/>
        <v>0.71326319496837676</v>
      </c>
      <c r="AV325" s="1">
        <f t="shared" si="44"/>
        <v>0.52141126979660457</v>
      </c>
      <c r="AW325" s="1">
        <f t="shared" si="45"/>
        <v>0.32955934462483244</v>
      </c>
    </row>
    <row r="326" spans="1:49" x14ac:dyDescent="0.2">
      <c r="A326">
        <v>324</v>
      </c>
      <c r="B326" t="s">
        <v>9309</v>
      </c>
      <c r="C326" t="s">
        <v>9308</v>
      </c>
      <c r="E326">
        <v>11537865</v>
      </c>
      <c r="F326" t="s">
        <v>9307</v>
      </c>
      <c r="G326" t="s">
        <v>15</v>
      </c>
      <c r="H326" t="s">
        <v>14</v>
      </c>
      <c r="I326" t="s">
        <v>9306</v>
      </c>
      <c r="J326">
        <v>60003892</v>
      </c>
      <c r="K326" t="s">
        <v>847</v>
      </c>
      <c r="L326" t="s">
        <v>846</v>
      </c>
      <c r="M326" t="s">
        <v>10</v>
      </c>
      <c r="N326">
        <v>7</v>
      </c>
      <c r="O326" t="s">
        <v>9305</v>
      </c>
      <c r="P326" t="s">
        <v>9304</v>
      </c>
      <c r="Q326" t="s">
        <v>9303</v>
      </c>
      <c r="R326" s="7">
        <v>33970</v>
      </c>
      <c r="S326" s="8">
        <f t="shared" si="40"/>
        <v>1993</v>
      </c>
      <c r="T326" s="8">
        <v>1993</v>
      </c>
      <c r="U326" s="8">
        <f t="shared" si="41"/>
        <v>29</v>
      </c>
      <c r="V326" s="7">
        <v>33970</v>
      </c>
      <c r="W326" t="s">
        <v>9302</v>
      </c>
      <c r="X326" s="2">
        <v>0.81799999999999995</v>
      </c>
      <c r="Y326" s="6">
        <f t="shared" si="46"/>
        <v>2.1836042817863912E-2</v>
      </c>
      <c r="AA326">
        <v>318655</v>
      </c>
      <c r="AB326">
        <v>27010</v>
      </c>
      <c r="AC326">
        <v>17511097</v>
      </c>
      <c r="AD326" t="s">
        <v>5</v>
      </c>
      <c r="AE326">
        <v>57</v>
      </c>
      <c r="AF326">
        <v>1</v>
      </c>
      <c r="AH326" t="s">
        <v>9301</v>
      </c>
      <c r="AI326" t="s">
        <v>9300</v>
      </c>
      <c r="AK326" t="s">
        <v>9299</v>
      </c>
      <c r="AL326">
        <v>54</v>
      </c>
      <c r="AM326" s="5">
        <f t="shared" si="42"/>
        <v>1.8620689655172413</v>
      </c>
      <c r="AN326" s="4">
        <f t="shared" si="47"/>
        <v>2.820248338534254E-3</v>
      </c>
      <c r="AO326" s="3"/>
      <c r="AP326">
        <v>0</v>
      </c>
      <c r="AR326" t="s">
        <v>1</v>
      </c>
      <c r="AT326" s="2">
        <v>3.4209999999999998</v>
      </c>
      <c r="AU326" s="1">
        <f t="shared" si="43"/>
        <v>1.6131304474065011</v>
      </c>
      <c r="AV326" s="1">
        <f t="shared" si="44"/>
        <v>1.2328145578199083</v>
      </c>
      <c r="AW326" s="1">
        <f t="shared" si="45"/>
        <v>0.85249866823331522</v>
      </c>
    </row>
    <row r="327" spans="1:49" x14ac:dyDescent="0.2">
      <c r="A327">
        <v>325</v>
      </c>
      <c r="B327" t="s">
        <v>9298</v>
      </c>
      <c r="C327" t="s">
        <v>9297</v>
      </c>
      <c r="F327" t="s">
        <v>9296</v>
      </c>
      <c r="G327" t="s">
        <v>15</v>
      </c>
      <c r="H327" t="s">
        <v>14</v>
      </c>
      <c r="I327" t="s">
        <v>1368</v>
      </c>
      <c r="J327" t="s">
        <v>9291</v>
      </c>
      <c r="K327" t="s">
        <v>9295</v>
      </c>
      <c r="L327" t="s">
        <v>9294</v>
      </c>
      <c r="M327" t="s">
        <v>1148</v>
      </c>
      <c r="N327">
        <v>2</v>
      </c>
      <c r="O327" t="s">
        <v>9293</v>
      </c>
      <c r="P327" t="s">
        <v>9292</v>
      </c>
      <c r="Q327" t="s">
        <v>9291</v>
      </c>
      <c r="R327" s="7">
        <v>33970</v>
      </c>
      <c r="S327" s="8">
        <f t="shared" si="40"/>
        <v>1993</v>
      </c>
      <c r="T327" s="8">
        <v>1993</v>
      </c>
      <c r="U327" s="8">
        <f t="shared" si="41"/>
        <v>29</v>
      </c>
      <c r="V327" s="7">
        <v>34304</v>
      </c>
      <c r="W327" t="s">
        <v>814</v>
      </c>
      <c r="X327" s="2">
        <v>1.6519999999999999</v>
      </c>
      <c r="Y327" s="6">
        <f t="shared" si="46"/>
        <v>4.409919649769093E-2</v>
      </c>
      <c r="AA327" t="s">
        <v>813</v>
      </c>
      <c r="AB327">
        <v>17337</v>
      </c>
      <c r="AC327">
        <v>15582221</v>
      </c>
      <c r="AD327" t="s">
        <v>5</v>
      </c>
      <c r="AE327">
        <v>41</v>
      </c>
      <c r="AF327">
        <v>12</v>
      </c>
      <c r="AH327" t="s">
        <v>9290</v>
      </c>
      <c r="AI327" t="s">
        <v>9289</v>
      </c>
      <c r="AK327" t="s">
        <v>9288</v>
      </c>
      <c r="AL327">
        <v>58</v>
      </c>
      <c r="AM327" s="5">
        <f t="shared" si="42"/>
        <v>2</v>
      </c>
      <c r="AN327" s="4">
        <f t="shared" si="47"/>
        <v>3.0291556228701248E-3</v>
      </c>
      <c r="AO327" s="3"/>
      <c r="AP327">
        <v>0</v>
      </c>
      <c r="AQ327" t="s">
        <v>761</v>
      </c>
      <c r="AR327" t="s">
        <v>9287</v>
      </c>
      <c r="AS327" t="s">
        <v>759</v>
      </c>
      <c r="AT327" s="2" t="s">
        <v>0</v>
      </c>
      <c r="AU327" s="1">
        <f t="shared" si="43"/>
        <v>3.1778184235244686</v>
      </c>
      <c r="AV327" s="1">
        <f t="shared" si="44"/>
        <v>2.3564176060280526</v>
      </c>
      <c r="AW327" s="1">
        <f t="shared" si="45"/>
        <v>1.5350167885316366</v>
      </c>
    </row>
    <row r="328" spans="1:49" x14ac:dyDescent="0.2">
      <c r="A328">
        <v>326</v>
      </c>
      <c r="B328" t="s">
        <v>9286</v>
      </c>
      <c r="C328" t="s">
        <v>9285</v>
      </c>
      <c r="F328" t="s">
        <v>9284</v>
      </c>
      <c r="G328" t="s">
        <v>15</v>
      </c>
      <c r="H328" t="s">
        <v>14</v>
      </c>
      <c r="I328" t="s">
        <v>9283</v>
      </c>
      <c r="J328">
        <v>60056249</v>
      </c>
      <c r="K328" t="s">
        <v>9282</v>
      </c>
      <c r="L328" t="s">
        <v>121</v>
      </c>
      <c r="M328" t="s">
        <v>120</v>
      </c>
      <c r="N328">
        <v>1</v>
      </c>
      <c r="O328" t="s">
        <v>9281</v>
      </c>
      <c r="P328">
        <v>55435264400</v>
      </c>
      <c r="Q328">
        <v>60056249</v>
      </c>
      <c r="R328" s="7">
        <v>33970</v>
      </c>
      <c r="S328" s="8">
        <f t="shared" si="40"/>
        <v>1993</v>
      </c>
      <c r="T328" s="8">
        <v>1993</v>
      </c>
      <c r="U328" s="8">
        <f t="shared" si="41"/>
        <v>29</v>
      </c>
      <c r="V328" s="7">
        <v>34304</v>
      </c>
      <c r="W328" t="s">
        <v>814</v>
      </c>
      <c r="X328" s="2">
        <v>1.6519999999999999</v>
      </c>
      <c r="Y328" s="6">
        <f t="shared" si="46"/>
        <v>4.409919649769093E-2</v>
      </c>
      <c r="AA328" t="s">
        <v>813</v>
      </c>
      <c r="AB328">
        <v>17337</v>
      </c>
      <c r="AC328">
        <v>15582221</v>
      </c>
      <c r="AD328" t="s">
        <v>5</v>
      </c>
      <c r="AE328">
        <v>41</v>
      </c>
      <c r="AF328">
        <v>12</v>
      </c>
      <c r="AH328" t="s">
        <v>9280</v>
      </c>
      <c r="AI328" t="s">
        <v>9279</v>
      </c>
      <c r="AK328" t="s">
        <v>9278</v>
      </c>
      <c r="AL328">
        <v>22</v>
      </c>
      <c r="AM328" s="5">
        <f t="shared" si="42"/>
        <v>0.75862068965517238</v>
      </c>
      <c r="AN328" s="4">
        <f t="shared" si="47"/>
        <v>1.1489900638472887E-3</v>
      </c>
      <c r="AO328" s="3"/>
      <c r="AP328">
        <v>0</v>
      </c>
      <c r="AR328" t="s">
        <v>1</v>
      </c>
      <c r="AT328" s="2" t="s">
        <v>0</v>
      </c>
      <c r="AU328" s="1">
        <f t="shared" si="43"/>
        <v>3.1214134567537837</v>
      </c>
      <c r="AV328" s="1">
        <f t="shared" si="44"/>
        <v>2.2624093280769109</v>
      </c>
      <c r="AW328" s="1">
        <f t="shared" si="45"/>
        <v>1.4034051994000381</v>
      </c>
    </row>
    <row r="329" spans="1:49" x14ac:dyDescent="0.2">
      <c r="A329">
        <v>327</v>
      </c>
      <c r="B329" t="s">
        <v>9277</v>
      </c>
      <c r="C329" t="s">
        <v>9276</v>
      </c>
      <c r="F329" t="s">
        <v>9275</v>
      </c>
      <c r="G329" t="s">
        <v>15</v>
      </c>
      <c r="H329" t="s">
        <v>14</v>
      </c>
      <c r="I329" t="s">
        <v>9274</v>
      </c>
      <c r="J329">
        <v>60030480</v>
      </c>
      <c r="K329" t="s">
        <v>6581</v>
      </c>
      <c r="L329" t="s">
        <v>6580</v>
      </c>
      <c r="M329" t="s">
        <v>493</v>
      </c>
      <c r="N329">
        <v>3</v>
      </c>
      <c r="O329" t="s">
        <v>9273</v>
      </c>
      <c r="P329" t="s">
        <v>9272</v>
      </c>
      <c r="Q329" t="s">
        <v>9271</v>
      </c>
      <c r="R329" s="7">
        <v>33970</v>
      </c>
      <c r="S329" s="8">
        <f t="shared" si="40"/>
        <v>1993</v>
      </c>
      <c r="T329" s="8">
        <v>1993</v>
      </c>
      <c r="U329" s="8">
        <f t="shared" si="41"/>
        <v>29</v>
      </c>
      <c r="V329" s="7">
        <v>34304</v>
      </c>
      <c r="W329" t="s">
        <v>548</v>
      </c>
      <c r="X329" s="2">
        <v>1.3720000000000001</v>
      </c>
      <c r="Y329" s="6">
        <f t="shared" si="46"/>
        <v>3.662475641333654E-2</v>
      </c>
      <c r="AA329">
        <v>189480</v>
      </c>
      <c r="AB329">
        <v>17366</v>
      </c>
      <c r="AC329">
        <v>15579670</v>
      </c>
      <c r="AD329" t="s">
        <v>5</v>
      </c>
      <c r="AE329">
        <v>41</v>
      </c>
      <c r="AF329">
        <v>12</v>
      </c>
      <c r="AH329" t="s">
        <v>9270</v>
      </c>
      <c r="AI329" t="s">
        <v>9269</v>
      </c>
      <c r="AK329" t="s">
        <v>9268</v>
      </c>
      <c r="AL329">
        <v>4</v>
      </c>
      <c r="AM329" s="5">
        <f t="shared" si="42"/>
        <v>0.13793103448275862</v>
      </c>
      <c r="AN329" s="4">
        <f t="shared" si="47"/>
        <v>2.089072843358707E-4</v>
      </c>
      <c r="AO329" s="3"/>
      <c r="AP329">
        <v>0</v>
      </c>
      <c r="AQ329" t="s">
        <v>5802</v>
      </c>
      <c r="AR329" t="s">
        <v>1</v>
      </c>
      <c r="AS329" t="s">
        <v>9267</v>
      </c>
      <c r="AT329" s="2" t="s">
        <v>0</v>
      </c>
      <c r="AU329" s="1">
        <f t="shared" si="43"/>
        <v>2.5700001674636335</v>
      </c>
      <c r="AV329" s="1">
        <f t="shared" si="44"/>
        <v>1.8416831848836204</v>
      </c>
      <c r="AW329" s="1">
        <f t="shared" si="45"/>
        <v>1.1133662023036073</v>
      </c>
    </row>
    <row r="330" spans="1:49" x14ac:dyDescent="0.2">
      <c r="A330">
        <v>328</v>
      </c>
      <c r="B330" t="s">
        <v>9266</v>
      </c>
      <c r="C330" t="s">
        <v>9265</v>
      </c>
      <c r="F330" t="s">
        <v>9264</v>
      </c>
      <c r="G330" t="s">
        <v>15</v>
      </c>
      <c r="H330" t="s">
        <v>14</v>
      </c>
      <c r="I330" t="s">
        <v>9263</v>
      </c>
      <c r="J330">
        <v>60000765</v>
      </c>
      <c r="K330" t="s">
        <v>536</v>
      </c>
      <c r="L330" t="s">
        <v>535</v>
      </c>
      <c r="M330" t="s">
        <v>59</v>
      </c>
      <c r="N330">
        <v>1</v>
      </c>
      <c r="O330" t="s">
        <v>9262</v>
      </c>
      <c r="P330">
        <v>6602539137</v>
      </c>
      <c r="Q330">
        <v>60000765</v>
      </c>
      <c r="R330" s="7">
        <v>33970</v>
      </c>
      <c r="S330" s="8">
        <f t="shared" si="40"/>
        <v>1993</v>
      </c>
      <c r="T330" s="8">
        <v>1993</v>
      </c>
      <c r="U330" s="8">
        <f t="shared" si="41"/>
        <v>29</v>
      </c>
      <c r="V330" s="7">
        <v>34304</v>
      </c>
      <c r="W330" t="s">
        <v>2915</v>
      </c>
      <c r="X330" s="2">
        <v>0.61499999999999999</v>
      </c>
      <c r="Y330" s="6">
        <f t="shared" si="46"/>
        <v>1.6417073756706976E-2</v>
      </c>
      <c r="AA330">
        <v>1959271</v>
      </c>
      <c r="AB330">
        <v>12141</v>
      </c>
      <c r="AC330">
        <v>15729559</v>
      </c>
      <c r="AD330" t="s">
        <v>5</v>
      </c>
      <c r="AE330">
        <v>14</v>
      </c>
      <c r="AF330">
        <v>12</v>
      </c>
      <c r="AH330" t="s">
        <v>9261</v>
      </c>
      <c r="AI330" t="s">
        <v>9260</v>
      </c>
      <c r="AK330" t="s">
        <v>9259</v>
      </c>
      <c r="AL330">
        <v>0</v>
      </c>
      <c r="AM330" s="5">
        <f t="shared" si="42"/>
        <v>0</v>
      </c>
      <c r="AN330" s="4">
        <f t="shared" si="47"/>
        <v>0</v>
      </c>
      <c r="AO330" s="3"/>
      <c r="AP330">
        <v>0</v>
      </c>
      <c r="AR330" t="s">
        <v>1</v>
      </c>
      <c r="AT330" s="2" t="s">
        <v>0</v>
      </c>
      <c r="AU330" s="1">
        <f t="shared" si="43"/>
        <v>1.1491951629694881</v>
      </c>
      <c r="AV330" s="1">
        <f t="shared" si="44"/>
        <v>0.82085368783534873</v>
      </c>
      <c r="AW330" s="1">
        <f t="shared" si="45"/>
        <v>0.49251221270120926</v>
      </c>
    </row>
    <row r="331" spans="1:49" x14ac:dyDescent="0.2">
      <c r="A331">
        <v>329</v>
      </c>
      <c r="B331" t="s">
        <v>9258</v>
      </c>
      <c r="C331" t="s">
        <v>9257</v>
      </c>
      <c r="F331" t="s">
        <v>9256</v>
      </c>
      <c r="G331" t="s">
        <v>15</v>
      </c>
      <c r="H331" t="s">
        <v>14</v>
      </c>
      <c r="I331" t="s">
        <v>9255</v>
      </c>
      <c r="J331">
        <v>60092258</v>
      </c>
      <c r="K331" t="s">
        <v>9254</v>
      </c>
      <c r="L331" t="s">
        <v>1711</v>
      </c>
      <c r="M331" t="s">
        <v>150</v>
      </c>
      <c r="N331">
        <v>6</v>
      </c>
      <c r="O331" t="s">
        <v>9253</v>
      </c>
      <c r="P331" t="s">
        <v>9252</v>
      </c>
      <c r="Q331" t="s">
        <v>9251</v>
      </c>
      <c r="R331" s="7">
        <v>33970</v>
      </c>
      <c r="S331" s="8">
        <f t="shared" si="40"/>
        <v>1993</v>
      </c>
      <c r="T331" s="8">
        <v>1993</v>
      </c>
      <c r="U331" s="8">
        <f t="shared" si="41"/>
        <v>29</v>
      </c>
      <c r="V331" s="7">
        <v>1993</v>
      </c>
      <c r="W331" t="s">
        <v>8762</v>
      </c>
      <c r="X331" s="2">
        <v>0.158</v>
      </c>
      <c r="Y331" s="6">
        <f t="shared" si="46"/>
        <v>4.2177197618856943E-3</v>
      </c>
      <c r="AA331">
        <v>380830</v>
      </c>
      <c r="AB331">
        <v>13094</v>
      </c>
      <c r="AD331" t="s">
        <v>5</v>
      </c>
      <c r="AE331">
        <v>39</v>
      </c>
      <c r="AF331">
        <v>2</v>
      </c>
      <c r="AH331" t="s">
        <v>9250</v>
      </c>
      <c r="AI331" t="s">
        <v>9249</v>
      </c>
      <c r="AK331" t="s">
        <v>9248</v>
      </c>
      <c r="AL331">
        <v>0</v>
      </c>
      <c r="AM331" s="5">
        <f t="shared" si="42"/>
        <v>0</v>
      </c>
      <c r="AN331" s="4">
        <f t="shared" si="47"/>
        <v>0</v>
      </c>
      <c r="AO331" s="3"/>
      <c r="AP331">
        <v>0</v>
      </c>
      <c r="AR331" t="s">
        <v>1</v>
      </c>
      <c r="AT331" s="2" t="s">
        <v>0</v>
      </c>
      <c r="AU331" s="1">
        <f t="shared" si="43"/>
        <v>0.29524038333199859</v>
      </c>
      <c r="AV331" s="1">
        <f t="shared" si="44"/>
        <v>0.21088598809428472</v>
      </c>
      <c r="AW331" s="1">
        <f t="shared" si="45"/>
        <v>0.12653159285657081</v>
      </c>
    </row>
    <row r="332" spans="1:49" x14ac:dyDescent="0.2">
      <c r="A332">
        <v>330</v>
      </c>
      <c r="B332" t="s">
        <v>9247</v>
      </c>
      <c r="C332" t="s">
        <v>9246</v>
      </c>
      <c r="F332" t="s">
        <v>9245</v>
      </c>
      <c r="G332" t="s">
        <v>15</v>
      </c>
      <c r="H332" t="s">
        <v>14</v>
      </c>
      <c r="I332" t="s">
        <v>9244</v>
      </c>
      <c r="J332">
        <v>60029701</v>
      </c>
      <c r="K332" t="s">
        <v>9243</v>
      </c>
      <c r="L332" t="s">
        <v>7537</v>
      </c>
      <c r="M332" t="s">
        <v>150</v>
      </c>
      <c r="N332">
        <v>2</v>
      </c>
      <c r="O332" t="s">
        <v>9242</v>
      </c>
      <c r="P332" t="s">
        <v>9241</v>
      </c>
      <c r="Q332" t="s">
        <v>9240</v>
      </c>
      <c r="R332" s="7">
        <v>33970</v>
      </c>
      <c r="S332" s="8">
        <f t="shared" si="40"/>
        <v>1993</v>
      </c>
      <c r="T332" s="8">
        <v>1993</v>
      </c>
      <c r="U332" s="8">
        <f t="shared" si="41"/>
        <v>29</v>
      </c>
      <c r="V332" s="7">
        <v>1993</v>
      </c>
      <c r="W332" t="s">
        <v>8762</v>
      </c>
      <c r="X332" s="2">
        <v>0.158</v>
      </c>
      <c r="Y332" s="6">
        <f t="shared" si="46"/>
        <v>4.2177197618856943E-3</v>
      </c>
      <c r="AA332">
        <v>380830</v>
      </c>
      <c r="AB332">
        <v>13094</v>
      </c>
      <c r="AD332" t="s">
        <v>5</v>
      </c>
      <c r="AE332">
        <v>39</v>
      </c>
      <c r="AF332">
        <v>2</v>
      </c>
      <c r="AH332" t="s">
        <v>9239</v>
      </c>
      <c r="AI332" t="s">
        <v>9238</v>
      </c>
      <c r="AK332" t="s">
        <v>9237</v>
      </c>
      <c r="AL332">
        <v>0</v>
      </c>
      <c r="AM332" s="5">
        <f t="shared" si="42"/>
        <v>0</v>
      </c>
      <c r="AN332" s="4">
        <f t="shared" si="47"/>
        <v>0</v>
      </c>
      <c r="AO332" s="3"/>
      <c r="AP332">
        <v>0</v>
      </c>
      <c r="AR332" t="s">
        <v>1</v>
      </c>
      <c r="AT332" s="2" t="s">
        <v>0</v>
      </c>
      <c r="AU332" s="1">
        <f t="shared" si="43"/>
        <v>0.29524038333199859</v>
      </c>
      <c r="AV332" s="1">
        <f t="shared" si="44"/>
        <v>0.21088598809428472</v>
      </c>
      <c r="AW332" s="1">
        <f t="shared" si="45"/>
        <v>0.12653159285657081</v>
      </c>
    </row>
    <row r="333" spans="1:49" x14ac:dyDescent="0.2">
      <c r="A333">
        <v>331</v>
      </c>
      <c r="B333" t="s">
        <v>9236</v>
      </c>
      <c r="F333" t="s">
        <v>9235</v>
      </c>
      <c r="G333" t="s">
        <v>15</v>
      </c>
      <c r="H333" t="s">
        <v>14</v>
      </c>
      <c r="I333" t="s">
        <v>9234</v>
      </c>
      <c r="N333">
        <v>3</v>
      </c>
      <c r="O333" t="s">
        <v>9233</v>
      </c>
      <c r="P333" t="s">
        <v>9232</v>
      </c>
      <c r="Q333" t="s">
        <v>2929</v>
      </c>
      <c r="R333" s="7">
        <v>33970</v>
      </c>
      <c r="S333" s="8">
        <f t="shared" si="40"/>
        <v>1993</v>
      </c>
      <c r="T333" s="8">
        <v>1993</v>
      </c>
      <c r="U333" s="8">
        <f t="shared" si="41"/>
        <v>29</v>
      </c>
      <c r="V333" s="7">
        <v>1993</v>
      </c>
      <c r="W333" t="s">
        <v>9231</v>
      </c>
      <c r="X333" s="2" t="s">
        <v>0</v>
      </c>
      <c r="Y333" s="6" t="e">
        <f t="shared" si="46"/>
        <v>#VALUE!</v>
      </c>
      <c r="AB333">
        <v>31078</v>
      </c>
      <c r="AD333" t="s">
        <v>5</v>
      </c>
      <c r="AE333">
        <v>39</v>
      </c>
      <c r="AH333" t="s">
        <v>2492</v>
      </c>
      <c r="AI333" t="s">
        <v>9230</v>
      </c>
      <c r="AK333" t="s">
        <v>9229</v>
      </c>
      <c r="AL333">
        <v>1</v>
      </c>
      <c r="AM333" s="5">
        <f t="shared" si="42"/>
        <v>3.4482758620689655E-2</v>
      </c>
      <c r="AN333" s="4">
        <f t="shared" si="47"/>
        <v>5.2226821083967674E-5</v>
      </c>
      <c r="AO333" s="3"/>
      <c r="AP333">
        <v>0</v>
      </c>
      <c r="AR333" t="s">
        <v>1</v>
      </c>
      <c r="AT333" s="2" t="s">
        <v>0</v>
      </c>
      <c r="AU333" s="1" t="e">
        <f t="shared" si="43"/>
        <v>#VALUE!</v>
      </c>
      <c r="AV333" s="1" t="e">
        <f t="shared" si="44"/>
        <v>#VALUE!</v>
      </c>
      <c r="AW333" s="1" t="e">
        <f t="shared" si="45"/>
        <v>#VALUE!</v>
      </c>
    </row>
    <row r="334" spans="1:49" x14ac:dyDescent="0.2">
      <c r="A334">
        <v>332</v>
      </c>
      <c r="B334" t="s">
        <v>9228</v>
      </c>
      <c r="C334" t="s">
        <v>9227</v>
      </c>
      <c r="F334" t="s">
        <v>9226</v>
      </c>
      <c r="G334" t="s">
        <v>15</v>
      </c>
      <c r="H334" t="s">
        <v>14</v>
      </c>
      <c r="I334" t="s">
        <v>9225</v>
      </c>
      <c r="N334">
        <v>2</v>
      </c>
      <c r="O334" t="s">
        <v>9224</v>
      </c>
      <c r="P334" t="s">
        <v>9223</v>
      </c>
      <c r="Q334" t="s">
        <v>1557</v>
      </c>
      <c r="R334" s="7">
        <v>33970</v>
      </c>
      <c r="S334" s="8">
        <f t="shared" si="40"/>
        <v>1993</v>
      </c>
      <c r="T334" s="8">
        <v>1993</v>
      </c>
      <c r="U334" s="8">
        <f t="shared" si="41"/>
        <v>29</v>
      </c>
      <c r="V334" s="7">
        <v>1993</v>
      </c>
      <c r="W334" t="s">
        <v>1921</v>
      </c>
      <c r="X334" s="2">
        <v>1.67</v>
      </c>
      <c r="Y334" s="6">
        <f t="shared" si="46"/>
        <v>4.4579696217399427E-2</v>
      </c>
      <c r="AA334">
        <v>1480227</v>
      </c>
      <c r="AB334">
        <v>28428</v>
      </c>
      <c r="AD334" t="s">
        <v>5</v>
      </c>
      <c r="AE334">
        <v>98</v>
      </c>
      <c r="AF334" t="s">
        <v>9222</v>
      </c>
      <c r="AI334" t="s">
        <v>9221</v>
      </c>
      <c r="AK334" t="s">
        <v>9220</v>
      </c>
      <c r="AL334">
        <v>40</v>
      </c>
      <c r="AM334" s="5">
        <f t="shared" si="42"/>
        <v>1.3793103448275863</v>
      </c>
      <c r="AN334" s="4">
        <f t="shared" si="47"/>
        <v>2.0890728433587071E-3</v>
      </c>
      <c r="AO334" s="3"/>
      <c r="AP334">
        <v>0</v>
      </c>
      <c r="AR334" t="s">
        <v>1</v>
      </c>
      <c r="AT334" s="2" t="s">
        <v>0</v>
      </c>
      <c r="AU334" s="1">
        <f t="shared" si="43"/>
        <v>3.1832509205187209</v>
      </c>
      <c r="AV334" s="1">
        <f t="shared" si="44"/>
        <v>2.3334384530379069</v>
      </c>
      <c r="AW334" s="1">
        <f t="shared" si="45"/>
        <v>1.4836259855570924</v>
      </c>
    </row>
    <row r="335" spans="1:49" x14ac:dyDescent="0.2">
      <c r="A335">
        <v>333</v>
      </c>
      <c r="B335" t="s">
        <v>9219</v>
      </c>
      <c r="C335" t="s">
        <v>9218</v>
      </c>
      <c r="F335" t="s">
        <v>9217</v>
      </c>
      <c r="G335" t="s">
        <v>15</v>
      </c>
      <c r="H335" t="s">
        <v>14</v>
      </c>
      <c r="I335" t="s">
        <v>9216</v>
      </c>
      <c r="J335">
        <v>60000809</v>
      </c>
      <c r="K335" t="s">
        <v>9215</v>
      </c>
      <c r="L335" t="s">
        <v>9214</v>
      </c>
      <c r="M335" t="s">
        <v>150</v>
      </c>
      <c r="N335">
        <v>1</v>
      </c>
      <c r="O335" t="s">
        <v>9213</v>
      </c>
      <c r="P335">
        <v>7403691800</v>
      </c>
      <c r="Q335">
        <v>60000809</v>
      </c>
      <c r="R335" s="7">
        <v>33970</v>
      </c>
      <c r="S335" s="8">
        <f t="shared" si="40"/>
        <v>1993</v>
      </c>
      <c r="T335" s="8">
        <v>1993</v>
      </c>
      <c r="U335" s="8">
        <f t="shared" si="41"/>
        <v>29</v>
      </c>
      <c r="V335" s="7">
        <v>1993</v>
      </c>
      <c r="W335" t="s">
        <v>1385</v>
      </c>
      <c r="X335" s="2">
        <v>0.39100000000000001</v>
      </c>
      <c r="Y335" s="6">
        <f t="shared" si="46"/>
        <v>1.043752168922346E-2</v>
      </c>
      <c r="AA335">
        <v>2663511</v>
      </c>
      <c r="AB335">
        <v>78854</v>
      </c>
      <c r="AD335" t="s">
        <v>5</v>
      </c>
      <c r="AE335">
        <v>8</v>
      </c>
      <c r="AF335" s="9">
        <v>44228</v>
      </c>
      <c r="AH335" s="10">
        <v>42430</v>
      </c>
      <c r="AI335" t="s">
        <v>9212</v>
      </c>
      <c r="AK335" t="s">
        <v>9211</v>
      </c>
      <c r="AL335">
        <v>27</v>
      </c>
      <c r="AM335" s="5">
        <f t="shared" si="42"/>
        <v>0.93103448275862066</v>
      </c>
      <c r="AN335" s="4">
        <f t="shared" si="47"/>
        <v>1.410124169267127E-3</v>
      </c>
      <c r="AO335" s="3"/>
      <c r="AP335">
        <v>0</v>
      </c>
      <c r="AR335" t="s">
        <v>1</v>
      </c>
      <c r="AT335" s="2" t="s">
        <v>0</v>
      </c>
      <c r="AU335" s="1">
        <f t="shared" si="43"/>
        <v>0.7729302433236559</v>
      </c>
      <c r="AV335" s="1">
        <f t="shared" si="44"/>
        <v>0.59238229292452926</v>
      </c>
      <c r="AW335" s="1">
        <f t="shared" si="45"/>
        <v>0.41183434252540263</v>
      </c>
    </row>
    <row r="336" spans="1:49" x14ac:dyDescent="0.2">
      <c r="A336">
        <v>334</v>
      </c>
      <c r="B336" t="s">
        <v>9210</v>
      </c>
      <c r="C336" t="s">
        <v>9209</v>
      </c>
      <c r="F336" t="s">
        <v>9208</v>
      </c>
      <c r="G336" t="s">
        <v>15</v>
      </c>
      <c r="H336" t="s">
        <v>14</v>
      </c>
      <c r="I336" t="s">
        <v>9207</v>
      </c>
      <c r="J336">
        <v>60019656</v>
      </c>
      <c r="K336" t="s">
        <v>7665</v>
      </c>
      <c r="L336" t="s">
        <v>7664</v>
      </c>
      <c r="M336" t="s">
        <v>493</v>
      </c>
      <c r="N336">
        <v>2</v>
      </c>
      <c r="O336" t="s">
        <v>9206</v>
      </c>
      <c r="P336" t="s">
        <v>9205</v>
      </c>
      <c r="Q336" t="s">
        <v>9204</v>
      </c>
      <c r="R336" s="7">
        <v>33970</v>
      </c>
      <c r="S336" s="8">
        <f t="shared" si="40"/>
        <v>1993</v>
      </c>
      <c r="T336" s="8">
        <v>1993</v>
      </c>
      <c r="U336" s="8">
        <f t="shared" si="41"/>
        <v>29</v>
      </c>
      <c r="V336" s="7">
        <v>34304</v>
      </c>
      <c r="W336" t="s">
        <v>3890</v>
      </c>
      <c r="X336" s="2">
        <v>0.251</v>
      </c>
      <c r="Y336" s="6">
        <f t="shared" si="46"/>
        <v>6.7003016470462617E-3</v>
      </c>
      <c r="AA336">
        <v>207217</v>
      </c>
      <c r="AB336">
        <v>26145</v>
      </c>
      <c r="AC336">
        <v>13623060</v>
      </c>
      <c r="AD336" t="s">
        <v>5</v>
      </c>
      <c r="AE336">
        <v>75</v>
      </c>
      <c r="AF336">
        <v>6</v>
      </c>
      <c r="AH336" t="s">
        <v>9203</v>
      </c>
      <c r="AI336" t="s">
        <v>9202</v>
      </c>
      <c r="AK336" t="s">
        <v>9201</v>
      </c>
      <c r="AL336">
        <v>2</v>
      </c>
      <c r="AM336" s="5">
        <f t="shared" si="42"/>
        <v>6.8965517241379309E-2</v>
      </c>
      <c r="AN336" s="4">
        <f t="shared" si="47"/>
        <v>1.0445364216793535E-4</v>
      </c>
      <c r="AO336" s="3"/>
      <c r="AP336">
        <v>0</v>
      </c>
      <c r="AR336" t="s">
        <v>1</v>
      </c>
      <c r="AT336" s="2">
        <v>1.3360000000000001</v>
      </c>
      <c r="AU336" s="1">
        <f t="shared" si="43"/>
        <v>0.47215472455827628</v>
      </c>
      <c r="AV336" s="1">
        <f t="shared" si="44"/>
        <v>0.34023776446070986</v>
      </c>
      <c r="AW336" s="1">
        <f t="shared" si="45"/>
        <v>0.20832080436314332</v>
      </c>
    </row>
    <row r="337" spans="1:49" x14ac:dyDescent="0.2">
      <c r="A337">
        <v>335</v>
      </c>
      <c r="B337" t="s">
        <v>9200</v>
      </c>
      <c r="C337" t="s">
        <v>9199</v>
      </c>
      <c r="F337" t="s">
        <v>9198</v>
      </c>
      <c r="G337" t="s">
        <v>15</v>
      </c>
      <c r="H337" t="s">
        <v>14</v>
      </c>
      <c r="I337" t="s">
        <v>9197</v>
      </c>
      <c r="J337">
        <v>60014313</v>
      </c>
      <c r="K337" t="s">
        <v>2652</v>
      </c>
      <c r="L337" t="s">
        <v>2651</v>
      </c>
      <c r="M337" t="s">
        <v>10</v>
      </c>
      <c r="N337">
        <v>1</v>
      </c>
      <c r="O337" t="s">
        <v>9196</v>
      </c>
      <c r="P337">
        <v>7006775375</v>
      </c>
      <c r="Q337">
        <v>60014313</v>
      </c>
      <c r="R337" s="7">
        <v>33970</v>
      </c>
      <c r="S337" s="8">
        <f t="shared" si="40"/>
        <v>1993</v>
      </c>
      <c r="T337" s="8">
        <v>1993</v>
      </c>
      <c r="U337" s="8">
        <f t="shared" si="41"/>
        <v>29</v>
      </c>
      <c r="V337" s="7">
        <v>34304</v>
      </c>
      <c r="W337" t="s">
        <v>299</v>
      </c>
      <c r="X337" s="2">
        <v>0.88100000000000001</v>
      </c>
      <c r="Y337" s="6">
        <f t="shared" si="46"/>
        <v>2.3517791836843653E-2</v>
      </c>
      <c r="AA337">
        <v>10459243</v>
      </c>
      <c r="AB337">
        <v>17248</v>
      </c>
      <c r="AD337" t="s">
        <v>5</v>
      </c>
      <c r="AE337">
        <v>35</v>
      </c>
      <c r="AF337">
        <v>6</v>
      </c>
      <c r="AH337" s="10">
        <v>41456</v>
      </c>
      <c r="AI337" t="s">
        <v>9195</v>
      </c>
      <c r="AK337" t="s">
        <v>9194</v>
      </c>
      <c r="AL337">
        <v>14</v>
      </c>
      <c r="AM337" s="5">
        <f t="shared" si="42"/>
        <v>0.48275862068965519</v>
      </c>
      <c r="AN337" s="4">
        <f t="shared" si="47"/>
        <v>7.3117549517554741E-4</v>
      </c>
      <c r="AO337" s="3"/>
      <c r="AP337">
        <v>0</v>
      </c>
      <c r="AQ337" t="s">
        <v>8722</v>
      </c>
      <c r="AR337" t="s">
        <v>1</v>
      </c>
      <c r="AS337" t="s">
        <v>8720</v>
      </c>
      <c r="AT337" s="2" t="s">
        <v>0</v>
      </c>
      <c r="AU337" s="1">
        <f t="shared" si="43"/>
        <v>1.6681806934343222</v>
      </c>
      <c r="AV337" s="1">
        <f t="shared" si="44"/>
        <v>1.21244836660096</v>
      </c>
      <c r="AW337" s="1">
        <f t="shared" si="45"/>
        <v>0.75671603976759783</v>
      </c>
    </row>
    <row r="338" spans="1:49" x14ac:dyDescent="0.2">
      <c r="A338">
        <v>336</v>
      </c>
      <c r="B338" t="s">
        <v>9193</v>
      </c>
      <c r="C338" t="s">
        <v>9192</v>
      </c>
      <c r="D338" t="s">
        <v>9191</v>
      </c>
      <c r="F338" t="s">
        <v>9190</v>
      </c>
      <c r="G338" t="s">
        <v>15</v>
      </c>
      <c r="H338" t="s">
        <v>14</v>
      </c>
      <c r="I338" t="s">
        <v>9189</v>
      </c>
      <c r="J338" t="s">
        <v>9188</v>
      </c>
      <c r="K338" t="s">
        <v>9187</v>
      </c>
      <c r="L338" t="s">
        <v>9186</v>
      </c>
      <c r="M338" t="s">
        <v>7346</v>
      </c>
      <c r="N338">
        <v>3</v>
      </c>
      <c r="O338" t="s">
        <v>9185</v>
      </c>
      <c r="P338" t="s">
        <v>9184</v>
      </c>
      <c r="Q338" t="s">
        <v>9183</v>
      </c>
      <c r="R338" s="7">
        <v>33970</v>
      </c>
      <c r="S338" s="8">
        <f t="shared" si="40"/>
        <v>1993</v>
      </c>
      <c r="T338" s="8">
        <v>1993</v>
      </c>
      <c r="U338" s="8">
        <f t="shared" si="41"/>
        <v>29</v>
      </c>
      <c r="V338" s="7">
        <v>34304</v>
      </c>
      <c r="W338" t="s">
        <v>747</v>
      </c>
      <c r="X338" s="2">
        <v>0.90700000000000003</v>
      </c>
      <c r="Y338" s="6">
        <f t="shared" si="46"/>
        <v>2.4211846987533703E-2</v>
      </c>
      <c r="AA338">
        <v>1651684</v>
      </c>
      <c r="AB338">
        <v>25548</v>
      </c>
      <c r="AD338" t="s">
        <v>5</v>
      </c>
      <c r="AE338">
        <v>34</v>
      </c>
      <c r="AF338">
        <v>3</v>
      </c>
      <c r="AH338" t="s">
        <v>9182</v>
      </c>
      <c r="AI338" t="s">
        <v>9181</v>
      </c>
      <c r="AJ338" t="s">
        <v>9180</v>
      </c>
      <c r="AK338" t="s">
        <v>9179</v>
      </c>
      <c r="AL338">
        <v>9</v>
      </c>
      <c r="AM338" s="5">
        <f t="shared" si="42"/>
        <v>0.31034482758620691</v>
      </c>
      <c r="AN338" s="4">
        <f t="shared" si="47"/>
        <v>4.7004138975570908E-4</v>
      </c>
      <c r="AO338" s="3"/>
      <c r="AP338">
        <v>0</v>
      </c>
      <c r="AR338" t="s">
        <v>1</v>
      </c>
      <c r="AT338" s="2">
        <v>4.6619999999999999</v>
      </c>
      <c r="AU338" s="1">
        <f t="shared" si="43"/>
        <v>1.7089305308200302</v>
      </c>
      <c r="AV338" s="1">
        <f t="shared" si="44"/>
        <v>1.2340944188644705</v>
      </c>
      <c r="AW338" s="1">
        <f t="shared" si="45"/>
        <v>0.75925830690891072</v>
      </c>
    </row>
    <row r="339" spans="1:49" x14ac:dyDescent="0.2">
      <c r="A339">
        <v>337</v>
      </c>
      <c r="B339" t="s">
        <v>9178</v>
      </c>
      <c r="C339" t="s">
        <v>9177</v>
      </c>
      <c r="F339" t="s">
        <v>9176</v>
      </c>
      <c r="G339" t="s">
        <v>15</v>
      </c>
      <c r="H339" t="s">
        <v>14</v>
      </c>
      <c r="I339" t="s">
        <v>9175</v>
      </c>
      <c r="J339" t="s">
        <v>9174</v>
      </c>
      <c r="K339" t="s">
        <v>9173</v>
      </c>
      <c r="L339" t="s">
        <v>9172</v>
      </c>
      <c r="M339" t="s">
        <v>235</v>
      </c>
      <c r="N339">
        <v>3</v>
      </c>
      <c r="O339" t="s">
        <v>9171</v>
      </c>
      <c r="P339" t="s">
        <v>9170</v>
      </c>
      <c r="Q339" t="s">
        <v>9169</v>
      </c>
      <c r="R339" s="7">
        <v>33970</v>
      </c>
      <c r="S339" s="8">
        <f t="shared" si="40"/>
        <v>1993</v>
      </c>
      <c r="T339" s="8">
        <v>1993</v>
      </c>
      <c r="U339" s="8">
        <f t="shared" si="41"/>
        <v>29</v>
      </c>
      <c r="V339" s="7">
        <v>34304</v>
      </c>
      <c r="W339" t="s">
        <v>299</v>
      </c>
      <c r="X339" s="2">
        <v>0.88100000000000001</v>
      </c>
      <c r="Y339" s="6">
        <f t="shared" si="46"/>
        <v>2.3517791836843653E-2</v>
      </c>
      <c r="AA339">
        <v>10459243</v>
      </c>
      <c r="AB339">
        <v>17248</v>
      </c>
      <c r="AD339" t="s">
        <v>5</v>
      </c>
      <c r="AE339">
        <v>35</v>
      </c>
      <c r="AF339">
        <v>6</v>
      </c>
      <c r="AH339" t="s">
        <v>9168</v>
      </c>
      <c r="AI339" t="s">
        <v>9167</v>
      </c>
      <c r="AK339" t="s">
        <v>9166</v>
      </c>
      <c r="AL339">
        <v>130</v>
      </c>
      <c r="AM339" s="5">
        <f t="shared" si="42"/>
        <v>4.4827586206896548</v>
      </c>
      <c r="AN339" s="4">
        <f t="shared" si="47"/>
        <v>6.7894867409157966E-3</v>
      </c>
      <c r="AO339" s="3"/>
      <c r="AP339">
        <v>0</v>
      </c>
      <c r="AR339" t="s">
        <v>1</v>
      </c>
      <c r="AT339" s="2" t="s">
        <v>0</v>
      </c>
      <c r="AU339" s="1">
        <f t="shared" si="43"/>
        <v>1.8499300308065296</v>
      </c>
      <c r="AV339" s="1">
        <f t="shared" si="44"/>
        <v>1.5153639288879726</v>
      </c>
      <c r="AW339" s="1">
        <f t="shared" si="45"/>
        <v>1.1807978269694153</v>
      </c>
    </row>
    <row r="340" spans="1:49" x14ac:dyDescent="0.2">
      <c r="A340">
        <v>338</v>
      </c>
      <c r="B340" t="s">
        <v>9165</v>
      </c>
      <c r="C340" t="s">
        <v>9164</v>
      </c>
      <c r="F340" t="s">
        <v>9163</v>
      </c>
      <c r="G340" t="s">
        <v>15</v>
      </c>
      <c r="H340" t="s">
        <v>14</v>
      </c>
      <c r="I340" t="s">
        <v>9162</v>
      </c>
      <c r="J340">
        <v>60027152</v>
      </c>
      <c r="K340" t="s">
        <v>9161</v>
      </c>
      <c r="L340" t="s">
        <v>9160</v>
      </c>
      <c r="M340" t="s">
        <v>120</v>
      </c>
      <c r="N340">
        <v>4</v>
      </c>
      <c r="O340" t="s">
        <v>9159</v>
      </c>
      <c r="P340" t="s">
        <v>9158</v>
      </c>
      <c r="Q340" t="s">
        <v>9157</v>
      </c>
      <c r="R340" s="7">
        <v>33970</v>
      </c>
      <c r="S340" s="8">
        <f t="shared" si="40"/>
        <v>1993</v>
      </c>
      <c r="T340" s="8">
        <v>1993</v>
      </c>
      <c r="U340" s="8">
        <f t="shared" si="41"/>
        <v>29</v>
      </c>
      <c r="V340" s="7">
        <v>34243</v>
      </c>
      <c r="W340" t="s">
        <v>9156</v>
      </c>
      <c r="X340" s="2">
        <v>0.67200000000000004</v>
      </c>
      <c r="Y340" s="6">
        <f t="shared" si="46"/>
        <v>1.793865620245055E-2</v>
      </c>
      <c r="AA340">
        <v>221112</v>
      </c>
      <c r="AB340">
        <v>22560</v>
      </c>
      <c r="AC340">
        <v>10958649</v>
      </c>
      <c r="AD340" t="s">
        <v>5</v>
      </c>
      <c r="AE340">
        <v>43</v>
      </c>
      <c r="AF340">
        <v>4</v>
      </c>
      <c r="AH340" t="s">
        <v>9155</v>
      </c>
      <c r="AI340" t="s">
        <v>9154</v>
      </c>
      <c r="AJ340" t="s">
        <v>9153</v>
      </c>
      <c r="AK340" t="s">
        <v>9152</v>
      </c>
      <c r="AL340">
        <v>38</v>
      </c>
      <c r="AM340" s="5">
        <f t="shared" si="42"/>
        <v>1.3103448275862069</v>
      </c>
      <c r="AN340" s="4">
        <f t="shared" si="47"/>
        <v>1.9846192011907715E-3</v>
      </c>
      <c r="AO340" s="3"/>
      <c r="AP340">
        <v>0</v>
      </c>
      <c r="AR340" t="s">
        <v>1</v>
      </c>
      <c r="AT340" s="2">
        <v>2.0510000000000002</v>
      </c>
      <c r="AU340" s="1">
        <f t="shared" si="43"/>
        <v>1.3152445102072614</v>
      </c>
      <c r="AV340" s="1">
        <f t="shared" si="44"/>
        <v>0.99616377018206614</v>
      </c>
      <c r="AW340" s="1">
        <f t="shared" si="45"/>
        <v>0.67708303015687055</v>
      </c>
    </row>
    <row r="341" spans="1:49" x14ac:dyDescent="0.2">
      <c r="A341">
        <v>339</v>
      </c>
      <c r="B341" t="s">
        <v>9151</v>
      </c>
      <c r="C341" t="s">
        <v>9150</v>
      </c>
      <c r="D341" t="s">
        <v>9149</v>
      </c>
      <c r="F341" t="s">
        <v>9148</v>
      </c>
      <c r="G341" t="s">
        <v>15</v>
      </c>
      <c r="H341" t="s">
        <v>14</v>
      </c>
      <c r="I341" t="s">
        <v>9147</v>
      </c>
      <c r="J341">
        <v>60017962</v>
      </c>
      <c r="K341" t="s">
        <v>9146</v>
      </c>
      <c r="L341" t="s">
        <v>1738</v>
      </c>
      <c r="M341" t="s">
        <v>508</v>
      </c>
      <c r="N341">
        <v>1</v>
      </c>
      <c r="O341" t="s">
        <v>9145</v>
      </c>
      <c r="P341">
        <v>6603896814</v>
      </c>
      <c r="Q341">
        <v>60017962</v>
      </c>
      <c r="R341" s="7">
        <v>33970</v>
      </c>
      <c r="S341" s="8">
        <f t="shared" si="40"/>
        <v>1993</v>
      </c>
      <c r="T341" s="8">
        <v>1993</v>
      </c>
      <c r="U341" s="8">
        <f t="shared" si="41"/>
        <v>29</v>
      </c>
      <c r="V341" s="7">
        <v>34274</v>
      </c>
      <c r="W341" t="s">
        <v>387</v>
      </c>
      <c r="X341" s="2">
        <v>0.68200000000000005</v>
      </c>
      <c r="Y341" s="6">
        <f t="shared" si="46"/>
        <v>1.8205600491177493E-2</v>
      </c>
      <c r="AA341">
        <v>2731177</v>
      </c>
      <c r="AB341">
        <v>12375</v>
      </c>
      <c r="AD341" t="s">
        <v>5</v>
      </c>
      <c r="AE341">
        <v>13</v>
      </c>
      <c r="AF341">
        <v>11</v>
      </c>
      <c r="AH341" s="10">
        <v>41760</v>
      </c>
      <c r="AI341" t="s">
        <v>9144</v>
      </c>
      <c r="AK341" t="s">
        <v>9143</v>
      </c>
      <c r="AL341">
        <v>9</v>
      </c>
      <c r="AM341" s="5">
        <f t="shared" si="42"/>
        <v>0.31034482758620691</v>
      </c>
      <c r="AN341" s="4">
        <f t="shared" si="47"/>
        <v>4.7004138975570908E-4</v>
      </c>
      <c r="AO341" s="3"/>
      <c r="AP341">
        <v>0</v>
      </c>
      <c r="AR341" t="s">
        <v>1</v>
      </c>
      <c r="AT341" s="2">
        <v>2.1520000000000001</v>
      </c>
      <c r="AU341" s="1">
        <f t="shared" si="43"/>
        <v>1.2884932760750958</v>
      </c>
      <c r="AV341" s="1">
        <f t="shared" si="44"/>
        <v>0.93378209404666002</v>
      </c>
      <c r="AW341" s="1">
        <f t="shared" si="45"/>
        <v>0.57907091201822447</v>
      </c>
    </row>
    <row r="342" spans="1:49" x14ac:dyDescent="0.2">
      <c r="A342">
        <v>340</v>
      </c>
      <c r="B342" t="s">
        <v>9142</v>
      </c>
      <c r="C342" t="s">
        <v>9141</v>
      </c>
      <c r="F342" t="s">
        <v>9140</v>
      </c>
      <c r="G342" t="s">
        <v>15</v>
      </c>
      <c r="H342" t="s">
        <v>14</v>
      </c>
      <c r="I342" t="s">
        <v>9139</v>
      </c>
      <c r="N342">
        <v>2</v>
      </c>
      <c r="O342" t="s">
        <v>9138</v>
      </c>
      <c r="P342" t="s">
        <v>9137</v>
      </c>
      <c r="Q342" t="s">
        <v>1557</v>
      </c>
      <c r="R342" s="7">
        <v>33970</v>
      </c>
      <c r="S342" s="8">
        <f t="shared" si="40"/>
        <v>1993</v>
      </c>
      <c r="T342" s="8">
        <v>1993</v>
      </c>
      <c r="U342" s="8">
        <f t="shared" si="41"/>
        <v>29</v>
      </c>
      <c r="V342" s="7">
        <v>1993</v>
      </c>
      <c r="W342" t="s">
        <v>8661</v>
      </c>
      <c r="X342" s="2" t="s">
        <v>0</v>
      </c>
      <c r="Y342" s="6" t="e">
        <f t="shared" si="46"/>
        <v>#VALUE!</v>
      </c>
      <c r="AB342">
        <v>13549</v>
      </c>
      <c r="AD342" t="s">
        <v>5</v>
      </c>
      <c r="AE342">
        <v>10</v>
      </c>
      <c r="AF342">
        <v>5</v>
      </c>
      <c r="AH342" t="s">
        <v>9136</v>
      </c>
      <c r="AI342" t="s">
        <v>9135</v>
      </c>
      <c r="AK342" t="s">
        <v>9134</v>
      </c>
      <c r="AL342">
        <v>37</v>
      </c>
      <c r="AM342" s="5">
        <f t="shared" si="42"/>
        <v>1.2758620689655173</v>
      </c>
      <c r="AN342" s="4">
        <f t="shared" si="47"/>
        <v>1.9323923801068041E-3</v>
      </c>
      <c r="AO342" s="3"/>
      <c r="AP342">
        <v>0</v>
      </c>
      <c r="AR342" t="s">
        <v>1</v>
      </c>
      <c r="AT342" s="2" t="s">
        <v>0</v>
      </c>
      <c r="AU342" s="1" t="e">
        <f t="shared" si="43"/>
        <v>#VALUE!</v>
      </c>
      <c r="AV342" s="1" t="e">
        <f t="shared" si="44"/>
        <v>#VALUE!</v>
      </c>
      <c r="AW342" s="1" t="e">
        <f t="shared" si="45"/>
        <v>#VALUE!</v>
      </c>
    </row>
    <row r="343" spans="1:49" x14ac:dyDescent="0.2">
      <c r="A343">
        <v>341</v>
      </c>
      <c r="B343" t="s">
        <v>9133</v>
      </c>
      <c r="C343" t="s">
        <v>9132</v>
      </c>
      <c r="F343" t="s">
        <v>9131</v>
      </c>
      <c r="G343" t="s">
        <v>15</v>
      </c>
      <c r="H343" t="s">
        <v>14</v>
      </c>
      <c r="I343" t="s">
        <v>9130</v>
      </c>
      <c r="J343" t="s">
        <v>9129</v>
      </c>
      <c r="K343" t="s">
        <v>9128</v>
      </c>
      <c r="L343" t="s">
        <v>9127</v>
      </c>
      <c r="M343" t="s">
        <v>2341</v>
      </c>
      <c r="N343">
        <v>18</v>
      </c>
      <c r="O343" t="s">
        <v>9126</v>
      </c>
      <c r="P343" t="s">
        <v>9125</v>
      </c>
      <c r="Q343" t="s">
        <v>9124</v>
      </c>
      <c r="R343" s="7">
        <v>33970</v>
      </c>
      <c r="S343" s="8">
        <f t="shared" si="40"/>
        <v>1993</v>
      </c>
      <c r="T343" s="8">
        <v>1993</v>
      </c>
      <c r="U343" s="8">
        <f t="shared" si="41"/>
        <v>29</v>
      </c>
      <c r="V343" s="7">
        <v>1993</v>
      </c>
      <c r="W343" t="s">
        <v>9123</v>
      </c>
      <c r="X343" s="2" t="s">
        <v>0</v>
      </c>
      <c r="Y343" s="6" t="e">
        <f t="shared" si="46"/>
        <v>#VALUE!</v>
      </c>
      <c r="AA343">
        <v>221392</v>
      </c>
      <c r="AB343">
        <v>34890</v>
      </c>
      <c r="AD343" t="s">
        <v>5</v>
      </c>
      <c r="AE343">
        <v>45</v>
      </c>
      <c r="AH343" t="s">
        <v>9122</v>
      </c>
      <c r="AI343" t="s">
        <v>9121</v>
      </c>
      <c r="AK343" t="s">
        <v>9120</v>
      </c>
      <c r="AL343">
        <v>0</v>
      </c>
      <c r="AM343" s="5">
        <f t="shared" si="42"/>
        <v>0</v>
      </c>
      <c r="AN343" s="4">
        <f t="shared" si="47"/>
        <v>0</v>
      </c>
      <c r="AO343" s="3"/>
      <c r="AP343">
        <v>1</v>
      </c>
      <c r="AR343" t="s">
        <v>1</v>
      </c>
      <c r="AT343" s="2" t="s">
        <v>0</v>
      </c>
      <c r="AU343" s="1" t="e">
        <f t="shared" si="43"/>
        <v>#VALUE!</v>
      </c>
      <c r="AV343" s="1" t="e">
        <f t="shared" si="44"/>
        <v>#VALUE!</v>
      </c>
      <c r="AW343" s="1" t="e">
        <f t="shared" si="45"/>
        <v>#VALUE!</v>
      </c>
    </row>
    <row r="344" spans="1:49" x14ac:dyDescent="0.2">
      <c r="A344">
        <v>342</v>
      </c>
      <c r="B344" t="s">
        <v>9119</v>
      </c>
      <c r="C344" t="s">
        <v>9118</v>
      </c>
      <c r="F344" t="s">
        <v>9117</v>
      </c>
      <c r="G344" t="s">
        <v>15</v>
      </c>
      <c r="H344" t="s">
        <v>14</v>
      </c>
      <c r="I344" t="s">
        <v>9116</v>
      </c>
      <c r="J344" t="s">
        <v>9115</v>
      </c>
      <c r="K344" t="s">
        <v>9114</v>
      </c>
      <c r="L344" t="s">
        <v>9113</v>
      </c>
      <c r="M344" t="s">
        <v>9112</v>
      </c>
      <c r="N344">
        <v>7</v>
      </c>
      <c r="O344" t="s">
        <v>9111</v>
      </c>
      <c r="P344" t="s">
        <v>9110</v>
      </c>
      <c r="Q344" t="s">
        <v>9109</v>
      </c>
      <c r="R344" s="7">
        <v>33970</v>
      </c>
      <c r="S344" s="8">
        <f t="shared" si="40"/>
        <v>1993</v>
      </c>
      <c r="T344" s="8">
        <v>1993</v>
      </c>
      <c r="U344" s="8">
        <f t="shared" si="41"/>
        <v>29</v>
      </c>
      <c r="V344" s="7">
        <v>34264</v>
      </c>
      <c r="W344" t="s">
        <v>160</v>
      </c>
      <c r="X344" s="2">
        <v>2.0070000000000001</v>
      </c>
      <c r="Y344" s="6">
        <f t="shared" si="46"/>
        <v>5.3575718747497406E-2</v>
      </c>
      <c r="AA344">
        <v>948276</v>
      </c>
      <c r="AB344">
        <v>27962</v>
      </c>
      <c r="AC344">
        <v>19448007</v>
      </c>
      <c r="AD344" t="s">
        <v>5</v>
      </c>
      <c r="AE344">
        <v>20</v>
      </c>
      <c r="AF344">
        <v>20</v>
      </c>
      <c r="AH344" t="s">
        <v>9108</v>
      </c>
      <c r="AI344" t="s">
        <v>9107</v>
      </c>
      <c r="AK344" t="s">
        <v>9106</v>
      </c>
      <c r="AL344">
        <v>13</v>
      </c>
      <c r="AM344" s="5">
        <f t="shared" si="42"/>
        <v>0.44827586206896552</v>
      </c>
      <c r="AN344" s="4">
        <f t="shared" si="47"/>
        <v>6.7894867409157972E-4</v>
      </c>
      <c r="AO344" s="3"/>
      <c r="AP344">
        <v>0</v>
      </c>
      <c r="AR344" t="s">
        <v>1</v>
      </c>
      <c r="AT344" s="2">
        <v>4.72</v>
      </c>
      <c r="AU344" s="1">
        <f t="shared" si="43"/>
        <v>3.7706687725475656</v>
      </c>
      <c r="AV344" s="1">
        <f t="shared" si="44"/>
        <v>2.7127333710794495</v>
      </c>
      <c r="AW344" s="1">
        <f t="shared" si="45"/>
        <v>1.6547979696113324</v>
      </c>
    </row>
    <row r="345" spans="1:49" x14ac:dyDescent="0.2">
      <c r="A345">
        <v>343</v>
      </c>
      <c r="B345" t="s">
        <v>9105</v>
      </c>
      <c r="C345" t="s">
        <v>9104</v>
      </c>
      <c r="D345" t="s">
        <v>9103</v>
      </c>
      <c r="F345" t="s">
        <v>9102</v>
      </c>
      <c r="G345" t="s">
        <v>15</v>
      </c>
      <c r="H345" t="s">
        <v>14</v>
      </c>
      <c r="I345" t="s">
        <v>9101</v>
      </c>
      <c r="J345">
        <v>60002694</v>
      </c>
      <c r="K345" t="s">
        <v>9100</v>
      </c>
      <c r="L345" t="s">
        <v>9099</v>
      </c>
      <c r="M345" t="s">
        <v>10</v>
      </c>
      <c r="N345">
        <v>1</v>
      </c>
      <c r="O345" t="s">
        <v>9098</v>
      </c>
      <c r="P345">
        <v>7003907309</v>
      </c>
      <c r="Q345">
        <v>60002694</v>
      </c>
      <c r="R345" s="7">
        <v>33970</v>
      </c>
      <c r="S345" s="8">
        <f t="shared" si="40"/>
        <v>1993</v>
      </c>
      <c r="T345" s="8">
        <v>1993</v>
      </c>
      <c r="U345" s="8">
        <f t="shared" si="41"/>
        <v>29</v>
      </c>
      <c r="V345" s="7">
        <v>34151</v>
      </c>
      <c r="W345" t="s">
        <v>9006</v>
      </c>
      <c r="X345" s="2" t="s">
        <v>0</v>
      </c>
      <c r="Y345" s="6" t="e">
        <f t="shared" si="46"/>
        <v>#VALUE!</v>
      </c>
      <c r="AA345">
        <v>9670637</v>
      </c>
      <c r="AB345">
        <v>26830</v>
      </c>
      <c r="AD345" t="s">
        <v>5</v>
      </c>
      <c r="AE345">
        <v>40</v>
      </c>
      <c r="AF345">
        <v>7</v>
      </c>
      <c r="AH345" t="s">
        <v>9097</v>
      </c>
      <c r="AI345" t="s">
        <v>9096</v>
      </c>
      <c r="AK345" t="s">
        <v>9095</v>
      </c>
      <c r="AL345">
        <v>113</v>
      </c>
      <c r="AM345" s="5">
        <f t="shared" si="42"/>
        <v>3.896551724137931</v>
      </c>
      <c r="AN345" s="4">
        <f t="shared" si="47"/>
        <v>5.9016307824883473E-3</v>
      </c>
      <c r="AO345" s="3"/>
      <c r="AP345">
        <v>0</v>
      </c>
      <c r="AR345" t="s">
        <v>1</v>
      </c>
      <c r="AT345" s="2" t="s">
        <v>0</v>
      </c>
      <c r="AU345" s="1" t="e">
        <f t="shared" si="43"/>
        <v>#VALUE!</v>
      </c>
      <c r="AV345" s="1" t="e">
        <f t="shared" si="44"/>
        <v>#VALUE!</v>
      </c>
      <c r="AW345" s="1" t="e">
        <f t="shared" si="45"/>
        <v>#VALUE!</v>
      </c>
    </row>
    <row r="346" spans="1:49" x14ac:dyDescent="0.2">
      <c r="A346">
        <v>344</v>
      </c>
      <c r="B346" t="s">
        <v>9094</v>
      </c>
      <c r="C346" t="s">
        <v>9093</v>
      </c>
      <c r="F346" t="s">
        <v>9092</v>
      </c>
      <c r="G346" t="s">
        <v>15</v>
      </c>
      <c r="H346" t="s">
        <v>14</v>
      </c>
      <c r="I346" t="s">
        <v>9091</v>
      </c>
      <c r="J346">
        <v>101501245</v>
      </c>
      <c r="K346" t="s">
        <v>9090</v>
      </c>
      <c r="L346" t="s">
        <v>9089</v>
      </c>
      <c r="M346" t="s">
        <v>150</v>
      </c>
      <c r="N346">
        <v>1</v>
      </c>
      <c r="O346" t="s">
        <v>9088</v>
      </c>
      <c r="P346">
        <v>7103142088</v>
      </c>
      <c r="Q346">
        <v>101501245</v>
      </c>
      <c r="R346" s="7">
        <v>33970</v>
      </c>
      <c r="S346" s="8">
        <f t="shared" si="40"/>
        <v>1993</v>
      </c>
      <c r="T346" s="8">
        <v>1993</v>
      </c>
      <c r="U346" s="8">
        <f t="shared" si="41"/>
        <v>29</v>
      </c>
      <c r="V346" s="7">
        <v>1993</v>
      </c>
      <c r="W346" t="s">
        <v>8762</v>
      </c>
      <c r="X346" s="2">
        <v>0.158</v>
      </c>
      <c r="Y346" s="6">
        <f t="shared" si="46"/>
        <v>4.2177197618856943E-3</v>
      </c>
      <c r="AA346">
        <v>380830</v>
      </c>
      <c r="AB346">
        <v>13094</v>
      </c>
      <c r="AD346" t="s">
        <v>5</v>
      </c>
      <c r="AE346">
        <v>39</v>
      </c>
      <c r="AF346">
        <v>1</v>
      </c>
      <c r="AH346" t="s">
        <v>9087</v>
      </c>
      <c r="AI346" t="s">
        <v>9086</v>
      </c>
      <c r="AK346" t="s">
        <v>9085</v>
      </c>
      <c r="AL346">
        <v>0</v>
      </c>
      <c r="AM346" s="5">
        <f t="shared" si="42"/>
        <v>0</v>
      </c>
      <c r="AN346" s="4">
        <f t="shared" si="47"/>
        <v>0</v>
      </c>
      <c r="AO346" s="3"/>
      <c r="AP346">
        <v>0</v>
      </c>
      <c r="AR346" t="s">
        <v>1</v>
      </c>
      <c r="AT346" s="2" t="s">
        <v>0</v>
      </c>
      <c r="AU346" s="1">
        <f t="shared" si="43"/>
        <v>0.29524038333199859</v>
      </c>
      <c r="AV346" s="1">
        <f t="shared" si="44"/>
        <v>0.21088598809428472</v>
      </c>
      <c r="AW346" s="1">
        <f t="shared" si="45"/>
        <v>0.12653159285657081</v>
      </c>
    </row>
    <row r="347" spans="1:49" x14ac:dyDescent="0.2">
      <c r="A347">
        <v>345</v>
      </c>
      <c r="B347" t="s">
        <v>9084</v>
      </c>
      <c r="C347" t="s">
        <v>9083</v>
      </c>
      <c r="F347" t="s">
        <v>9082</v>
      </c>
      <c r="G347" t="s">
        <v>15</v>
      </c>
      <c r="H347" t="s">
        <v>14</v>
      </c>
      <c r="I347" t="s">
        <v>9081</v>
      </c>
      <c r="J347">
        <v>60002286</v>
      </c>
      <c r="K347" t="s">
        <v>7963</v>
      </c>
      <c r="L347" t="s">
        <v>7962</v>
      </c>
      <c r="M347" t="s">
        <v>721</v>
      </c>
      <c r="N347">
        <v>1</v>
      </c>
      <c r="O347" t="s">
        <v>9080</v>
      </c>
      <c r="P347">
        <v>6604040934</v>
      </c>
      <c r="Q347">
        <v>60002286</v>
      </c>
      <c r="R347" s="7">
        <v>33970</v>
      </c>
      <c r="S347" s="8">
        <f t="shared" si="40"/>
        <v>1993</v>
      </c>
      <c r="T347" s="8">
        <v>1993</v>
      </c>
      <c r="U347" s="8">
        <f t="shared" si="41"/>
        <v>29</v>
      </c>
      <c r="V347" s="7">
        <v>1993</v>
      </c>
      <c r="W347" t="s">
        <v>1385</v>
      </c>
      <c r="X347" s="2">
        <v>0.39100000000000001</v>
      </c>
      <c r="Y347" s="6">
        <f t="shared" si="46"/>
        <v>1.043752168922346E-2</v>
      </c>
      <c r="AA347">
        <v>2663511</v>
      </c>
      <c r="AB347">
        <v>78854</v>
      </c>
      <c r="AD347" t="s">
        <v>5</v>
      </c>
      <c r="AE347">
        <v>8</v>
      </c>
      <c r="AF347" s="9">
        <v>44228</v>
      </c>
      <c r="AH347" t="s">
        <v>9079</v>
      </c>
      <c r="AI347" t="s">
        <v>9078</v>
      </c>
      <c r="AK347" t="s">
        <v>9077</v>
      </c>
      <c r="AL347">
        <v>1</v>
      </c>
      <c r="AM347" s="5">
        <f t="shared" si="42"/>
        <v>3.4482758620689655E-2</v>
      </c>
      <c r="AN347" s="4">
        <f t="shared" si="47"/>
        <v>5.2226821083967674E-5</v>
      </c>
      <c r="AO347" s="3"/>
      <c r="AP347">
        <v>0</v>
      </c>
      <c r="AR347" t="s">
        <v>1</v>
      </c>
      <c r="AT347" s="2" t="s">
        <v>0</v>
      </c>
      <c r="AU347" s="1">
        <f t="shared" si="43"/>
        <v>0.73219332287816108</v>
      </c>
      <c r="AV347" s="1">
        <f t="shared" si="44"/>
        <v>0.52448742551537131</v>
      </c>
      <c r="AW347" s="1">
        <f t="shared" si="45"/>
        <v>0.31678152815258154</v>
      </c>
    </row>
    <row r="348" spans="1:49" x14ac:dyDescent="0.2">
      <c r="A348">
        <v>346</v>
      </c>
      <c r="B348" t="s">
        <v>9076</v>
      </c>
      <c r="C348" t="s">
        <v>9075</v>
      </c>
      <c r="F348" t="s">
        <v>9074</v>
      </c>
      <c r="G348" t="s">
        <v>15</v>
      </c>
      <c r="H348" t="s">
        <v>14</v>
      </c>
      <c r="I348" t="s">
        <v>9073</v>
      </c>
      <c r="J348">
        <v>60007951</v>
      </c>
      <c r="K348" t="s">
        <v>9072</v>
      </c>
      <c r="L348" t="s">
        <v>9071</v>
      </c>
      <c r="M348" t="s">
        <v>150</v>
      </c>
      <c r="N348">
        <v>1</v>
      </c>
      <c r="O348" t="s">
        <v>9070</v>
      </c>
      <c r="P348">
        <v>55477125100</v>
      </c>
      <c r="Q348">
        <v>60007951</v>
      </c>
      <c r="R348" s="7">
        <v>33970</v>
      </c>
      <c r="S348" s="8">
        <f t="shared" si="40"/>
        <v>1993</v>
      </c>
      <c r="T348" s="8">
        <v>1993</v>
      </c>
      <c r="U348" s="8">
        <f t="shared" si="41"/>
        <v>29</v>
      </c>
      <c r="V348" s="7">
        <v>34304</v>
      </c>
      <c r="W348" t="s">
        <v>602</v>
      </c>
      <c r="X348" s="2">
        <v>0.371</v>
      </c>
      <c r="Y348" s="6">
        <f t="shared" si="46"/>
        <v>9.9036331117695747E-3</v>
      </c>
      <c r="AA348">
        <v>214922</v>
      </c>
      <c r="AB348">
        <v>130262</v>
      </c>
      <c r="AC348">
        <v>13474065</v>
      </c>
      <c r="AD348" t="s">
        <v>5</v>
      </c>
      <c r="AE348">
        <v>32</v>
      </c>
      <c r="AF348" t="s">
        <v>8993</v>
      </c>
      <c r="AH348" t="s">
        <v>9069</v>
      </c>
      <c r="AI348" t="s">
        <v>9068</v>
      </c>
      <c r="AJ348" t="s">
        <v>9067</v>
      </c>
      <c r="AK348" t="s">
        <v>9066</v>
      </c>
      <c r="AL348">
        <v>131</v>
      </c>
      <c r="AM348" s="5">
        <f t="shared" si="42"/>
        <v>4.5172413793103452</v>
      </c>
      <c r="AN348" s="4">
        <f t="shared" si="47"/>
        <v>6.8417135619997654E-3</v>
      </c>
      <c r="AO348" s="3"/>
      <c r="AP348">
        <v>0</v>
      </c>
      <c r="AR348" t="s">
        <v>1</v>
      </c>
      <c r="AT348" s="2">
        <v>1.48</v>
      </c>
      <c r="AU348" s="1">
        <f t="shared" si="43"/>
        <v>0.89850572468386303</v>
      </c>
      <c r="AV348" s="1">
        <f t="shared" si="44"/>
        <v>0.83726733368846706</v>
      </c>
      <c r="AW348" s="1">
        <f t="shared" si="45"/>
        <v>0.77602894269307077</v>
      </c>
    </row>
    <row r="349" spans="1:49" x14ac:dyDescent="0.2">
      <c r="A349">
        <v>347</v>
      </c>
      <c r="B349" t="s">
        <v>9065</v>
      </c>
      <c r="C349" t="s">
        <v>9064</v>
      </c>
      <c r="F349" t="s">
        <v>9063</v>
      </c>
      <c r="G349" t="s">
        <v>15</v>
      </c>
      <c r="H349" t="s">
        <v>14</v>
      </c>
      <c r="I349" t="s">
        <v>9062</v>
      </c>
      <c r="J349">
        <v>60002286</v>
      </c>
      <c r="K349" t="s">
        <v>7963</v>
      </c>
      <c r="L349" t="s">
        <v>7962</v>
      </c>
      <c r="M349" t="s">
        <v>721</v>
      </c>
      <c r="N349">
        <v>1</v>
      </c>
      <c r="O349" t="s">
        <v>9061</v>
      </c>
      <c r="P349">
        <v>24484202600</v>
      </c>
      <c r="Q349">
        <v>60002286</v>
      </c>
      <c r="R349" s="7">
        <v>33970</v>
      </c>
      <c r="S349" s="8">
        <f t="shared" si="40"/>
        <v>1993</v>
      </c>
      <c r="T349" s="8">
        <v>1993</v>
      </c>
      <c r="U349" s="8">
        <f t="shared" si="41"/>
        <v>29</v>
      </c>
      <c r="V349" s="7">
        <v>34304</v>
      </c>
      <c r="W349" t="s">
        <v>4352</v>
      </c>
      <c r="X349" s="2">
        <v>0.78200000000000003</v>
      </c>
      <c r="Y349" s="6">
        <f t="shared" si="46"/>
        <v>2.0875043378446919E-2</v>
      </c>
      <c r="AA349">
        <v>189316</v>
      </c>
      <c r="AB349">
        <v>19901</v>
      </c>
      <c r="AC349">
        <v>15579611</v>
      </c>
      <c r="AD349" t="s">
        <v>5</v>
      </c>
      <c r="AE349">
        <v>39</v>
      </c>
      <c r="AF349">
        <v>4</v>
      </c>
      <c r="AH349" t="s">
        <v>9060</v>
      </c>
      <c r="AI349" t="s">
        <v>9059</v>
      </c>
      <c r="AK349" t="s">
        <v>9058</v>
      </c>
      <c r="AL349">
        <v>0</v>
      </c>
      <c r="AM349" s="5">
        <f t="shared" si="42"/>
        <v>0</v>
      </c>
      <c r="AN349" s="4">
        <f t="shared" si="47"/>
        <v>0</v>
      </c>
      <c r="AO349" s="3"/>
      <c r="AP349">
        <v>0</v>
      </c>
      <c r="AR349" t="s">
        <v>1</v>
      </c>
      <c r="AT349" s="2">
        <v>3.863</v>
      </c>
      <c r="AU349" s="1">
        <f t="shared" si="43"/>
        <v>1.4612530364912841</v>
      </c>
      <c r="AV349" s="1">
        <f t="shared" si="44"/>
        <v>1.0437521689223459</v>
      </c>
      <c r="AW349" s="1">
        <f t="shared" si="45"/>
        <v>0.62625130135340756</v>
      </c>
    </row>
    <row r="350" spans="1:49" x14ac:dyDescent="0.2">
      <c r="A350">
        <v>348</v>
      </c>
      <c r="B350" t="s">
        <v>9057</v>
      </c>
      <c r="C350" t="s">
        <v>9056</v>
      </c>
      <c r="F350" t="s">
        <v>9055</v>
      </c>
      <c r="G350" t="s">
        <v>15</v>
      </c>
      <c r="H350" t="s">
        <v>14</v>
      </c>
      <c r="I350" t="s">
        <v>4862</v>
      </c>
      <c r="J350">
        <v>60103653</v>
      </c>
      <c r="K350" t="s">
        <v>4614</v>
      </c>
      <c r="L350" t="s">
        <v>4613</v>
      </c>
      <c r="M350" t="s">
        <v>4612</v>
      </c>
      <c r="N350">
        <v>1</v>
      </c>
      <c r="O350" t="s">
        <v>4861</v>
      </c>
      <c r="P350">
        <v>6602814716</v>
      </c>
      <c r="Q350">
        <v>60103653</v>
      </c>
      <c r="R350" s="7">
        <v>33970</v>
      </c>
      <c r="S350" s="8">
        <f t="shared" si="40"/>
        <v>1993</v>
      </c>
      <c r="T350" s="8">
        <v>1993</v>
      </c>
      <c r="U350" s="8">
        <f t="shared" si="41"/>
        <v>29</v>
      </c>
      <c r="V350" s="7">
        <v>34304</v>
      </c>
      <c r="W350" t="s">
        <v>548</v>
      </c>
      <c r="X350" s="2">
        <v>1.3720000000000001</v>
      </c>
      <c r="Y350" s="6">
        <f t="shared" si="46"/>
        <v>3.662475641333654E-2</v>
      </c>
      <c r="AA350">
        <v>189480</v>
      </c>
      <c r="AB350">
        <v>17366</v>
      </c>
      <c r="AC350">
        <v>15579670</v>
      </c>
      <c r="AD350" t="s">
        <v>5</v>
      </c>
      <c r="AE350">
        <v>41</v>
      </c>
      <c r="AF350">
        <v>12</v>
      </c>
      <c r="AH350" t="s">
        <v>9054</v>
      </c>
      <c r="AI350" t="s">
        <v>9053</v>
      </c>
      <c r="AK350" t="s">
        <v>9052</v>
      </c>
      <c r="AL350">
        <v>10</v>
      </c>
      <c r="AM350" s="5">
        <f t="shared" si="42"/>
        <v>0.34482758620689657</v>
      </c>
      <c r="AN350" s="4">
        <f t="shared" si="47"/>
        <v>5.2226821083967677E-4</v>
      </c>
      <c r="AO350" s="3"/>
      <c r="AP350">
        <v>0</v>
      </c>
      <c r="AR350" t="s">
        <v>1</v>
      </c>
      <c r="AT350" s="2" t="s">
        <v>0</v>
      </c>
      <c r="AU350" s="1">
        <f t="shared" si="43"/>
        <v>2.5794009952587476</v>
      </c>
      <c r="AV350" s="1">
        <f t="shared" si="44"/>
        <v>1.857351231208811</v>
      </c>
      <c r="AW350" s="1">
        <f t="shared" si="45"/>
        <v>1.1353014671588735</v>
      </c>
    </row>
    <row r="351" spans="1:49" x14ac:dyDescent="0.2">
      <c r="A351">
        <v>349</v>
      </c>
      <c r="B351" t="s">
        <v>9051</v>
      </c>
      <c r="C351" t="s">
        <v>9050</v>
      </c>
      <c r="F351" t="s">
        <v>9049</v>
      </c>
      <c r="G351" t="s">
        <v>15</v>
      </c>
      <c r="H351" t="s">
        <v>14</v>
      </c>
      <c r="I351" t="s">
        <v>9048</v>
      </c>
      <c r="J351" t="s">
        <v>2450</v>
      </c>
      <c r="K351" t="s">
        <v>2449</v>
      </c>
      <c r="L351" t="s">
        <v>2448</v>
      </c>
      <c r="M351" t="s">
        <v>235</v>
      </c>
      <c r="N351">
        <v>2</v>
      </c>
      <c r="O351" t="s">
        <v>9047</v>
      </c>
      <c r="P351" t="s">
        <v>9046</v>
      </c>
      <c r="Q351" t="s">
        <v>9045</v>
      </c>
      <c r="R351" s="7">
        <v>33970</v>
      </c>
      <c r="S351" s="8">
        <f t="shared" si="40"/>
        <v>1993</v>
      </c>
      <c r="T351" s="8">
        <v>1993</v>
      </c>
      <c r="U351" s="8">
        <f t="shared" si="41"/>
        <v>29</v>
      </c>
      <c r="V351" s="7">
        <v>34323</v>
      </c>
      <c r="W351" t="s">
        <v>2382</v>
      </c>
      <c r="X351" s="2">
        <v>0.30399999999999999</v>
      </c>
      <c r="Y351" s="6">
        <f t="shared" si="46"/>
        <v>8.115106377299057E-3</v>
      </c>
      <c r="AA351">
        <v>8952477</v>
      </c>
      <c r="AB351">
        <v>12250</v>
      </c>
      <c r="AC351">
        <v>10982760</v>
      </c>
      <c r="AD351" t="s">
        <v>5</v>
      </c>
      <c r="AE351">
        <v>6</v>
      </c>
      <c r="AF351">
        <v>16</v>
      </c>
      <c r="AH351" t="s">
        <v>9044</v>
      </c>
      <c r="AI351" t="s">
        <v>9043</v>
      </c>
      <c r="AJ351" t="s">
        <v>9042</v>
      </c>
      <c r="AK351" t="s">
        <v>9041</v>
      </c>
      <c r="AL351">
        <v>1</v>
      </c>
      <c r="AM351" s="5">
        <f t="shared" si="42"/>
        <v>3.4482758620689655E-2</v>
      </c>
      <c r="AN351" s="4">
        <f t="shared" si="47"/>
        <v>5.2226821083967674E-5</v>
      </c>
      <c r="AO351" s="3"/>
      <c r="AP351">
        <v>0</v>
      </c>
      <c r="AR351" t="s">
        <v>1</v>
      </c>
      <c r="AT351" s="2" t="s">
        <v>0</v>
      </c>
      <c r="AU351" s="1">
        <f t="shared" si="43"/>
        <v>0.56962425104345293</v>
      </c>
      <c r="AV351" s="1">
        <f t="shared" si="44"/>
        <v>0.40836665991915122</v>
      </c>
      <c r="AW351" s="1">
        <f t="shared" si="45"/>
        <v>0.24710906879484945</v>
      </c>
    </row>
    <row r="352" spans="1:49" x14ac:dyDescent="0.2">
      <c r="A352">
        <v>350</v>
      </c>
      <c r="B352" t="s">
        <v>9040</v>
      </c>
      <c r="C352" t="s">
        <v>9039</v>
      </c>
      <c r="F352" t="s">
        <v>9038</v>
      </c>
      <c r="G352" t="s">
        <v>15</v>
      </c>
      <c r="H352" t="s">
        <v>14</v>
      </c>
      <c r="I352" t="s">
        <v>9037</v>
      </c>
      <c r="J352">
        <v>60005304</v>
      </c>
      <c r="K352" t="s">
        <v>592</v>
      </c>
      <c r="L352" t="s">
        <v>591</v>
      </c>
      <c r="M352" t="s">
        <v>10</v>
      </c>
      <c r="N352">
        <v>4</v>
      </c>
      <c r="O352" t="s">
        <v>9036</v>
      </c>
      <c r="P352" t="s">
        <v>9035</v>
      </c>
      <c r="Q352" t="s">
        <v>9034</v>
      </c>
      <c r="R352" s="7">
        <v>33970</v>
      </c>
      <c r="S352" s="8">
        <f t="shared" si="40"/>
        <v>1993</v>
      </c>
      <c r="T352" s="8">
        <v>1993</v>
      </c>
      <c r="U352" s="8">
        <f t="shared" si="41"/>
        <v>29</v>
      </c>
      <c r="V352" s="7">
        <v>1993</v>
      </c>
      <c r="W352" t="s">
        <v>800</v>
      </c>
      <c r="X352" s="2">
        <v>1.468</v>
      </c>
      <c r="Y352" s="6">
        <f t="shared" si="46"/>
        <v>3.9187421585115186E-2</v>
      </c>
      <c r="AA352">
        <v>906778</v>
      </c>
      <c r="AB352">
        <v>18931</v>
      </c>
      <c r="AD352" t="s">
        <v>5</v>
      </c>
      <c r="AE352">
        <v>41</v>
      </c>
      <c r="AF352">
        <v>12</v>
      </c>
      <c r="AH352" t="s">
        <v>9033</v>
      </c>
      <c r="AI352" t="s">
        <v>9032</v>
      </c>
      <c r="AK352" t="s">
        <v>9031</v>
      </c>
      <c r="AL352">
        <v>10</v>
      </c>
      <c r="AM352" s="5">
        <f t="shared" si="42"/>
        <v>0.34482758620689657</v>
      </c>
      <c r="AN352" s="4">
        <f t="shared" si="47"/>
        <v>5.2226821083967677E-4</v>
      </c>
      <c r="AO352" s="3"/>
      <c r="AP352">
        <v>0</v>
      </c>
      <c r="AR352" t="s">
        <v>1</v>
      </c>
      <c r="AT352" s="2">
        <v>5.0830000000000002</v>
      </c>
      <c r="AU352" s="1">
        <f t="shared" si="43"/>
        <v>2.7587875572832528</v>
      </c>
      <c r="AV352" s="1">
        <f t="shared" si="44"/>
        <v>1.9854844897977433</v>
      </c>
      <c r="AW352" s="1">
        <f t="shared" si="45"/>
        <v>1.2121814223122329</v>
      </c>
    </row>
    <row r="353" spans="1:49" x14ac:dyDescent="0.2">
      <c r="A353">
        <v>351</v>
      </c>
      <c r="B353" t="s">
        <v>9030</v>
      </c>
      <c r="C353" t="s">
        <v>9029</v>
      </c>
      <c r="F353" t="s">
        <v>9028</v>
      </c>
      <c r="G353" t="s">
        <v>15</v>
      </c>
      <c r="H353" t="s">
        <v>14</v>
      </c>
      <c r="I353" t="s">
        <v>9027</v>
      </c>
      <c r="J353" t="s">
        <v>9026</v>
      </c>
      <c r="K353" t="s">
        <v>9025</v>
      </c>
      <c r="L353" t="s">
        <v>9024</v>
      </c>
      <c r="M353" t="s">
        <v>478</v>
      </c>
      <c r="N353">
        <v>2</v>
      </c>
      <c r="O353" t="s">
        <v>9023</v>
      </c>
      <c r="P353" t="s">
        <v>9022</v>
      </c>
      <c r="Q353" t="s">
        <v>9021</v>
      </c>
      <c r="R353" s="7">
        <v>33970</v>
      </c>
      <c r="S353" s="8">
        <f t="shared" si="40"/>
        <v>1993</v>
      </c>
      <c r="T353" s="8">
        <v>1993</v>
      </c>
      <c r="U353" s="8">
        <f t="shared" si="41"/>
        <v>29</v>
      </c>
      <c r="V353" s="7">
        <v>34304</v>
      </c>
      <c r="W353" t="s">
        <v>3890</v>
      </c>
      <c r="X353" s="2">
        <v>0.251</v>
      </c>
      <c r="Y353" s="6">
        <f t="shared" si="46"/>
        <v>6.7003016470462617E-3</v>
      </c>
      <c r="AA353">
        <v>207217</v>
      </c>
      <c r="AB353">
        <v>26145</v>
      </c>
      <c r="AC353">
        <v>13623060</v>
      </c>
      <c r="AD353" t="s">
        <v>5</v>
      </c>
      <c r="AE353">
        <v>75</v>
      </c>
      <c r="AF353">
        <v>6</v>
      </c>
      <c r="AH353" t="s">
        <v>9020</v>
      </c>
      <c r="AI353" t="s">
        <v>9019</v>
      </c>
      <c r="AK353" t="s">
        <v>9018</v>
      </c>
      <c r="AL353">
        <v>9</v>
      </c>
      <c r="AM353" s="5">
        <f t="shared" si="42"/>
        <v>0.31034482758620691</v>
      </c>
      <c r="AN353" s="4">
        <f t="shared" si="47"/>
        <v>4.7004138975570908E-4</v>
      </c>
      <c r="AO353" s="3"/>
      <c r="AP353">
        <v>0</v>
      </c>
      <c r="AR353" t="s">
        <v>1</v>
      </c>
      <c r="AT353" s="2">
        <v>1.3360000000000001</v>
      </c>
      <c r="AU353" s="1">
        <f t="shared" si="43"/>
        <v>0.48312235698590955</v>
      </c>
      <c r="AV353" s="1">
        <f t="shared" si="44"/>
        <v>0.35851715184009852</v>
      </c>
      <c r="AW353" s="1">
        <f t="shared" si="45"/>
        <v>0.23391194669428747</v>
      </c>
    </row>
    <row r="354" spans="1:49" x14ac:dyDescent="0.2">
      <c r="A354">
        <v>352</v>
      </c>
      <c r="B354" t="s">
        <v>9017</v>
      </c>
      <c r="C354" t="s">
        <v>9016</v>
      </c>
      <c r="D354" t="s">
        <v>9015</v>
      </c>
      <c r="F354" t="s">
        <v>9014</v>
      </c>
      <c r="G354" t="s">
        <v>15</v>
      </c>
      <c r="H354" t="s">
        <v>14</v>
      </c>
      <c r="I354" t="s">
        <v>9013</v>
      </c>
      <c r="J354" t="s">
        <v>9008</v>
      </c>
      <c r="K354" t="s">
        <v>9012</v>
      </c>
      <c r="L354" t="s">
        <v>9011</v>
      </c>
      <c r="M354" t="s">
        <v>478</v>
      </c>
      <c r="N354">
        <v>2</v>
      </c>
      <c r="O354" t="s">
        <v>9010</v>
      </c>
      <c r="P354" t="s">
        <v>9009</v>
      </c>
      <c r="Q354" t="s">
        <v>9008</v>
      </c>
      <c r="R354" s="7">
        <v>33970</v>
      </c>
      <c r="S354" s="8">
        <f t="shared" si="40"/>
        <v>1993</v>
      </c>
      <c r="T354" s="8">
        <v>1993</v>
      </c>
      <c r="U354" s="8">
        <f t="shared" si="41"/>
        <v>29</v>
      </c>
      <c r="V354" s="7" t="s">
        <v>9007</v>
      </c>
      <c r="W354" t="s">
        <v>9006</v>
      </c>
      <c r="X354" s="2" t="s">
        <v>0</v>
      </c>
      <c r="Y354" s="6" t="e">
        <f t="shared" si="46"/>
        <v>#VALUE!</v>
      </c>
      <c r="AA354">
        <v>9670637</v>
      </c>
      <c r="AB354">
        <v>26830</v>
      </c>
      <c r="AD354" t="s">
        <v>5</v>
      </c>
      <c r="AE354">
        <v>40</v>
      </c>
      <c r="AF354" s="9">
        <v>44541</v>
      </c>
      <c r="AH354" t="s">
        <v>9005</v>
      </c>
      <c r="AI354" t="s">
        <v>9004</v>
      </c>
      <c r="AK354" t="s">
        <v>9003</v>
      </c>
      <c r="AL354">
        <v>41</v>
      </c>
      <c r="AM354" s="5">
        <f t="shared" si="42"/>
        <v>1.4137931034482758</v>
      </c>
      <c r="AN354" s="4">
        <f t="shared" si="47"/>
        <v>2.1412996644426746E-3</v>
      </c>
      <c r="AO354" s="3"/>
      <c r="AP354">
        <v>0</v>
      </c>
      <c r="AR354" t="s">
        <v>1</v>
      </c>
      <c r="AT354" s="2" t="s">
        <v>0</v>
      </c>
      <c r="AU354" s="1" t="e">
        <f t="shared" si="43"/>
        <v>#VALUE!</v>
      </c>
      <c r="AV354" s="1" t="e">
        <f t="shared" si="44"/>
        <v>#VALUE!</v>
      </c>
      <c r="AW354" s="1" t="e">
        <f t="shared" si="45"/>
        <v>#VALUE!</v>
      </c>
    </row>
    <row r="355" spans="1:49" x14ac:dyDescent="0.2">
      <c r="A355">
        <v>353</v>
      </c>
      <c r="B355" t="s">
        <v>9002</v>
      </c>
      <c r="C355" t="s">
        <v>9001</v>
      </c>
      <c r="F355" t="s">
        <v>9000</v>
      </c>
      <c r="G355" t="s">
        <v>15</v>
      </c>
      <c r="H355" t="s">
        <v>14</v>
      </c>
      <c r="I355" t="s">
        <v>8999</v>
      </c>
      <c r="J355">
        <v>60030788</v>
      </c>
      <c r="K355" t="s">
        <v>8998</v>
      </c>
      <c r="L355" t="s">
        <v>8997</v>
      </c>
      <c r="M355" t="s">
        <v>150</v>
      </c>
      <c r="N355">
        <v>3</v>
      </c>
      <c r="O355" t="s">
        <v>8996</v>
      </c>
      <c r="P355" t="s">
        <v>8995</v>
      </c>
      <c r="Q355" t="s">
        <v>8994</v>
      </c>
      <c r="R355" s="7">
        <v>33970</v>
      </c>
      <c r="S355" s="8">
        <f t="shared" si="40"/>
        <v>1993</v>
      </c>
      <c r="T355" s="8">
        <v>1993</v>
      </c>
      <c r="U355" s="8">
        <f t="shared" si="41"/>
        <v>29</v>
      </c>
      <c r="V355" s="7">
        <v>34304</v>
      </c>
      <c r="W355" t="s">
        <v>602</v>
      </c>
      <c r="X355" s="2">
        <v>0.371</v>
      </c>
      <c r="Y355" s="6">
        <f t="shared" si="46"/>
        <v>9.9036331117695747E-3</v>
      </c>
      <c r="AA355">
        <v>214922</v>
      </c>
      <c r="AB355">
        <v>130262</v>
      </c>
      <c r="AC355">
        <v>13474065</v>
      </c>
      <c r="AD355" t="s">
        <v>5</v>
      </c>
      <c r="AE355">
        <v>32</v>
      </c>
      <c r="AF355" t="s">
        <v>8993</v>
      </c>
      <c r="AH355" t="s">
        <v>8992</v>
      </c>
      <c r="AI355" t="s">
        <v>8991</v>
      </c>
      <c r="AJ355" t="s">
        <v>8990</v>
      </c>
      <c r="AK355" t="s">
        <v>8989</v>
      </c>
      <c r="AL355">
        <v>30</v>
      </c>
      <c r="AM355" s="5">
        <f t="shared" si="42"/>
        <v>1.0344827586206897</v>
      </c>
      <c r="AN355" s="4">
        <f t="shared" si="47"/>
        <v>1.5668046325190302E-3</v>
      </c>
      <c r="AO355" s="3"/>
      <c r="AP355">
        <v>0</v>
      </c>
      <c r="AR355" t="s">
        <v>1</v>
      </c>
      <c r="AT355" s="2">
        <v>1.48</v>
      </c>
      <c r="AU355" s="1">
        <f t="shared" si="43"/>
        <v>0.74025845679944102</v>
      </c>
      <c r="AV355" s="1">
        <f t="shared" si="44"/>
        <v>0.5735218872144302</v>
      </c>
      <c r="AW355" s="1">
        <f t="shared" si="45"/>
        <v>0.40678531762941933</v>
      </c>
    </row>
    <row r="356" spans="1:49" x14ac:dyDescent="0.2">
      <c r="A356">
        <v>354</v>
      </c>
      <c r="B356" t="s">
        <v>8988</v>
      </c>
      <c r="C356" t="s">
        <v>8987</v>
      </c>
      <c r="F356" t="s">
        <v>8986</v>
      </c>
      <c r="G356" t="s">
        <v>15</v>
      </c>
      <c r="H356" t="s">
        <v>14</v>
      </c>
      <c r="I356" t="s">
        <v>8985</v>
      </c>
      <c r="N356">
        <v>1</v>
      </c>
      <c r="O356" t="s">
        <v>8984</v>
      </c>
      <c r="P356">
        <v>7201709052</v>
      </c>
      <c r="R356" s="7">
        <v>33970</v>
      </c>
      <c r="S356" s="8">
        <f t="shared" si="40"/>
        <v>1993</v>
      </c>
      <c r="T356" s="8">
        <v>1993</v>
      </c>
      <c r="U356" s="8">
        <f t="shared" si="41"/>
        <v>29</v>
      </c>
      <c r="V356" s="7">
        <v>34304</v>
      </c>
      <c r="W356" t="s">
        <v>299</v>
      </c>
      <c r="X356" s="2">
        <v>0.88100000000000001</v>
      </c>
      <c r="Y356" s="6">
        <f t="shared" si="46"/>
        <v>2.3517791836843653E-2</v>
      </c>
      <c r="AA356">
        <v>10459243</v>
      </c>
      <c r="AB356">
        <v>17248</v>
      </c>
      <c r="AD356" t="s">
        <v>5</v>
      </c>
      <c r="AE356">
        <v>35</v>
      </c>
      <c r="AF356">
        <v>6</v>
      </c>
      <c r="AH356" t="s">
        <v>8983</v>
      </c>
      <c r="AL356">
        <v>2</v>
      </c>
      <c r="AM356" s="5">
        <f t="shared" si="42"/>
        <v>6.8965517241379309E-2</v>
      </c>
      <c r="AN356" s="4">
        <f t="shared" si="47"/>
        <v>1.0445364216793535E-4</v>
      </c>
      <c r="AO356" s="3"/>
      <c r="AP356">
        <v>0</v>
      </c>
      <c r="AR356" t="s">
        <v>1</v>
      </c>
      <c r="AT356" s="2" t="s">
        <v>0</v>
      </c>
      <c r="AU356" s="1">
        <f t="shared" si="43"/>
        <v>1.6493790378440936</v>
      </c>
      <c r="AV356" s="1">
        <f t="shared" si="44"/>
        <v>1.1811122739505793</v>
      </c>
      <c r="AW356" s="1">
        <f t="shared" si="45"/>
        <v>0.71284551005706509</v>
      </c>
    </row>
    <row r="357" spans="1:49" x14ac:dyDescent="0.2">
      <c r="A357">
        <v>355</v>
      </c>
      <c r="B357" t="s">
        <v>8982</v>
      </c>
      <c r="C357" t="s">
        <v>8981</v>
      </c>
      <c r="F357" t="s">
        <v>8980</v>
      </c>
      <c r="G357" t="s">
        <v>15</v>
      </c>
      <c r="H357" t="s">
        <v>14</v>
      </c>
      <c r="I357" t="s">
        <v>8979</v>
      </c>
      <c r="J357">
        <v>60011357</v>
      </c>
      <c r="K357" t="s">
        <v>2437</v>
      </c>
      <c r="L357" t="s">
        <v>2436</v>
      </c>
      <c r="M357" t="s">
        <v>1909</v>
      </c>
      <c r="N357">
        <v>2</v>
      </c>
      <c r="O357" t="s">
        <v>8978</v>
      </c>
      <c r="P357" t="s">
        <v>8977</v>
      </c>
      <c r="Q357" t="s">
        <v>2433</v>
      </c>
      <c r="R357" s="7">
        <v>33970</v>
      </c>
      <c r="S357" s="8">
        <f t="shared" si="40"/>
        <v>1993</v>
      </c>
      <c r="T357" s="8">
        <v>1993</v>
      </c>
      <c r="U357" s="8">
        <f t="shared" si="41"/>
        <v>29</v>
      </c>
      <c r="V357" s="7">
        <v>34323</v>
      </c>
      <c r="W357" t="s">
        <v>2382</v>
      </c>
      <c r="X357" s="2">
        <v>0.30399999999999999</v>
      </c>
      <c r="Y357" s="6">
        <f t="shared" si="46"/>
        <v>8.115106377299057E-3</v>
      </c>
      <c r="AA357">
        <v>8952477</v>
      </c>
      <c r="AB357">
        <v>12250</v>
      </c>
      <c r="AC357">
        <v>10982760</v>
      </c>
      <c r="AD357" t="s">
        <v>5</v>
      </c>
      <c r="AE357">
        <v>6</v>
      </c>
      <c r="AF357">
        <v>16</v>
      </c>
      <c r="AH357" t="s">
        <v>8976</v>
      </c>
      <c r="AI357" t="s">
        <v>8975</v>
      </c>
      <c r="AJ357" t="s">
        <v>8974</v>
      </c>
      <c r="AK357" t="s">
        <v>8973</v>
      </c>
      <c r="AL357">
        <v>2</v>
      </c>
      <c r="AM357" s="5">
        <f t="shared" si="42"/>
        <v>6.8965517241379309E-2</v>
      </c>
      <c r="AN357" s="4">
        <f t="shared" si="47"/>
        <v>1.0445364216793535E-4</v>
      </c>
      <c r="AO357" s="3"/>
      <c r="AP357">
        <v>0</v>
      </c>
      <c r="AR357" t="s">
        <v>1</v>
      </c>
      <c r="AT357" s="2" t="s">
        <v>0</v>
      </c>
      <c r="AU357" s="1">
        <f t="shared" si="43"/>
        <v>0.57119105567597195</v>
      </c>
      <c r="AV357" s="1">
        <f t="shared" si="44"/>
        <v>0.41097800097334963</v>
      </c>
      <c r="AW357" s="1">
        <f t="shared" si="45"/>
        <v>0.25076494627072721</v>
      </c>
    </row>
    <row r="358" spans="1:49" x14ac:dyDescent="0.2">
      <c r="A358">
        <v>356</v>
      </c>
      <c r="B358" t="s">
        <v>8972</v>
      </c>
      <c r="C358" t="s">
        <v>8971</v>
      </c>
      <c r="F358" t="s">
        <v>8970</v>
      </c>
      <c r="G358" t="s">
        <v>15</v>
      </c>
      <c r="H358" t="s">
        <v>14</v>
      </c>
      <c r="I358" t="s">
        <v>8969</v>
      </c>
      <c r="J358">
        <v>60027550</v>
      </c>
      <c r="K358" t="s">
        <v>1833</v>
      </c>
      <c r="L358" t="s">
        <v>1832</v>
      </c>
      <c r="M358" t="s">
        <v>10</v>
      </c>
      <c r="N358">
        <v>2</v>
      </c>
      <c r="O358" t="s">
        <v>8968</v>
      </c>
      <c r="P358" t="s">
        <v>8967</v>
      </c>
      <c r="Q358" t="s">
        <v>3332</v>
      </c>
      <c r="R358" s="7">
        <v>33970</v>
      </c>
      <c r="S358" s="8">
        <f t="shared" si="40"/>
        <v>1993</v>
      </c>
      <c r="T358" s="8">
        <v>1993</v>
      </c>
      <c r="U358" s="8">
        <f t="shared" si="41"/>
        <v>29</v>
      </c>
      <c r="V358" s="7">
        <v>34304</v>
      </c>
      <c r="W358" t="s">
        <v>814</v>
      </c>
      <c r="X358" s="2">
        <v>1.6519999999999999</v>
      </c>
      <c r="Y358" s="6">
        <f t="shared" si="46"/>
        <v>4.409919649769093E-2</v>
      </c>
      <c r="AA358" t="s">
        <v>813</v>
      </c>
      <c r="AB358">
        <v>17337</v>
      </c>
      <c r="AC358">
        <v>15582221</v>
      </c>
      <c r="AD358" t="s">
        <v>5</v>
      </c>
      <c r="AE358">
        <v>41</v>
      </c>
      <c r="AF358">
        <v>12</v>
      </c>
      <c r="AH358" t="s">
        <v>8966</v>
      </c>
      <c r="AI358" t="s">
        <v>8965</v>
      </c>
      <c r="AK358" t="s">
        <v>8964</v>
      </c>
      <c r="AL358">
        <v>40</v>
      </c>
      <c r="AM358" s="5">
        <f t="shared" si="42"/>
        <v>1.3793103448275863</v>
      </c>
      <c r="AN358" s="4">
        <f t="shared" si="47"/>
        <v>2.0890728433587071E-3</v>
      </c>
      <c r="AO358" s="3"/>
      <c r="AP358">
        <v>0</v>
      </c>
      <c r="AR358" t="s">
        <v>1</v>
      </c>
      <c r="AT358" s="2" t="s">
        <v>0</v>
      </c>
      <c r="AU358" s="1">
        <f t="shared" si="43"/>
        <v>3.1496159401391264</v>
      </c>
      <c r="AV358" s="1">
        <f t="shared" si="44"/>
        <v>2.3094134670524817</v>
      </c>
      <c r="AW358" s="1">
        <f t="shared" si="45"/>
        <v>1.4692109939658373</v>
      </c>
    </row>
    <row r="359" spans="1:49" x14ac:dyDescent="0.2">
      <c r="A359">
        <v>357</v>
      </c>
      <c r="B359" t="s">
        <v>8963</v>
      </c>
      <c r="C359" t="s">
        <v>8962</v>
      </c>
      <c r="F359" t="s">
        <v>8961</v>
      </c>
      <c r="G359" t="s">
        <v>15</v>
      </c>
      <c r="H359" t="s">
        <v>14</v>
      </c>
      <c r="I359" t="s">
        <v>8960</v>
      </c>
      <c r="J359" t="s">
        <v>8959</v>
      </c>
      <c r="K359" t="s">
        <v>8958</v>
      </c>
      <c r="L359" t="s">
        <v>8957</v>
      </c>
      <c r="M359" t="s">
        <v>8956</v>
      </c>
      <c r="N359">
        <v>18</v>
      </c>
      <c r="O359" t="s">
        <v>8955</v>
      </c>
      <c r="P359" t="s">
        <v>8954</v>
      </c>
      <c r="Q359" t="s">
        <v>8953</v>
      </c>
      <c r="R359" s="7">
        <v>33970</v>
      </c>
      <c r="S359" s="8">
        <f t="shared" si="40"/>
        <v>1993</v>
      </c>
      <c r="T359" s="8">
        <v>1993</v>
      </c>
      <c r="U359" s="8">
        <f t="shared" si="41"/>
        <v>29</v>
      </c>
      <c r="V359" s="7">
        <v>1993</v>
      </c>
      <c r="W359" t="s">
        <v>8762</v>
      </c>
      <c r="X359" s="2">
        <v>0.158</v>
      </c>
      <c r="Y359" s="6">
        <f t="shared" si="46"/>
        <v>4.2177197618856943E-3</v>
      </c>
      <c r="AA359">
        <v>380830</v>
      </c>
      <c r="AB359">
        <v>13094</v>
      </c>
      <c r="AD359" t="s">
        <v>5</v>
      </c>
      <c r="AE359">
        <v>39</v>
      </c>
      <c r="AF359">
        <v>4</v>
      </c>
      <c r="AH359" t="s">
        <v>8952</v>
      </c>
      <c r="AI359" t="s">
        <v>8951</v>
      </c>
      <c r="AK359" t="s">
        <v>8950</v>
      </c>
      <c r="AL359">
        <v>0</v>
      </c>
      <c r="AM359" s="5">
        <f t="shared" si="42"/>
        <v>0</v>
      </c>
      <c r="AN359" s="4">
        <f t="shared" si="47"/>
        <v>0</v>
      </c>
      <c r="AO359" s="3"/>
      <c r="AP359">
        <v>0</v>
      </c>
      <c r="AR359" t="s">
        <v>1</v>
      </c>
      <c r="AT359" s="2" t="s">
        <v>0</v>
      </c>
      <c r="AU359" s="1">
        <f t="shared" si="43"/>
        <v>0.29524038333199859</v>
      </c>
      <c r="AV359" s="1">
        <f t="shared" si="44"/>
        <v>0.21088598809428472</v>
      </c>
      <c r="AW359" s="1">
        <f t="shared" si="45"/>
        <v>0.12653159285657081</v>
      </c>
    </row>
    <row r="360" spans="1:49" x14ac:dyDescent="0.2">
      <c r="A360">
        <v>358</v>
      </c>
      <c r="B360" t="s">
        <v>8949</v>
      </c>
      <c r="F360" t="s">
        <v>8948</v>
      </c>
      <c r="G360" t="s">
        <v>15</v>
      </c>
      <c r="H360" t="s">
        <v>14</v>
      </c>
      <c r="I360" t="s">
        <v>8947</v>
      </c>
      <c r="N360">
        <v>1</v>
      </c>
      <c r="O360" t="s">
        <v>8946</v>
      </c>
      <c r="P360">
        <v>6601968967</v>
      </c>
      <c r="R360" s="7">
        <v>33970</v>
      </c>
      <c r="S360" s="8">
        <f t="shared" si="40"/>
        <v>1993</v>
      </c>
      <c r="T360" s="8">
        <v>1993</v>
      </c>
      <c r="U360" s="8">
        <f t="shared" si="41"/>
        <v>29</v>
      </c>
      <c r="V360" s="7">
        <v>1993</v>
      </c>
      <c r="W360" t="s">
        <v>8945</v>
      </c>
      <c r="X360" s="2">
        <v>0.42199999999999999</v>
      </c>
      <c r="Y360" s="6">
        <f t="shared" si="46"/>
        <v>1.1265048984276981E-2</v>
      </c>
      <c r="AA360">
        <v>310301</v>
      </c>
      <c r="AB360">
        <v>14022</v>
      </c>
      <c r="AD360" t="s">
        <v>5</v>
      </c>
      <c r="AE360">
        <v>27</v>
      </c>
      <c r="AF360" s="12">
        <v>4.1666666666666664E-2</v>
      </c>
      <c r="AH360" t="s">
        <v>8944</v>
      </c>
      <c r="AI360" t="s">
        <v>8943</v>
      </c>
      <c r="AK360" t="s">
        <v>8942</v>
      </c>
      <c r="AL360">
        <v>16</v>
      </c>
      <c r="AM360" s="5">
        <f t="shared" si="42"/>
        <v>0.55172413793103448</v>
      </c>
      <c r="AN360" s="4">
        <f t="shared" si="47"/>
        <v>8.3562913734348278E-4</v>
      </c>
      <c r="AO360" s="3"/>
      <c r="AP360">
        <v>0</v>
      </c>
      <c r="AR360" t="s">
        <v>1</v>
      </c>
      <c r="AT360" s="2">
        <v>0.73</v>
      </c>
      <c r="AU360" s="1">
        <f t="shared" si="43"/>
        <v>0.81362230301969296</v>
      </c>
      <c r="AV360" s="1">
        <f t="shared" si="44"/>
        <v>0.60503390608102314</v>
      </c>
      <c r="AW360" s="1">
        <f t="shared" si="45"/>
        <v>0.39644550914235321</v>
      </c>
    </row>
    <row r="361" spans="1:49" x14ac:dyDescent="0.2">
      <c r="A361">
        <v>359</v>
      </c>
      <c r="B361" t="s">
        <v>8941</v>
      </c>
      <c r="F361" t="s">
        <v>8940</v>
      </c>
      <c r="G361" t="s">
        <v>15</v>
      </c>
      <c r="H361" t="s">
        <v>14</v>
      </c>
      <c r="I361" t="s">
        <v>8939</v>
      </c>
      <c r="N361">
        <v>4</v>
      </c>
      <c r="O361" t="s">
        <v>8938</v>
      </c>
      <c r="P361" t="s">
        <v>8937</v>
      </c>
      <c r="Q361" t="s">
        <v>6458</v>
      </c>
      <c r="R361" s="7">
        <v>33970</v>
      </c>
      <c r="S361" s="8">
        <f t="shared" si="40"/>
        <v>1993</v>
      </c>
      <c r="T361" s="8">
        <v>1993</v>
      </c>
      <c r="U361" s="8">
        <f t="shared" si="41"/>
        <v>29</v>
      </c>
      <c r="V361" s="7">
        <v>1993</v>
      </c>
      <c r="W361" t="s">
        <v>8936</v>
      </c>
      <c r="X361" s="2" t="s">
        <v>0</v>
      </c>
      <c r="Y361" s="6" t="e">
        <f t="shared" si="46"/>
        <v>#VALUE!</v>
      </c>
      <c r="AA361">
        <v>3792285</v>
      </c>
      <c r="AB361">
        <v>34899</v>
      </c>
      <c r="AD361" t="s">
        <v>5</v>
      </c>
      <c r="AE361">
        <v>17</v>
      </c>
      <c r="AF361">
        <v>4</v>
      </c>
      <c r="AH361" t="s">
        <v>8935</v>
      </c>
      <c r="AI361" t="s">
        <v>8934</v>
      </c>
      <c r="AK361" t="s">
        <v>8933</v>
      </c>
      <c r="AL361">
        <v>4</v>
      </c>
      <c r="AM361" s="5">
        <f t="shared" si="42"/>
        <v>0.13793103448275862</v>
      </c>
      <c r="AN361" s="4">
        <f t="shared" si="47"/>
        <v>2.089072843358707E-4</v>
      </c>
      <c r="AO361" s="3"/>
      <c r="AP361">
        <v>0</v>
      </c>
      <c r="AR361" t="s">
        <v>1</v>
      </c>
      <c r="AT361" s="2" t="s">
        <v>0</v>
      </c>
      <c r="AU361" s="1" t="e">
        <f t="shared" si="43"/>
        <v>#VALUE!</v>
      </c>
      <c r="AV361" s="1" t="e">
        <f t="shared" si="44"/>
        <v>#VALUE!</v>
      </c>
      <c r="AW361" s="1" t="e">
        <f t="shared" si="45"/>
        <v>#VALUE!</v>
      </c>
    </row>
    <row r="362" spans="1:49" x14ac:dyDescent="0.2">
      <c r="A362">
        <v>360</v>
      </c>
      <c r="B362" t="s">
        <v>8932</v>
      </c>
      <c r="C362" t="s">
        <v>8931</v>
      </c>
      <c r="F362" t="s">
        <v>8930</v>
      </c>
      <c r="G362" t="s">
        <v>15</v>
      </c>
      <c r="H362" t="s">
        <v>14</v>
      </c>
      <c r="I362" t="s">
        <v>8929</v>
      </c>
      <c r="J362">
        <v>60001439</v>
      </c>
      <c r="K362" t="s">
        <v>671</v>
      </c>
      <c r="L362" t="s">
        <v>670</v>
      </c>
      <c r="M362" t="s">
        <v>10</v>
      </c>
      <c r="N362">
        <v>5</v>
      </c>
      <c r="O362" t="s">
        <v>8928</v>
      </c>
      <c r="P362" t="s">
        <v>8927</v>
      </c>
      <c r="Q362" t="s">
        <v>8926</v>
      </c>
      <c r="R362" s="7">
        <v>33970</v>
      </c>
      <c r="S362" s="8">
        <f t="shared" si="40"/>
        <v>1993</v>
      </c>
      <c r="T362" s="8">
        <v>1993</v>
      </c>
      <c r="U362" s="8">
        <f t="shared" si="41"/>
        <v>29</v>
      </c>
      <c r="V362" s="7">
        <v>34304</v>
      </c>
      <c r="W362" t="s">
        <v>814</v>
      </c>
      <c r="X362" s="2">
        <v>1.6519999999999999</v>
      </c>
      <c r="Y362" s="6">
        <f t="shared" si="46"/>
        <v>4.409919649769093E-2</v>
      </c>
      <c r="AA362" t="s">
        <v>813</v>
      </c>
      <c r="AB362">
        <v>17337</v>
      </c>
      <c r="AC362">
        <v>15582221</v>
      </c>
      <c r="AD362" t="s">
        <v>5</v>
      </c>
      <c r="AE362">
        <v>41</v>
      </c>
      <c r="AF362">
        <v>12</v>
      </c>
      <c r="AH362" t="s">
        <v>8925</v>
      </c>
      <c r="AI362" t="s">
        <v>8924</v>
      </c>
      <c r="AK362" t="s">
        <v>8923</v>
      </c>
      <c r="AL362">
        <v>10</v>
      </c>
      <c r="AM362" s="5">
        <f t="shared" si="42"/>
        <v>0.34482758620689657</v>
      </c>
      <c r="AN362" s="4">
        <f t="shared" si="47"/>
        <v>5.2226821083967677E-4</v>
      </c>
      <c r="AO362" s="3"/>
      <c r="AP362">
        <v>0</v>
      </c>
      <c r="AR362" t="s">
        <v>1</v>
      </c>
      <c r="AT362" s="2" t="s">
        <v>0</v>
      </c>
      <c r="AU362" s="1">
        <f t="shared" si="43"/>
        <v>3.1026118011635551</v>
      </c>
      <c r="AV362" s="1">
        <f t="shared" si="44"/>
        <v>2.2310732354265306</v>
      </c>
      <c r="AW362" s="1">
        <f t="shared" si="45"/>
        <v>1.3595346696895052</v>
      </c>
    </row>
    <row r="363" spans="1:49" x14ac:dyDescent="0.2">
      <c r="A363">
        <v>361</v>
      </c>
      <c r="B363" t="s">
        <v>8922</v>
      </c>
      <c r="C363" t="s">
        <v>8921</v>
      </c>
      <c r="F363" t="s">
        <v>8920</v>
      </c>
      <c r="G363" t="s">
        <v>15</v>
      </c>
      <c r="H363" t="s">
        <v>14</v>
      </c>
      <c r="I363" t="s">
        <v>8919</v>
      </c>
      <c r="J363">
        <v>60025555</v>
      </c>
      <c r="K363" t="s">
        <v>1785</v>
      </c>
      <c r="L363" t="s">
        <v>151</v>
      </c>
      <c r="M363" t="s">
        <v>150</v>
      </c>
      <c r="N363">
        <v>2</v>
      </c>
      <c r="O363" t="s">
        <v>8918</v>
      </c>
      <c r="P363" t="s">
        <v>8917</v>
      </c>
      <c r="Q363" t="s">
        <v>2566</v>
      </c>
      <c r="R363" s="7">
        <v>33970</v>
      </c>
      <c r="S363" s="8">
        <f t="shared" si="40"/>
        <v>1993</v>
      </c>
      <c r="T363" s="8">
        <v>1993</v>
      </c>
      <c r="U363" s="8">
        <f t="shared" si="41"/>
        <v>29</v>
      </c>
      <c r="V363" s="7">
        <v>1993</v>
      </c>
      <c r="W363" t="s">
        <v>1385</v>
      </c>
      <c r="X363" s="2">
        <v>0.39100000000000001</v>
      </c>
      <c r="Y363" s="6">
        <f t="shared" si="46"/>
        <v>1.043752168922346E-2</v>
      </c>
      <c r="AA363">
        <v>2663511</v>
      </c>
      <c r="AB363">
        <v>78854</v>
      </c>
      <c r="AD363" t="s">
        <v>5</v>
      </c>
      <c r="AE363">
        <v>8</v>
      </c>
      <c r="AF363" s="9">
        <v>44228</v>
      </c>
      <c r="AH363" t="s">
        <v>8916</v>
      </c>
      <c r="AI363" t="s">
        <v>8915</v>
      </c>
      <c r="AK363" t="s">
        <v>8914</v>
      </c>
      <c r="AL363">
        <v>4</v>
      </c>
      <c r="AM363" s="5">
        <f t="shared" si="42"/>
        <v>0.13793103448275862</v>
      </c>
      <c r="AN363" s="4">
        <f t="shared" si="47"/>
        <v>2.089072843358707E-4</v>
      </c>
      <c r="AO363" s="3"/>
      <c r="AP363">
        <v>0</v>
      </c>
      <c r="AR363" t="s">
        <v>1</v>
      </c>
      <c r="AT363" s="2" t="s">
        <v>0</v>
      </c>
      <c r="AU363" s="1">
        <f t="shared" si="43"/>
        <v>0.73689373677571823</v>
      </c>
      <c r="AV363" s="1">
        <f t="shared" si="44"/>
        <v>0.53232144867796649</v>
      </c>
      <c r="AW363" s="1">
        <f t="shared" si="45"/>
        <v>0.32774916058021469</v>
      </c>
    </row>
    <row r="364" spans="1:49" x14ac:dyDescent="0.2">
      <c r="A364">
        <v>362</v>
      </c>
      <c r="B364" t="s">
        <v>8913</v>
      </c>
      <c r="C364" t="s">
        <v>8912</v>
      </c>
      <c r="F364" t="s">
        <v>8911</v>
      </c>
      <c r="G364" t="s">
        <v>15</v>
      </c>
      <c r="H364" t="s">
        <v>14</v>
      </c>
      <c r="I364" t="s">
        <v>8910</v>
      </c>
      <c r="J364">
        <v>60011476</v>
      </c>
      <c r="K364" t="s">
        <v>8909</v>
      </c>
      <c r="L364" t="s">
        <v>2594</v>
      </c>
      <c r="M364" t="s">
        <v>2508</v>
      </c>
      <c r="N364">
        <v>2</v>
      </c>
      <c r="O364" t="s">
        <v>8908</v>
      </c>
      <c r="P364" t="s">
        <v>8907</v>
      </c>
      <c r="Q364" t="s">
        <v>8906</v>
      </c>
      <c r="R364" s="7">
        <v>33970</v>
      </c>
      <c r="S364" s="8">
        <f t="shared" si="40"/>
        <v>1993</v>
      </c>
      <c r="T364" s="8">
        <v>1993</v>
      </c>
      <c r="U364" s="8">
        <f t="shared" si="41"/>
        <v>29</v>
      </c>
      <c r="V364" s="7">
        <v>34304</v>
      </c>
      <c r="W364" t="s">
        <v>4352</v>
      </c>
      <c r="X364" s="2">
        <v>0.78200000000000003</v>
      </c>
      <c r="Y364" s="6">
        <f t="shared" si="46"/>
        <v>2.0875043378446919E-2</v>
      </c>
      <c r="AA364">
        <v>189316</v>
      </c>
      <c r="AB364">
        <v>19901</v>
      </c>
      <c r="AC364">
        <v>15579611</v>
      </c>
      <c r="AD364" t="s">
        <v>5</v>
      </c>
      <c r="AE364">
        <v>39</v>
      </c>
      <c r="AF364">
        <v>4</v>
      </c>
      <c r="AH364" t="s">
        <v>8905</v>
      </c>
      <c r="AI364" t="s">
        <v>8904</v>
      </c>
      <c r="AK364" t="s">
        <v>8903</v>
      </c>
      <c r="AL364">
        <v>0</v>
      </c>
      <c r="AM364" s="5">
        <f t="shared" si="42"/>
        <v>0</v>
      </c>
      <c r="AN364" s="4">
        <f t="shared" si="47"/>
        <v>0</v>
      </c>
      <c r="AO364" s="3"/>
      <c r="AP364">
        <v>0</v>
      </c>
      <c r="AR364" t="s">
        <v>1</v>
      </c>
      <c r="AT364" s="2">
        <v>3.863</v>
      </c>
      <c r="AU364" s="1">
        <f t="shared" si="43"/>
        <v>1.4612530364912841</v>
      </c>
      <c r="AV364" s="1">
        <f t="shared" si="44"/>
        <v>1.0437521689223459</v>
      </c>
      <c r="AW364" s="1">
        <f t="shared" si="45"/>
        <v>0.62625130135340756</v>
      </c>
    </row>
    <row r="365" spans="1:49" x14ac:dyDescent="0.2">
      <c r="A365">
        <v>363</v>
      </c>
      <c r="B365" t="s">
        <v>8902</v>
      </c>
      <c r="C365" t="s">
        <v>8901</v>
      </c>
      <c r="D365">
        <v>165168493901392</v>
      </c>
      <c r="F365" t="s">
        <v>8900</v>
      </c>
      <c r="G365" t="s">
        <v>15</v>
      </c>
      <c r="H365" t="s">
        <v>14</v>
      </c>
      <c r="I365" t="s">
        <v>971</v>
      </c>
      <c r="J365">
        <v>60005510</v>
      </c>
      <c r="K365" t="s">
        <v>1462</v>
      </c>
      <c r="L365" t="s">
        <v>1461</v>
      </c>
      <c r="M365" t="s">
        <v>1460</v>
      </c>
      <c r="N365">
        <v>3</v>
      </c>
      <c r="O365" t="s">
        <v>8899</v>
      </c>
      <c r="P365" t="s">
        <v>8898</v>
      </c>
      <c r="Q365" t="s">
        <v>8897</v>
      </c>
      <c r="R365" s="7">
        <v>33970</v>
      </c>
      <c r="S365" s="8">
        <f t="shared" si="40"/>
        <v>1993</v>
      </c>
      <c r="T365" s="8">
        <v>1993</v>
      </c>
      <c r="U365" s="8">
        <f t="shared" si="41"/>
        <v>29</v>
      </c>
      <c r="V365" s="7">
        <v>34304</v>
      </c>
      <c r="W365" t="s">
        <v>747</v>
      </c>
      <c r="X365" s="2">
        <v>0.90700000000000003</v>
      </c>
      <c r="Y365" s="6">
        <f t="shared" si="46"/>
        <v>2.4211846987533703E-2</v>
      </c>
      <c r="AA365">
        <v>1651684</v>
      </c>
      <c r="AB365">
        <v>25548</v>
      </c>
      <c r="AD365" t="s">
        <v>5</v>
      </c>
      <c r="AE365">
        <v>34</v>
      </c>
      <c r="AF365">
        <v>3</v>
      </c>
      <c r="AH365" t="s">
        <v>8896</v>
      </c>
      <c r="AI365" t="s">
        <v>8895</v>
      </c>
      <c r="AJ365" t="s">
        <v>8894</v>
      </c>
      <c r="AK365" t="s">
        <v>8893</v>
      </c>
      <c r="AL365">
        <v>27</v>
      </c>
      <c r="AM365" s="5">
        <f t="shared" si="42"/>
        <v>0.93103448275862066</v>
      </c>
      <c r="AN365" s="4">
        <f t="shared" si="47"/>
        <v>1.410124169267127E-3</v>
      </c>
      <c r="AO365" s="3"/>
      <c r="AP365">
        <v>0</v>
      </c>
      <c r="AR365" t="s">
        <v>1</v>
      </c>
      <c r="AT365" s="2">
        <v>4.6619999999999999</v>
      </c>
      <c r="AU365" s="1">
        <f t="shared" si="43"/>
        <v>1.7371330142053727</v>
      </c>
      <c r="AV365" s="1">
        <f t="shared" si="44"/>
        <v>1.2810985578400416</v>
      </c>
      <c r="AW365" s="1">
        <f t="shared" si="45"/>
        <v>0.82506410147470988</v>
      </c>
    </row>
    <row r="366" spans="1:49" x14ac:dyDescent="0.2">
      <c r="A366">
        <v>364</v>
      </c>
      <c r="B366" t="s">
        <v>8892</v>
      </c>
      <c r="C366" t="s">
        <v>8891</v>
      </c>
      <c r="F366" t="s">
        <v>8890</v>
      </c>
      <c r="G366" t="s">
        <v>15</v>
      </c>
      <c r="H366" t="s">
        <v>14</v>
      </c>
      <c r="I366" t="s">
        <v>8889</v>
      </c>
      <c r="J366">
        <v>60071174</v>
      </c>
      <c r="K366" t="s">
        <v>8888</v>
      </c>
      <c r="L366" t="s">
        <v>8887</v>
      </c>
      <c r="M366" t="s">
        <v>6944</v>
      </c>
      <c r="N366">
        <v>3</v>
      </c>
      <c r="O366" t="s">
        <v>8886</v>
      </c>
      <c r="P366" t="s">
        <v>8885</v>
      </c>
      <c r="Q366" t="s">
        <v>8884</v>
      </c>
      <c r="R366" s="7">
        <v>33970</v>
      </c>
      <c r="S366" s="8">
        <f t="shared" si="40"/>
        <v>1993</v>
      </c>
      <c r="T366" s="8">
        <v>1993</v>
      </c>
      <c r="U366" s="8">
        <f t="shared" si="41"/>
        <v>29</v>
      </c>
      <c r="V366" s="7">
        <v>34304</v>
      </c>
      <c r="W366" t="s">
        <v>3890</v>
      </c>
      <c r="X366" s="2">
        <v>0.251</v>
      </c>
      <c r="Y366" s="6">
        <f t="shared" si="46"/>
        <v>6.7003016470462617E-3</v>
      </c>
      <c r="AA366">
        <v>207217</v>
      </c>
      <c r="AB366">
        <v>26145</v>
      </c>
      <c r="AC366">
        <v>13623060</v>
      </c>
      <c r="AD366" t="s">
        <v>5</v>
      </c>
      <c r="AE366">
        <v>75</v>
      </c>
      <c r="AF366">
        <v>6</v>
      </c>
      <c r="AH366" t="s">
        <v>8883</v>
      </c>
      <c r="AI366" t="s">
        <v>8882</v>
      </c>
      <c r="AK366" t="s">
        <v>8881</v>
      </c>
      <c r="AL366">
        <v>0</v>
      </c>
      <c r="AM366" s="5">
        <f t="shared" si="42"/>
        <v>0</v>
      </c>
      <c r="AN366" s="4">
        <f t="shared" si="47"/>
        <v>0</v>
      </c>
      <c r="AO366" s="3"/>
      <c r="AP366">
        <v>0</v>
      </c>
      <c r="AR366" t="s">
        <v>1</v>
      </c>
      <c r="AT366" s="2">
        <v>1.3360000000000001</v>
      </c>
      <c r="AU366" s="1">
        <f t="shared" si="43"/>
        <v>0.46902111529323826</v>
      </c>
      <c r="AV366" s="1">
        <f t="shared" si="44"/>
        <v>0.33501508235231309</v>
      </c>
      <c r="AW366" s="1">
        <f t="shared" si="45"/>
        <v>0.20100904941138784</v>
      </c>
    </row>
    <row r="367" spans="1:49" x14ac:dyDescent="0.2">
      <c r="A367">
        <v>365</v>
      </c>
      <c r="B367" t="s">
        <v>8880</v>
      </c>
      <c r="C367" t="s">
        <v>8879</v>
      </c>
      <c r="F367" t="s">
        <v>8878</v>
      </c>
      <c r="G367" t="s">
        <v>15</v>
      </c>
      <c r="H367" t="s">
        <v>14</v>
      </c>
      <c r="I367" t="s">
        <v>8877</v>
      </c>
      <c r="J367">
        <v>60076904</v>
      </c>
      <c r="K367" t="s">
        <v>3674</v>
      </c>
      <c r="L367" t="s">
        <v>3673</v>
      </c>
      <c r="M367" t="s">
        <v>10</v>
      </c>
      <c r="N367">
        <v>1</v>
      </c>
      <c r="O367" t="s">
        <v>8876</v>
      </c>
      <c r="P367">
        <v>7401668112</v>
      </c>
      <c r="Q367">
        <v>60076904</v>
      </c>
      <c r="R367" s="7">
        <v>33970</v>
      </c>
      <c r="S367" s="8">
        <f t="shared" si="40"/>
        <v>1993</v>
      </c>
      <c r="T367" s="8">
        <v>1993</v>
      </c>
      <c r="U367" s="8">
        <f t="shared" si="41"/>
        <v>29</v>
      </c>
      <c r="V367" s="7">
        <v>34304</v>
      </c>
      <c r="W367" t="s">
        <v>814</v>
      </c>
      <c r="X367" s="2">
        <v>1.6519999999999999</v>
      </c>
      <c r="Y367" s="6">
        <f t="shared" si="46"/>
        <v>4.409919649769093E-2</v>
      </c>
      <c r="AA367" t="s">
        <v>813</v>
      </c>
      <c r="AB367">
        <v>17337</v>
      </c>
      <c r="AC367">
        <v>15582221</v>
      </c>
      <c r="AD367" t="s">
        <v>5</v>
      </c>
      <c r="AE367">
        <v>41</v>
      </c>
      <c r="AF367">
        <v>12</v>
      </c>
      <c r="AH367" t="s">
        <v>8875</v>
      </c>
      <c r="AI367" t="s">
        <v>8874</v>
      </c>
      <c r="AK367" t="s">
        <v>8873</v>
      </c>
      <c r="AL367">
        <v>2</v>
      </c>
      <c r="AM367" s="5">
        <f t="shared" si="42"/>
        <v>6.8965517241379309E-2</v>
      </c>
      <c r="AN367" s="4">
        <f t="shared" si="47"/>
        <v>1.0445364216793535E-4</v>
      </c>
      <c r="AO367" s="3"/>
      <c r="AP367">
        <v>0</v>
      </c>
      <c r="AR367" t="s">
        <v>1</v>
      </c>
      <c r="AT367" s="2" t="s">
        <v>0</v>
      </c>
      <c r="AU367" s="1">
        <f t="shared" si="43"/>
        <v>3.0900773641034029</v>
      </c>
      <c r="AV367" s="1">
        <f t="shared" si="44"/>
        <v>2.2101825069929433</v>
      </c>
      <c r="AW367" s="1">
        <f t="shared" si="45"/>
        <v>1.3302876498824832</v>
      </c>
    </row>
    <row r="368" spans="1:49" x14ac:dyDescent="0.2">
      <c r="A368">
        <v>366</v>
      </c>
      <c r="B368" t="s">
        <v>8872</v>
      </c>
      <c r="C368" t="s">
        <v>8871</v>
      </c>
      <c r="F368" t="s">
        <v>8870</v>
      </c>
      <c r="G368" t="s">
        <v>15</v>
      </c>
      <c r="H368" t="s">
        <v>14</v>
      </c>
      <c r="I368" t="s">
        <v>4475</v>
      </c>
      <c r="J368">
        <v>60001565</v>
      </c>
      <c r="K368" t="s">
        <v>4474</v>
      </c>
      <c r="L368" t="s">
        <v>4473</v>
      </c>
      <c r="M368" t="s">
        <v>2371</v>
      </c>
      <c r="N368">
        <v>1</v>
      </c>
      <c r="O368" t="s">
        <v>4472</v>
      </c>
      <c r="P368">
        <v>57196553118</v>
      </c>
      <c r="Q368">
        <v>60001565</v>
      </c>
      <c r="R368" s="7">
        <v>33970</v>
      </c>
      <c r="S368" s="8">
        <f t="shared" si="40"/>
        <v>1993</v>
      </c>
      <c r="T368" s="8">
        <v>1993</v>
      </c>
      <c r="U368" s="8">
        <f t="shared" si="41"/>
        <v>29</v>
      </c>
      <c r="V368" s="7">
        <v>34304</v>
      </c>
      <c r="W368" t="s">
        <v>814</v>
      </c>
      <c r="X368" s="2">
        <v>1.6519999999999999</v>
      </c>
      <c r="Y368" s="6">
        <f t="shared" si="46"/>
        <v>4.409919649769093E-2</v>
      </c>
      <c r="AA368" t="s">
        <v>813</v>
      </c>
      <c r="AB368">
        <v>17337</v>
      </c>
      <c r="AC368">
        <v>15582221</v>
      </c>
      <c r="AD368" t="s">
        <v>5</v>
      </c>
      <c r="AE368">
        <v>41</v>
      </c>
      <c r="AF368">
        <v>12</v>
      </c>
      <c r="AH368" t="s">
        <v>8869</v>
      </c>
      <c r="AI368" t="s">
        <v>8868</v>
      </c>
      <c r="AK368" t="s">
        <v>8867</v>
      </c>
      <c r="AL368">
        <v>8</v>
      </c>
      <c r="AM368" s="5">
        <f t="shared" si="42"/>
        <v>0.27586206896551724</v>
      </c>
      <c r="AN368" s="4">
        <f t="shared" si="47"/>
        <v>4.1781456867174139E-4</v>
      </c>
      <c r="AO368" s="3"/>
      <c r="AP368">
        <v>0</v>
      </c>
      <c r="AR368" t="s">
        <v>1</v>
      </c>
      <c r="AT368" s="2" t="s">
        <v>0</v>
      </c>
      <c r="AU368" s="1">
        <f t="shared" si="43"/>
        <v>3.099478191898517</v>
      </c>
      <c r="AV368" s="1">
        <f t="shared" si="44"/>
        <v>2.2258505533181339</v>
      </c>
      <c r="AW368" s="1">
        <f t="shared" si="45"/>
        <v>1.3522229147377498</v>
      </c>
    </row>
    <row r="369" spans="1:49" x14ac:dyDescent="0.2">
      <c r="A369">
        <v>367</v>
      </c>
      <c r="B369" t="s">
        <v>8866</v>
      </c>
      <c r="C369" t="s">
        <v>8865</v>
      </c>
      <c r="F369" t="s">
        <v>8864</v>
      </c>
      <c r="G369" t="s">
        <v>15</v>
      </c>
      <c r="H369" t="s">
        <v>14</v>
      </c>
      <c r="I369" t="s">
        <v>8863</v>
      </c>
      <c r="J369">
        <v>60027271</v>
      </c>
      <c r="K369" t="s">
        <v>2920</v>
      </c>
      <c r="L369" t="s">
        <v>2919</v>
      </c>
      <c r="M369" t="s">
        <v>10</v>
      </c>
      <c r="N369">
        <v>3</v>
      </c>
      <c r="O369" t="s">
        <v>8862</v>
      </c>
      <c r="P369" t="s">
        <v>8861</v>
      </c>
      <c r="Q369" t="s">
        <v>8860</v>
      </c>
      <c r="R369" s="7">
        <v>33970</v>
      </c>
      <c r="S369" s="8">
        <f t="shared" si="40"/>
        <v>1993</v>
      </c>
      <c r="T369" s="8">
        <v>1993</v>
      </c>
      <c r="U369" s="8">
        <f t="shared" si="41"/>
        <v>29</v>
      </c>
      <c r="V369" s="7">
        <v>34304</v>
      </c>
      <c r="W369" t="s">
        <v>548</v>
      </c>
      <c r="X369" s="2">
        <v>1.3720000000000001</v>
      </c>
      <c r="Y369" s="6">
        <f t="shared" si="46"/>
        <v>3.662475641333654E-2</v>
      </c>
      <c r="AA369">
        <v>189480</v>
      </c>
      <c r="AB369">
        <v>17366</v>
      </c>
      <c r="AC369">
        <v>15579670</v>
      </c>
      <c r="AD369" t="s">
        <v>5</v>
      </c>
      <c r="AE369">
        <v>41</v>
      </c>
      <c r="AF369">
        <v>12</v>
      </c>
      <c r="AH369" t="s">
        <v>8859</v>
      </c>
      <c r="AI369" t="s">
        <v>8858</v>
      </c>
      <c r="AK369" t="s">
        <v>8857</v>
      </c>
      <c r="AL369">
        <v>222</v>
      </c>
      <c r="AM369" s="5">
        <f t="shared" si="42"/>
        <v>7.6551724137931032</v>
      </c>
      <c r="AN369" s="4">
        <f t="shared" si="47"/>
        <v>1.1594354280640823E-2</v>
      </c>
      <c r="AO369" s="3"/>
      <c r="AP369">
        <v>0</v>
      </c>
      <c r="AR369" t="s">
        <v>1</v>
      </c>
      <c r="AT369" s="2" t="s">
        <v>0</v>
      </c>
      <c r="AU369" s="1">
        <f t="shared" si="43"/>
        <v>2.9115635773527822</v>
      </c>
      <c r="AV369" s="1">
        <f t="shared" si="44"/>
        <v>2.4109555346988683</v>
      </c>
      <c r="AW369" s="1">
        <f t="shared" si="45"/>
        <v>1.9103474920449539</v>
      </c>
    </row>
    <row r="370" spans="1:49" x14ac:dyDescent="0.2">
      <c r="A370">
        <v>368</v>
      </c>
      <c r="B370" t="s">
        <v>8856</v>
      </c>
      <c r="C370" t="s">
        <v>8855</v>
      </c>
      <c r="F370" t="s">
        <v>8854</v>
      </c>
      <c r="G370" t="s">
        <v>15</v>
      </c>
      <c r="H370" t="s">
        <v>14</v>
      </c>
      <c r="I370" t="s">
        <v>8853</v>
      </c>
      <c r="J370">
        <v>60021377</v>
      </c>
      <c r="K370" t="s">
        <v>8852</v>
      </c>
      <c r="L370" t="s">
        <v>8851</v>
      </c>
      <c r="M370" t="s">
        <v>8850</v>
      </c>
      <c r="N370">
        <v>3</v>
      </c>
      <c r="O370" t="s">
        <v>8849</v>
      </c>
      <c r="P370" t="s">
        <v>8848</v>
      </c>
      <c r="Q370" t="s">
        <v>8847</v>
      </c>
      <c r="R370" s="7">
        <v>33970</v>
      </c>
      <c r="S370" s="8">
        <f t="shared" si="40"/>
        <v>1993</v>
      </c>
      <c r="T370" s="8">
        <v>1993</v>
      </c>
      <c r="U370" s="8">
        <f t="shared" si="41"/>
        <v>29</v>
      </c>
      <c r="V370" s="7">
        <v>1993</v>
      </c>
      <c r="W370" t="s">
        <v>8846</v>
      </c>
      <c r="X370" s="2">
        <v>0.94399999999999995</v>
      </c>
      <c r="Y370" s="6">
        <f t="shared" si="46"/>
        <v>2.5199540855823391E-2</v>
      </c>
      <c r="AA370">
        <v>2603055</v>
      </c>
      <c r="AB370">
        <v>110607</v>
      </c>
      <c r="AD370" t="s">
        <v>5</v>
      </c>
      <c r="AE370">
        <v>17</v>
      </c>
      <c r="AH370" t="s">
        <v>8845</v>
      </c>
      <c r="AI370" t="s">
        <v>8844</v>
      </c>
      <c r="AK370" t="s">
        <v>8843</v>
      </c>
      <c r="AL370">
        <v>17</v>
      </c>
      <c r="AM370" s="5">
        <f t="shared" si="42"/>
        <v>0.58620689655172409</v>
      </c>
      <c r="AN370" s="4">
        <f t="shared" si="47"/>
        <v>8.8785595842745036E-4</v>
      </c>
      <c r="AO370" s="3"/>
      <c r="AP370">
        <v>1</v>
      </c>
      <c r="AR370" t="s">
        <v>1</v>
      </c>
      <c r="AT370" s="2">
        <v>2.431</v>
      </c>
      <c r="AU370" s="1">
        <f t="shared" si="43"/>
        <v>1.7906035386604606</v>
      </c>
      <c r="AV370" s="1">
        <f t="shared" si="44"/>
        <v>1.3043698407125421</v>
      </c>
      <c r="AW370" s="1">
        <f t="shared" si="45"/>
        <v>0.81813614276462321</v>
      </c>
    </row>
    <row r="371" spans="1:49" x14ac:dyDescent="0.2">
      <c r="A371">
        <v>369</v>
      </c>
      <c r="B371" t="s">
        <v>8842</v>
      </c>
      <c r="F371" t="s">
        <v>8841</v>
      </c>
      <c r="G371" t="s">
        <v>15</v>
      </c>
      <c r="H371" t="s">
        <v>14</v>
      </c>
      <c r="I371" t="s">
        <v>8840</v>
      </c>
      <c r="N371">
        <v>1</v>
      </c>
      <c r="O371" t="s">
        <v>8839</v>
      </c>
      <c r="P371">
        <v>6602510704</v>
      </c>
      <c r="R371" s="7">
        <v>33970</v>
      </c>
      <c r="S371" s="8">
        <f t="shared" si="40"/>
        <v>1993</v>
      </c>
      <c r="T371" s="8">
        <v>1993</v>
      </c>
      <c r="U371" s="8">
        <f t="shared" si="41"/>
        <v>29</v>
      </c>
      <c r="V371" s="7">
        <v>1993</v>
      </c>
      <c r="W371" t="s">
        <v>1921</v>
      </c>
      <c r="X371" s="2">
        <v>1.67</v>
      </c>
      <c r="Y371" s="6">
        <f t="shared" si="46"/>
        <v>4.4579696217399427E-2</v>
      </c>
      <c r="AA371">
        <v>1480227</v>
      </c>
      <c r="AB371">
        <v>28428</v>
      </c>
      <c r="AD371" t="s">
        <v>5</v>
      </c>
      <c r="AE371">
        <v>98</v>
      </c>
      <c r="AF371" t="s">
        <v>8838</v>
      </c>
      <c r="AI371" t="s">
        <v>8837</v>
      </c>
      <c r="AK371" t="s">
        <v>8836</v>
      </c>
      <c r="AL371">
        <v>235</v>
      </c>
      <c r="AM371" s="5">
        <f t="shared" si="42"/>
        <v>8.1034482758620694</v>
      </c>
      <c r="AN371" s="4">
        <f t="shared" si="47"/>
        <v>1.2273302954732404E-2</v>
      </c>
      <c r="AO371" s="3"/>
      <c r="AP371">
        <v>0</v>
      </c>
      <c r="AR371" t="s">
        <v>1</v>
      </c>
      <c r="AT371" s="2" t="s">
        <v>0</v>
      </c>
      <c r="AU371" s="1">
        <f t="shared" si="43"/>
        <v>3.4887778238599316</v>
      </c>
      <c r="AV371" s="1">
        <f t="shared" si="44"/>
        <v>2.8426499586065916</v>
      </c>
      <c r="AW371" s="1">
        <f t="shared" si="45"/>
        <v>2.1965220933532508</v>
      </c>
    </row>
    <row r="372" spans="1:49" x14ac:dyDescent="0.2">
      <c r="A372">
        <v>370</v>
      </c>
      <c r="B372" t="s">
        <v>8835</v>
      </c>
      <c r="C372" t="s">
        <v>8834</v>
      </c>
      <c r="F372" t="s">
        <v>8833</v>
      </c>
      <c r="G372" t="s">
        <v>15</v>
      </c>
      <c r="H372" t="s">
        <v>14</v>
      </c>
      <c r="I372" t="s">
        <v>8832</v>
      </c>
      <c r="J372">
        <v>60005304</v>
      </c>
      <c r="K372" t="s">
        <v>592</v>
      </c>
      <c r="L372" t="s">
        <v>591</v>
      </c>
      <c r="M372" t="s">
        <v>10</v>
      </c>
      <c r="N372">
        <v>1</v>
      </c>
      <c r="O372" t="s">
        <v>8831</v>
      </c>
      <c r="P372">
        <v>7005633596</v>
      </c>
      <c r="Q372">
        <v>60005304</v>
      </c>
      <c r="R372" s="7">
        <v>33970</v>
      </c>
      <c r="S372" s="8">
        <f t="shared" si="40"/>
        <v>1993</v>
      </c>
      <c r="T372" s="8">
        <v>1993</v>
      </c>
      <c r="U372" s="8">
        <f t="shared" si="41"/>
        <v>29</v>
      </c>
      <c r="V372" s="7">
        <v>34304</v>
      </c>
      <c r="W372" t="s">
        <v>1246</v>
      </c>
      <c r="X372" s="2">
        <v>0.39600000000000002</v>
      </c>
      <c r="Y372" s="6">
        <f t="shared" si="46"/>
        <v>1.0570993833586931E-2</v>
      </c>
      <c r="AA372">
        <v>8858985</v>
      </c>
      <c r="AB372">
        <v>25993</v>
      </c>
      <c r="AD372" t="s">
        <v>5</v>
      </c>
      <c r="AE372">
        <v>8</v>
      </c>
      <c r="AF372">
        <v>12</v>
      </c>
      <c r="AH372" s="10">
        <v>41456</v>
      </c>
      <c r="AI372" t="s">
        <v>8830</v>
      </c>
      <c r="AK372" t="s">
        <v>8829</v>
      </c>
      <c r="AL372">
        <v>4</v>
      </c>
      <c r="AM372" s="5">
        <f t="shared" si="42"/>
        <v>0.13793103448275862</v>
      </c>
      <c r="AN372" s="4">
        <f t="shared" si="47"/>
        <v>2.089072843358707E-4</v>
      </c>
      <c r="AO372" s="3"/>
      <c r="AP372">
        <v>0</v>
      </c>
      <c r="AR372" t="s">
        <v>1</v>
      </c>
      <c r="AT372" s="2" t="s">
        <v>0</v>
      </c>
      <c r="AU372" s="1">
        <f t="shared" si="43"/>
        <v>0.74623678688116135</v>
      </c>
      <c r="AV372" s="1">
        <f t="shared" si="44"/>
        <v>0.53899505589614005</v>
      </c>
      <c r="AW372" s="1">
        <f t="shared" si="45"/>
        <v>0.33175332491111886</v>
      </c>
    </row>
    <row r="373" spans="1:49" x14ac:dyDescent="0.2">
      <c r="A373">
        <v>371</v>
      </c>
      <c r="B373" t="s">
        <v>8828</v>
      </c>
      <c r="C373" t="s">
        <v>8827</v>
      </c>
      <c r="F373" t="s">
        <v>8826</v>
      </c>
      <c r="G373" t="s">
        <v>15</v>
      </c>
      <c r="H373" t="s">
        <v>14</v>
      </c>
      <c r="I373" t="s">
        <v>8825</v>
      </c>
      <c r="J373">
        <v>100746499</v>
      </c>
      <c r="K373" t="s">
        <v>8824</v>
      </c>
      <c r="L373" t="s">
        <v>8823</v>
      </c>
      <c r="M373" t="s">
        <v>10</v>
      </c>
      <c r="N373">
        <v>2</v>
      </c>
      <c r="O373" t="s">
        <v>8822</v>
      </c>
      <c r="P373" t="s">
        <v>8821</v>
      </c>
      <c r="Q373" t="s">
        <v>8820</v>
      </c>
      <c r="R373" s="7">
        <v>33970</v>
      </c>
      <c r="S373" s="8">
        <f t="shared" si="40"/>
        <v>1993</v>
      </c>
      <c r="T373" s="8">
        <v>1993</v>
      </c>
      <c r="U373" s="8">
        <f t="shared" si="41"/>
        <v>29</v>
      </c>
      <c r="V373" s="7">
        <v>1993</v>
      </c>
      <c r="W373" t="s">
        <v>8819</v>
      </c>
      <c r="X373" s="2">
        <v>1.1990000000000001</v>
      </c>
      <c r="Y373" s="6">
        <f t="shared" si="46"/>
        <v>3.2006620218360433E-2</v>
      </c>
      <c r="AA373">
        <v>221430</v>
      </c>
      <c r="AB373">
        <v>24419</v>
      </c>
      <c r="AD373" t="s">
        <v>5</v>
      </c>
      <c r="AE373">
        <v>39</v>
      </c>
      <c r="AF373">
        <v>133</v>
      </c>
      <c r="AH373" t="s">
        <v>8818</v>
      </c>
      <c r="AI373" t="s">
        <v>8817</v>
      </c>
      <c r="AK373" t="s">
        <v>8816</v>
      </c>
      <c r="AL373">
        <v>27</v>
      </c>
      <c r="AM373" s="5">
        <f t="shared" si="42"/>
        <v>0.93103448275862066</v>
      </c>
      <c r="AN373" s="4">
        <f t="shared" si="47"/>
        <v>1.410124169267127E-3</v>
      </c>
      <c r="AO373" s="3"/>
      <c r="AP373">
        <v>1</v>
      </c>
      <c r="AR373" t="s">
        <v>1</v>
      </c>
      <c r="AT373" s="2">
        <v>3.1419999999999999</v>
      </c>
      <c r="AU373" s="1">
        <f t="shared" si="43"/>
        <v>2.2827671403632439</v>
      </c>
      <c r="AV373" s="1">
        <f t="shared" si="44"/>
        <v>1.6708372193813781</v>
      </c>
      <c r="AW373" s="1">
        <f t="shared" si="45"/>
        <v>1.058907298399512</v>
      </c>
    </row>
    <row r="374" spans="1:49" x14ac:dyDescent="0.2">
      <c r="A374">
        <v>372</v>
      </c>
      <c r="B374" t="s">
        <v>8815</v>
      </c>
      <c r="C374" t="s">
        <v>8814</v>
      </c>
      <c r="D374" t="s">
        <v>8813</v>
      </c>
      <c r="F374" t="s">
        <v>8812</v>
      </c>
      <c r="G374" t="s">
        <v>15</v>
      </c>
      <c r="H374" t="s">
        <v>14</v>
      </c>
      <c r="I374" t="s">
        <v>8811</v>
      </c>
      <c r="J374">
        <v>60109826</v>
      </c>
      <c r="K374" t="s">
        <v>8810</v>
      </c>
      <c r="L374" t="s">
        <v>8809</v>
      </c>
      <c r="M374" t="s">
        <v>59</v>
      </c>
      <c r="N374">
        <v>1</v>
      </c>
      <c r="O374" t="s">
        <v>8808</v>
      </c>
      <c r="P374">
        <v>6601969461</v>
      </c>
      <c r="Q374">
        <v>60109826</v>
      </c>
      <c r="R374" s="7">
        <v>33970</v>
      </c>
      <c r="S374" s="8">
        <f t="shared" si="40"/>
        <v>1993</v>
      </c>
      <c r="T374" s="8">
        <v>1993</v>
      </c>
      <c r="U374" s="8">
        <f t="shared" si="41"/>
        <v>29</v>
      </c>
      <c r="V374" s="7">
        <v>34182</v>
      </c>
      <c r="W374" t="s">
        <v>387</v>
      </c>
      <c r="X374" s="2">
        <v>0.68200000000000005</v>
      </c>
      <c r="Y374" s="6">
        <f t="shared" si="46"/>
        <v>1.8205600491177493E-2</v>
      </c>
      <c r="AA374">
        <v>2731177</v>
      </c>
      <c r="AB374">
        <v>12375</v>
      </c>
      <c r="AD374" t="s">
        <v>5</v>
      </c>
      <c r="AE374">
        <v>13</v>
      </c>
      <c r="AF374">
        <v>8</v>
      </c>
      <c r="AH374" t="s">
        <v>8807</v>
      </c>
      <c r="AI374" t="s">
        <v>8806</v>
      </c>
      <c r="AK374" t="s">
        <v>8805</v>
      </c>
      <c r="AL374">
        <v>4</v>
      </c>
      <c r="AM374" s="5">
        <f t="shared" si="42"/>
        <v>0.13793103448275862</v>
      </c>
      <c r="AN374" s="4">
        <f t="shared" si="47"/>
        <v>2.089072843358707E-4</v>
      </c>
      <c r="AO374" s="3"/>
      <c r="AP374">
        <v>0</v>
      </c>
      <c r="AR374" t="s">
        <v>1</v>
      </c>
      <c r="AT374" s="2">
        <v>2.1520000000000001</v>
      </c>
      <c r="AU374" s="1">
        <f t="shared" si="43"/>
        <v>1.2806592529125005</v>
      </c>
      <c r="AV374" s="1">
        <f t="shared" si="44"/>
        <v>0.92072538877566823</v>
      </c>
      <c r="AW374" s="1">
        <f t="shared" si="45"/>
        <v>0.56079152463883575</v>
      </c>
    </row>
    <row r="375" spans="1:49" x14ac:dyDescent="0.2">
      <c r="A375">
        <v>373</v>
      </c>
      <c r="B375" t="s">
        <v>8804</v>
      </c>
      <c r="C375" t="s">
        <v>8803</v>
      </c>
      <c r="F375" t="s">
        <v>8802</v>
      </c>
      <c r="G375" t="s">
        <v>15</v>
      </c>
      <c r="H375" t="s">
        <v>14</v>
      </c>
      <c r="I375" t="s">
        <v>8519</v>
      </c>
      <c r="N375">
        <v>3</v>
      </c>
      <c r="O375" t="s">
        <v>8801</v>
      </c>
      <c r="P375" t="s">
        <v>8800</v>
      </c>
      <c r="Q375" t="s">
        <v>2929</v>
      </c>
      <c r="R375" s="7">
        <v>33970</v>
      </c>
      <c r="S375" s="8">
        <f t="shared" si="40"/>
        <v>1993</v>
      </c>
      <c r="T375" s="8">
        <v>1993</v>
      </c>
      <c r="U375" s="8">
        <f t="shared" si="41"/>
        <v>29</v>
      </c>
      <c r="V375" s="7">
        <v>1993</v>
      </c>
      <c r="W375" t="s">
        <v>1921</v>
      </c>
      <c r="X375" s="2">
        <v>1.67</v>
      </c>
      <c r="Y375" s="6">
        <f t="shared" si="46"/>
        <v>4.4579696217399427E-2</v>
      </c>
      <c r="AA375">
        <v>1480227</v>
      </c>
      <c r="AB375">
        <v>28428</v>
      </c>
      <c r="AD375" t="s">
        <v>5</v>
      </c>
      <c r="AE375">
        <v>98</v>
      </c>
      <c r="AF375" t="s">
        <v>8799</v>
      </c>
      <c r="AH375" t="s">
        <v>8798</v>
      </c>
      <c r="AI375" t="s">
        <v>8797</v>
      </c>
      <c r="AK375" t="s">
        <v>8796</v>
      </c>
      <c r="AL375">
        <v>41</v>
      </c>
      <c r="AM375" s="5">
        <f t="shared" si="42"/>
        <v>1.4137931034482758</v>
      </c>
      <c r="AN375" s="4">
        <f t="shared" si="47"/>
        <v>2.1412996644426746E-3</v>
      </c>
      <c r="AO375" s="3"/>
      <c r="AP375">
        <v>0</v>
      </c>
      <c r="AR375" t="s">
        <v>1</v>
      </c>
      <c r="AT375" s="2" t="s">
        <v>0</v>
      </c>
      <c r="AU375" s="1">
        <f t="shared" si="43"/>
        <v>3.1848177251512402</v>
      </c>
      <c r="AV375" s="1">
        <f t="shared" si="44"/>
        <v>2.336049794092105</v>
      </c>
      <c r="AW375" s="1">
        <f t="shared" si="45"/>
        <v>1.4872818630329701</v>
      </c>
    </row>
    <row r="376" spans="1:49" x14ac:dyDescent="0.2">
      <c r="A376">
        <v>374</v>
      </c>
      <c r="B376" t="s">
        <v>8795</v>
      </c>
      <c r="C376" t="s">
        <v>8794</v>
      </c>
      <c r="F376" t="s">
        <v>8793</v>
      </c>
      <c r="G376" t="s">
        <v>15</v>
      </c>
      <c r="H376" t="s">
        <v>14</v>
      </c>
      <c r="I376" t="s">
        <v>4157</v>
      </c>
      <c r="J376" t="s">
        <v>8792</v>
      </c>
      <c r="K376" t="s">
        <v>8791</v>
      </c>
      <c r="L376" t="s">
        <v>8790</v>
      </c>
      <c r="M376" t="s">
        <v>2341</v>
      </c>
      <c r="N376">
        <v>3</v>
      </c>
      <c r="O376" t="s">
        <v>8789</v>
      </c>
      <c r="P376" t="s">
        <v>8788</v>
      </c>
      <c r="Q376" t="s">
        <v>8787</v>
      </c>
      <c r="R376" s="7">
        <v>33970</v>
      </c>
      <c r="S376" s="8">
        <f t="shared" si="40"/>
        <v>1993</v>
      </c>
      <c r="T376" s="8">
        <v>1993</v>
      </c>
      <c r="U376" s="8">
        <f t="shared" si="41"/>
        <v>29</v>
      </c>
      <c r="V376" s="7">
        <v>34304</v>
      </c>
      <c r="W376" t="s">
        <v>814</v>
      </c>
      <c r="X376" s="2">
        <v>1.6519999999999999</v>
      </c>
      <c r="Y376" s="6">
        <f t="shared" si="46"/>
        <v>4.409919649769093E-2</v>
      </c>
      <c r="AA376" t="s">
        <v>813</v>
      </c>
      <c r="AB376">
        <v>17337</v>
      </c>
      <c r="AC376">
        <v>15582221</v>
      </c>
      <c r="AD376" t="s">
        <v>5</v>
      </c>
      <c r="AE376">
        <v>41</v>
      </c>
      <c r="AF376">
        <v>12</v>
      </c>
      <c r="AH376" t="s">
        <v>8786</v>
      </c>
      <c r="AI376" t="s">
        <v>8785</v>
      </c>
      <c r="AK376" t="s">
        <v>8784</v>
      </c>
      <c r="AL376">
        <v>23</v>
      </c>
      <c r="AM376" s="5">
        <f t="shared" si="42"/>
        <v>0.7931034482758621</v>
      </c>
      <c r="AN376" s="4">
        <f t="shared" si="47"/>
        <v>1.2012168849312565E-3</v>
      </c>
      <c r="AO376" s="3"/>
      <c r="AP376">
        <v>0</v>
      </c>
      <c r="AR376" t="s">
        <v>1</v>
      </c>
      <c r="AT376" s="2" t="s">
        <v>0</v>
      </c>
      <c r="AU376" s="1">
        <f t="shared" si="43"/>
        <v>3.1229802613863029</v>
      </c>
      <c r="AV376" s="1">
        <f t="shared" si="44"/>
        <v>2.2650206691311094</v>
      </c>
      <c r="AW376" s="1">
        <f t="shared" si="45"/>
        <v>1.4070610768759158</v>
      </c>
    </row>
    <row r="377" spans="1:49" x14ac:dyDescent="0.2">
      <c r="A377">
        <v>375</v>
      </c>
      <c r="B377" t="s">
        <v>8783</v>
      </c>
      <c r="C377" t="s">
        <v>8782</v>
      </c>
      <c r="D377" t="s">
        <v>8781</v>
      </c>
      <c r="F377" t="s">
        <v>8780</v>
      </c>
      <c r="G377" t="s">
        <v>15</v>
      </c>
      <c r="H377" t="s">
        <v>14</v>
      </c>
      <c r="I377" t="s">
        <v>8779</v>
      </c>
      <c r="J377" t="s">
        <v>965</v>
      </c>
      <c r="K377" t="s">
        <v>970</v>
      </c>
      <c r="L377" t="s">
        <v>969</v>
      </c>
      <c r="M377" t="s">
        <v>968</v>
      </c>
      <c r="N377">
        <v>3</v>
      </c>
      <c r="O377" t="s">
        <v>8778</v>
      </c>
      <c r="P377" t="s">
        <v>8777</v>
      </c>
      <c r="Q377" t="s">
        <v>8776</v>
      </c>
      <c r="R377" s="7">
        <v>33970</v>
      </c>
      <c r="S377" s="8">
        <f t="shared" si="40"/>
        <v>1993</v>
      </c>
      <c r="T377" s="8">
        <v>1993</v>
      </c>
      <c r="U377" s="8">
        <f t="shared" si="41"/>
        <v>29</v>
      </c>
      <c r="V377" s="7">
        <v>34304</v>
      </c>
      <c r="W377" t="s">
        <v>747</v>
      </c>
      <c r="X377" s="2">
        <v>0.90700000000000003</v>
      </c>
      <c r="Y377" s="6">
        <f t="shared" si="46"/>
        <v>2.4211846987533703E-2</v>
      </c>
      <c r="AA377">
        <v>1651684</v>
      </c>
      <c r="AB377">
        <v>25548</v>
      </c>
      <c r="AD377" t="s">
        <v>5</v>
      </c>
      <c r="AE377">
        <v>34</v>
      </c>
      <c r="AF377">
        <v>3</v>
      </c>
      <c r="AH377" t="s">
        <v>8775</v>
      </c>
      <c r="AI377" t="s">
        <v>8774</v>
      </c>
      <c r="AK377" t="s">
        <v>8773</v>
      </c>
      <c r="AL377">
        <v>24</v>
      </c>
      <c r="AM377" s="5">
        <f t="shared" si="42"/>
        <v>0.82758620689655171</v>
      </c>
      <c r="AN377" s="4">
        <f t="shared" si="47"/>
        <v>1.2534437060152241E-3</v>
      </c>
      <c r="AO377" s="3"/>
      <c r="AP377">
        <v>0</v>
      </c>
      <c r="AR377" t="s">
        <v>1</v>
      </c>
      <c r="AT377" s="2">
        <v>4.6619999999999999</v>
      </c>
      <c r="AU377" s="1">
        <f t="shared" si="43"/>
        <v>1.7324326003078157</v>
      </c>
      <c r="AV377" s="1">
        <f t="shared" si="44"/>
        <v>1.2732645346774465</v>
      </c>
      <c r="AW377" s="1">
        <f t="shared" si="45"/>
        <v>0.81409646904707678</v>
      </c>
    </row>
    <row r="378" spans="1:49" x14ac:dyDescent="0.2">
      <c r="A378">
        <v>376</v>
      </c>
      <c r="B378" t="s">
        <v>8772</v>
      </c>
      <c r="C378" t="s">
        <v>8771</v>
      </c>
      <c r="F378" t="s">
        <v>8770</v>
      </c>
      <c r="G378" t="s">
        <v>15</v>
      </c>
      <c r="H378" t="s">
        <v>14</v>
      </c>
      <c r="I378" t="s">
        <v>8769</v>
      </c>
      <c r="J378" t="s">
        <v>8768</v>
      </c>
      <c r="K378" t="s">
        <v>8767</v>
      </c>
      <c r="L378" t="s">
        <v>8766</v>
      </c>
      <c r="M378" t="s">
        <v>2341</v>
      </c>
      <c r="N378">
        <v>10</v>
      </c>
      <c r="O378" t="s">
        <v>8765</v>
      </c>
      <c r="P378" t="s">
        <v>8764</v>
      </c>
      <c r="Q378" t="s">
        <v>8763</v>
      </c>
      <c r="R378" s="7">
        <v>33970</v>
      </c>
      <c r="S378" s="8">
        <f t="shared" si="40"/>
        <v>1993</v>
      </c>
      <c r="T378" s="8">
        <v>1993</v>
      </c>
      <c r="U378" s="8">
        <f t="shared" si="41"/>
        <v>29</v>
      </c>
      <c r="V378" s="7">
        <v>1993</v>
      </c>
      <c r="W378" t="s">
        <v>8762</v>
      </c>
      <c r="X378" s="2">
        <v>0.158</v>
      </c>
      <c r="Y378" s="6">
        <f t="shared" si="46"/>
        <v>4.2177197618856943E-3</v>
      </c>
      <c r="AA378">
        <v>380830</v>
      </c>
      <c r="AB378">
        <v>13094</v>
      </c>
      <c r="AD378" t="s">
        <v>5</v>
      </c>
      <c r="AE378">
        <v>39</v>
      </c>
      <c r="AF378">
        <v>2</v>
      </c>
      <c r="AH378" t="s">
        <v>8761</v>
      </c>
      <c r="AI378" t="s">
        <v>8760</v>
      </c>
      <c r="AK378" t="s">
        <v>8759</v>
      </c>
      <c r="AL378">
        <v>6</v>
      </c>
      <c r="AM378" s="5">
        <f t="shared" si="42"/>
        <v>0.20689655172413793</v>
      </c>
      <c r="AN378" s="4">
        <f t="shared" si="47"/>
        <v>3.1336092650380602E-4</v>
      </c>
      <c r="AO378" s="3"/>
      <c r="AP378">
        <v>0</v>
      </c>
      <c r="AR378" t="s">
        <v>1</v>
      </c>
      <c r="AT378" s="2" t="s">
        <v>0</v>
      </c>
      <c r="AU378" s="1">
        <f t="shared" si="43"/>
        <v>0.30464121112711273</v>
      </c>
      <c r="AV378" s="1">
        <f t="shared" si="44"/>
        <v>0.22655403441947503</v>
      </c>
      <c r="AW378" s="1">
        <f t="shared" si="45"/>
        <v>0.14846685771183724</v>
      </c>
    </row>
    <row r="379" spans="1:49" x14ac:dyDescent="0.2">
      <c r="A379">
        <v>377</v>
      </c>
      <c r="B379" t="s">
        <v>8758</v>
      </c>
      <c r="C379" t="s">
        <v>8757</v>
      </c>
      <c r="E379">
        <v>8033222</v>
      </c>
      <c r="F379" t="s">
        <v>8756</v>
      </c>
      <c r="G379" t="s">
        <v>15</v>
      </c>
      <c r="H379" t="s">
        <v>14</v>
      </c>
      <c r="I379" t="s">
        <v>8755</v>
      </c>
      <c r="J379" t="s">
        <v>8754</v>
      </c>
      <c r="K379" t="s">
        <v>8753</v>
      </c>
      <c r="L379" t="s">
        <v>8752</v>
      </c>
      <c r="M379" t="s">
        <v>2341</v>
      </c>
      <c r="N379">
        <v>3</v>
      </c>
      <c r="O379" t="s">
        <v>8751</v>
      </c>
      <c r="P379" t="s">
        <v>8750</v>
      </c>
      <c r="Q379" t="s">
        <v>8749</v>
      </c>
      <c r="R379" s="7">
        <v>33970</v>
      </c>
      <c r="S379" s="8">
        <f t="shared" si="40"/>
        <v>1993</v>
      </c>
      <c r="T379" s="8">
        <v>1993</v>
      </c>
      <c r="U379" s="8">
        <f t="shared" si="41"/>
        <v>29</v>
      </c>
      <c r="V379" s="7">
        <v>1993</v>
      </c>
      <c r="W379" t="s">
        <v>8748</v>
      </c>
      <c r="X379" s="2">
        <v>1.151</v>
      </c>
      <c r="Y379" s="6">
        <f t="shared" si="46"/>
        <v>3.0725287632471104E-2</v>
      </c>
      <c r="AA379">
        <v>3867196</v>
      </c>
      <c r="AB379">
        <v>18473</v>
      </c>
      <c r="AC379">
        <v>13473700</v>
      </c>
      <c r="AD379" t="s">
        <v>5</v>
      </c>
      <c r="AE379">
        <v>18</v>
      </c>
      <c r="AF379">
        <v>6</v>
      </c>
      <c r="AH379" t="s">
        <v>8747</v>
      </c>
      <c r="AI379" t="s">
        <v>8746</v>
      </c>
      <c r="AJ379" t="s">
        <v>8745</v>
      </c>
      <c r="AK379" t="s">
        <v>8744</v>
      </c>
      <c r="AL379">
        <v>10</v>
      </c>
      <c r="AM379" s="5">
        <f t="shared" si="42"/>
        <v>0.34482758620689657</v>
      </c>
      <c r="AN379" s="4">
        <f t="shared" si="47"/>
        <v>5.2226821083967677E-4</v>
      </c>
      <c r="AO379" s="3"/>
      <c r="AP379">
        <v>1</v>
      </c>
      <c r="AR379" t="s">
        <v>1</v>
      </c>
      <c r="AT379" s="2">
        <v>2.2120000000000002</v>
      </c>
      <c r="AU379" s="1">
        <f t="shared" si="43"/>
        <v>2.1664381805981674</v>
      </c>
      <c r="AV379" s="1">
        <f t="shared" si="44"/>
        <v>1.5623777921655391</v>
      </c>
      <c r="AW379" s="1">
        <f t="shared" si="45"/>
        <v>0.95831740373291052</v>
      </c>
    </row>
    <row r="380" spans="1:49" x14ac:dyDescent="0.2">
      <c r="A380">
        <v>378</v>
      </c>
      <c r="B380" t="s">
        <v>8743</v>
      </c>
      <c r="C380" t="s">
        <v>8742</v>
      </c>
      <c r="F380" t="s">
        <v>8741</v>
      </c>
      <c r="G380" t="s">
        <v>15</v>
      </c>
      <c r="H380" t="s">
        <v>14</v>
      </c>
      <c r="I380" t="s">
        <v>2908</v>
      </c>
      <c r="J380">
        <v>60029116</v>
      </c>
      <c r="K380" t="s">
        <v>8740</v>
      </c>
      <c r="L380" t="s">
        <v>8739</v>
      </c>
      <c r="M380" t="s">
        <v>303</v>
      </c>
      <c r="N380">
        <v>2</v>
      </c>
      <c r="O380" t="s">
        <v>8738</v>
      </c>
      <c r="P380" t="s">
        <v>8737</v>
      </c>
      <c r="Q380" t="s">
        <v>8736</v>
      </c>
      <c r="R380" s="7">
        <v>33970</v>
      </c>
      <c r="S380" s="8">
        <f t="shared" si="40"/>
        <v>1993</v>
      </c>
      <c r="T380" s="8">
        <v>1993</v>
      </c>
      <c r="U380" s="8">
        <f t="shared" si="41"/>
        <v>29</v>
      </c>
      <c r="V380" s="7" t="s">
        <v>8538</v>
      </c>
      <c r="W380" s="11" t="s">
        <v>2407</v>
      </c>
      <c r="X380" s="2">
        <v>2.383</v>
      </c>
      <c r="Y380" s="6">
        <f t="shared" si="46"/>
        <v>6.3612824003630442E-2</v>
      </c>
      <c r="AA380" t="s">
        <v>2406</v>
      </c>
      <c r="AB380">
        <v>96433</v>
      </c>
      <c r="AD380" t="s">
        <v>5</v>
      </c>
      <c r="AE380">
        <v>140</v>
      </c>
      <c r="AF380">
        <v>6</v>
      </c>
      <c r="AH380" t="s">
        <v>8735</v>
      </c>
      <c r="AI380" t="s">
        <v>8734</v>
      </c>
      <c r="AK380" t="s">
        <v>8733</v>
      </c>
      <c r="AL380">
        <v>2212</v>
      </c>
      <c r="AM380" s="5">
        <f t="shared" si="42"/>
        <v>76.275862068965523</v>
      </c>
      <c r="AN380" s="4">
        <f t="shared" si="47"/>
        <v>0.11552572823773651</v>
      </c>
      <c r="AO380" s="3"/>
      <c r="AP380">
        <v>0</v>
      </c>
      <c r="AR380" t="s">
        <v>1</v>
      </c>
      <c r="AT380" s="2" t="s">
        <v>0</v>
      </c>
      <c r="AU380" s="1">
        <f t="shared" si="43"/>
        <v>7.9186695273862266</v>
      </c>
      <c r="AV380" s="1">
        <f t="shared" si="44"/>
        <v>8.9569276120683465</v>
      </c>
      <c r="AW380" s="1">
        <f t="shared" si="45"/>
        <v>9.9951856967504682</v>
      </c>
    </row>
    <row r="381" spans="1:49" x14ac:dyDescent="0.2">
      <c r="A381">
        <v>379</v>
      </c>
      <c r="B381" t="s">
        <v>8732</v>
      </c>
      <c r="C381" t="s">
        <v>8731</v>
      </c>
      <c r="F381" t="s">
        <v>8730</v>
      </c>
      <c r="G381" t="s">
        <v>15</v>
      </c>
      <c r="H381" t="s">
        <v>14</v>
      </c>
      <c r="I381" t="s">
        <v>8729</v>
      </c>
      <c r="J381">
        <v>60027090</v>
      </c>
      <c r="K381" t="s">
        <v>2907</v>
      </c>
      <c r="L381" t="s">
        <v>2906</v>
      </c>
      <c r="M381" t="s">
        <v>10</v>
      </c>
      <c r="N381">
        <v>2</v>
      </c>
      <c r="O381" t="s">
        <v>8728</v>
      </c>
      <c r="P381" t="s">
        <v>8727</v>
      </c>
      <c r="Q381" t="s">
        <v>8726</v>
      </c>
      <c r="R381" s="7">
        <v>33970</v>
      </c>
      <c r="S381" s="8">
        <f t="shared" si="40"/>
        <v>1993</v>
      </c>
      <c r="T381" s="8">
        <v>1993</v>
      </c>
      <c r="U381" s="8">
        <f t="shared" si="41"/>
        <v>29</v>
      </c>
      <c r="V381" s="7">
        <v>34304</v>
      </c>
      <c r="W381" t="s">
        <v>814</v>
      </c>
      <c r="X381" s="2">
        <v>1.6519999999999999</v>
      </c>
      <c r="Y381" s="6">
        <f t="shared" si="46"/>
        <v>4.409919649769093E-2</v>
      </c>
      <c r="AA381" t="s">
        <v>813</v>
      </c>
      <c r="AB381">
        <v>17337</v>
      </c>
      <c r="AC381">
        <v>15582221</v>
      </c>
      <c r="AD381" t="s">
        <v>5</v>
      </c>
      <c r="AE381">
        <v>41</v>
      </c>
      <c r="AF381">
        <v>12</v>
      </c>
      <c r="AH381" t="s">
        <v>8725</v>
      </c>
      <c r="AI381" t="s">
        <v>8724</v>
      </c>
      <c r="AK381" t="s">
        <v>8723</v>
      </c>
      <c r="AL381">
        <v>240</v>
      </c>
      <c r="AM381" s="5">
        <f t="shared" si="42"/>
        <v>8.2758620689655178</v>
      </c>
      <c r="AN381" s="4">
        <f t="shared" si="47"/>
        <v>1.2534437060152242E-2</v>
      </c>
      <c r="AO381" s="3"/>
      <c r="AP381">
        <v>0</v>
      </c>
      <c r="AQ381" t="s">
        <v>8722</v>
      </c>
      <c r="AR381" t="s">
        <v>8721</v>
      </c>
      <c r="AS381" t="s">
        <v>8720</v>
      </c>
      <c r="AT381" s="2" t="s">
        <v>0</v>
      </c>
      <c r="AU381" s="1">
        <f t="shared" si="43"/>
        <v>3.4629768666429319</v>
      </c>
      <c r="AV381" s="1">
        <f t="shared" si="44"/>
        <v>2.8316816778921585</v>
      </c>
      <c r="AW381" s="1">
        <f t="shared" si="45"/>
        <v>2.2003864891413847</v>
      </c>
    </row>
    <row r="382" spans="1:49" x14ac:dyDescent="0.2">
      <c r="A382">
        <v>380</v>
      </c>
      <c r="B382" t="s">
        <v>8719</v>
      </c>
      <c r="C382" t="s">
        <v>8718</v>
      </c>
      <c r="F382" t="s">
        <v>8717</v>
      </c>
      <c r="G382" t="s">
        <v>15</v>
      </c>
      <c r="H382" t="s">
        <v>14</v>
      </c>
      <c r="I382" t="s">
        <v>8716</v>
      </c>
      <c r="J382">
        <v>60002959</v>
      </c>
      <c r="K382" t="s">
        <v>805</v>
      </c>
      <c r="L382" t="s">
        <v>804</v>
      </c>
      <c r="M382" t="s">
        <v>10</v>
      </c>
      <c r="N382">
        <v>4</v>
      </c>
      <c r="O382" t="s">
        <v>8715</v>
      </c>
      <c r="P382" t="s">
        <v>8714</v>
      </c>
      <c r="Q382" t="s">
        <v>8713</v>
      </c>
      <c r="R382" s="7">
        <v>33970</v>
      </c>
      <c r="S382" s="8">
        <f t="shared" si="40"/>
        <v>1993</v>
      </c>
      <c r="T382" s="8">
        <v>1993</v>
      </c>
      <c r="U382" s="8">
        <f t="shared" si="41"/>
        <v>29</v>
      </c>
      <c r="V382" s="7">
        <v>34304</v>
      </c>
      <c r="W382" t="s">
        <v>6563</v>
      </c>
      <c r="X382" s="2">
        <v>1.3460000000000001</v>
      </c>
      <c r="Y382" s="6">
        <f t="shared" si="46"/>
        <v>3.593070126264649E-2</v>
      </c>
      <c r="AA382">
        <v>7338724</v>
      </c>
      <c r="AB382">
        <v>12178</v>
      </c>
      <c r="AC382">
        <v>15582213</v>
      </c>
      <c r="AD382" t="s">
        <v>5</v>
      </c>
      <c r="AE382">
        <v>11</v>
      </c>
      <c r="AF382">
        <v>12</v>
      </c>
      <c r="AH382" t="s">
        <v>8712</v>
      </c>
      <c r="AI382" t="s">
        <v>8711</v>
      </c>
      <c r="AK382" t="s">
        <v>8710</v>
      </c>
      <c r="AL382">
        <v>106</v>
      </c>
      <c r="AM382" s="5">
        <f t="shared" si="42"/>
        <v>3.6551724137931036</v>
      </c>
      <c r="AN382" s="4">
        <f t="shared" si="47"/>
        <v>5.5360430349005738E-3</v>
      </c>
      <c r="AO382" s="3"/>
      <c r="AP382">
        <v>0</v>
      </c>
      <c r="AR382" t="s">
        <v>1</v>
      </c>
      <c r="AT382" s="2">
        <v>4.1420000000000003</v>
      </c>
      <c r="AU382" s="1">
        <f t="shared" si="43"/>
        <v>2.6812303794322716</v>
      </c>
      <c r="AV382" s="1">
        <f t="shared" si="44"/>
        <v>2.0733372148773532</v>
      </c>
      <c r="AW382" s="1">
        <f t="shared" si="45"/>
        <v>1.4654440503224349</v>
      </c>
    </row>
    <row r="383" spans="1:49" x14ac:dyDescent="0.2">
      <c r="A383">
        <v>381</v>
      </c>
      <c r="B383" t="s">
        <v>8709</v>
      </c>
      <c r="C383" t="s">
        <v>8708</v>
      </c>
      <c r="F383" t="s">
        <v>8707</v>
      </c>
      <c r="G383" t="s">
        <v>15</v>
      </c>
      <c r="H383" t="s">
        <v>14</v>
      </c>
      <c r="I383" t="s">
        <v>8706</v>
      </c>
      <c r="J383">
        <v>60025779</v>
      </c>
      <c r="K383" t="s">
        <v>8705</v>
      </c>
      <c r="L383" t="s">
        <v>8704</v>
      </c>
      <c r="M383" t="s">
        <v>493</v>
      </c>
      <c r="N383">
        <v>7</v>
      </c>
      <c r="O383" t="s">
        <v>8703</v>
      </c>
      <c r="P383" t="s">
        <v>8702</v>
      </c>
      <c r="Q383" t="s">
        <v>8701</v>
      </c>
      <c r="R383" s="7">
        <v>33970</v>
      </c>
      <c r="S383" s="8">
        <f t="shared" si="40"/>
        <v>1993</v>
      </c>
      <c r="T383" s="8">
        <v>1993</v>
      </c>
      <c r="U383" s="8">
        <f t="shared" si="41"/>
        <v>29</v>
      </c>
      <c r="V383" s="7" t="s">
        <v>8538</v>
      </c>
      <c r="W383" s="11" t="s">
        <v>3702</v>
      </c>
      <c r="X383" s="2">
        <v>2.383</v>
      </c>
      <c r="Y383" s="6">
        <f t="shared" si="46"/>
        <v>6.3612824003630442E-2</v>
      </c>
      <c r="AA383">
        <v>2673932</v>
      </c>
      <c r="AB383">
        <v>12118</v>
      </c>
      <c r="AD383" t="s">
        <v>5</v>
      </c>
      <c r="AE383">
        <v>140</v>
      </c>
      <c r="AF383">
        <v>6</v>
      </c>
      <c r="AH383" t="s">
        <v>8700</v>
      </c>
      <c r="AI383" t="s">
        <v>8699</v>
      </c>
      <c r="AK383" t="s">
        <v>8698</v>
      </c>
      <c r="AL383">
        <v>33</v>
      </c>
      <c r="AM383" s="5">
        <f t="shared" si="42"/>
        <v>1.1379310344827587</v>
      </c>
      <c r="AN383" s="4">
        <f t="shared" si="47"/>
        <v>1.7234850957709331E-3</v>
      </c>
      <c r="AO383" s="3"/>
      <c r="AP383">
        <v>0</v>
      </c>
      <c r="AR383" t="s">
        <v>1</v>
      </c>
      <c r="AT383" s="2" t="s">
        <v>0</v>
      </c>
      <c r="AU383" s="1">
        <f t="shared" si="43"/>
        <v>4.504602233127259</v>
      </c>
      <c r="AV383" s="1">
        <f t="shared" si="44"/>
        <v>3.2668154549700685</v>
      </c>
      <c r="AW383" s="1">
        <f t="shared" si="45"/>
        <v>2.0290286768128789</v>
      </c>
    </row>
    <row r="384" spans="1:49" x14ac:dyDescent="0.2">
      <c r="A384">
        <v>382</v>
      </c>
      <c r="B384" t="s">
        <v>8697</v>
      </c>
      <c r="C384" t="s">
        <v>8696</v>
      </c>
      <c r="F384" t="s">
        <v>8695</v>
      </c>
      <c r="G384" t="s">
        <v>15</v>
      </c>
      <c r="H384" t="s">
        <v>14</v>
      </c>
      <c r="I384" t="s">
        <v>4672</v>
      </c>
      <c r="J384">
        <v>60014171</v>
      </c>
      <c r="K384" t="s">
        <v>4671</v>
      </c>
      <c r="L384" t="s">
        <v>4670</v>
      </c>
      <c r="M384" t="s">
        <v>508</v>
      </c>
      <c r="N384">
        <v>2</v>
      </c>
      <c r="O384" t="s">
        <v>4669</v>
      </c>
      <c r="P384" t="s">
        <v>4668</v>
      </c>
      <c r="Q384" t="s">
        <v>4667</v>
      </c>
      <c r="R384" s="7">
        <v>33970</v>
      </c>
      <c r="S384" s="8">
        <f t="shared" si="40"/>
        <v>1993</v>
      </c>
      <c r="T384" s="8">
        <v>1993</v>
      </c>
      <c r="U384" s="8">
        <f t="shared" si="41"/>
        <v>29</v>
      </c>
      <c r="V384" s="7">
        <v>34304</v>
      </c>
      <c r="W384" t="s">
        <v>814</v>
      </c>
      <c r="X384" s="2">
        <v>1.6519999999999999</v>
      </c>
      <c r="Y384" s="6">
        <f t="shared" si="46"/>
        <v>4.409919649769093E-2</v>
      </c>
      <c r="AA384" t="s">
        <v>813</v>
      </c>
      <c r="AB384">
        <v>17337</v>
      </c>
      <c r="AC384">
        <v>15582221</v>
      </c>
      <c r="AD384" t="s">
        <v>5</v>
      </c>
      <c r="AE384">
        <v>41</v>
      </c>
      <c r="AF384">
        <v>12</v>
      </c>
      <c r="AH384" t="s">
        <v>8694</v>
      </c>
      <c r="AI384" t="s">
        <v>8693</v>
      </c>
      <c r="AK384" t="s">
        <v>8692</v>
      </c>
      <c r="AL384">
        <v>15</v>
      </c>
      <c r="AM384" s="5">
        <f t="shared" si="42"/>
        <v>0.51724137931034486</v>
      </c>
      <c r="AN384" s="4">
        <f t="shared" si="47"/>
        <v>7.834023162595151E-4</v>
      </c>
      <c r="AO384" s="3"/>
      <c r="AP384">
        <v>0</v>
      </c>
      <c r="AR384" t="s">
        <v>1</v>
      </c>
      <c r="AT384" s="2" t="s">
        <v>0</v>
      </c>
      <c r="AU384" s="1">
        <f t="shared" si="43"/>
        <v>3.1104458243261508</v>
      </c>
      <c r="AV384" s="1">
        <f t="shared" si="44"/>
        <v>2.2441299406975221</v>
      </c>
      <c r="AW384" s="1">
        <f t="shared" si="45"/>
        <v>1.3778140570688939</v>
      </c>
    </row>
    <row r="385" spans="1:49" x14ac:dyDescent="0.2">
      <c r="A385">
        <v>383</v>
      </c>
      <c r="B385" t="s">
        <v>8691</v>
      </c>
      <c r="C385" t="s">
        <v>8690</v>
      </c>
      <c r="F385" t="s">
        <v>8689</v>
      </c>
      <c r="G385" t="s">
        <v>15</v>
      </c>
      <c r="H385" t="s">
        <v>14</v>
      </c>
      <c r="I385" t="s">
        <v>8688</v>
      </c>
      <c r="J385">
        <v>60032179</v>
      </c>
      <c r="K385" t="s">
        <v>8687</v>
      </c>
      <c r="L385" t="s">
        <v>8686</v>
      </c>
      <c r="M385" t="s">
        <v>10</v>
      </c>
      <c r="N385">
        <v>2</v>
      </c>
      <c r="O385" t="s">
        <v>8685</v>
      </c>
      <c r="P385" t="s">
        <v>8684</v>
      </c>
      <c r="Q385" t="s">
        <v>8683</v>
      </c>
      <c r="R385" s="7">
        <v>33970</v>
      </c>
      <c r="S385" s="8">
        <f t="shared" ref="S385:S448" si="48">YEAR(R385)</f>
        <v>1993</v>
      </c>
      <c r="T385" s="8">
        <v>1993</v>
      </c>
      <c r="U385" s="8">
        <f t="shared" ref="U385:U448" si="49">2022-T385</f>
        <v>29</v>
      </c>
      <c r="V385" s="7">
        <v>1993</v>
      </c>
      <c r="W385" t="s">
        <v>3856</v>
      </c>
      <c r="X385" s="2">
        <v>0.83599999999999997</v>
      </c>
      <c r="Y385" s="6">
        <f t="shared" si="46"/>
        <v>2.2316542537572408E-2</v>
      </c>
      <c r="AA385">
        <v>3615995</v>
      </c>
      <c r="AB385">
        <v>37206</v>
      </c>
      <c r="AD385" t="s">
        <v>5</v>
      </c>
      <c r="AE385">
        <v>57</v>
      </c>
      <c r="AF385">
        <v>2</v>
      </c>
      <c r="AH385" t="s">
        <v>8682</v>
      </c>
      <c r="AI385" t="s">
        <v>8681</v>
      </c>
      <c r="AK385" t="s">
        <v>8680</v>
      </c>
      <c r="AL385">
        <v>25</v>
      </c>
      <c r="AM385" s="5">
        <f t="shared" ref="AM385:AM448" si="50">AL385/U385</f>
        <v>0.86206896551724133</v>
      </c>
      <c r="AN385" s="4">
        <f t="shared" si="47"/>
        <v>1.3056705270991916E-3</v>
      </c>
      <c r="AO385" s="3"/>
      <c r="AP385">
        <v>0</v>
      </c>
      <c r="AR385" t="s">
        <v>1</v>
      </c>
      <c r="AT385" s="2">
        <v>2.3069999999999999</v>
      </c>
      <c r="AU385" s="1">
        <f t="shared" ref="AU385:AU448" si="51">(Y385*0.7+AN385*0.3)*100</f>
        <v>1.6013280934430445</v>
      </c>
      <c r="AV385" s="1">
        <f t="shared" ref="AV385:AV448" si="52">(Y385*0.5+AN385*0.5)*100</f>
        <v>1.18111065323358</v>
      </c>
      <c r="AW385" s="1">
        <f t="shared" ref="AW385:AW448" si="53">(Y385*0.3+AN385*0.7)*100</f>
        <v>0.76089321302411561</v>
      </c>
    </row>
    <row r="386" spans="1:49" x14ac:dyDescent="0.2">
      <c r="A386">
        <v>384</v>
      </c>
      <c r="B386" t="s">
        <v>8679</v>
      </c>
      <c r="F386" t="s">
        <v>8678</v>
      </c>
      <c r="G386" t="s">
        <v>15</v>
      </c>
      <c r="H386" t="s">
        <v>14</v>
      </c>
      <c r="I386" t="s">
        <v>8677</v>
      </c>
      <c r="J386">
        <v>60029255</v>
      </c>
      <c r="K386" t="s">
        <v>8676</v>
      </c>
      <c r="L386" t="s">
        <v>8675</v>
      </c>
      <c r="M386" t="s">
        <v>10</v>
      </c>
      <c r="N386">
        <v>3</v>
      </c>
      <c r="O386" t="s">
        <v>8674</v>
      </c>
      <c r="P386" t="s">
        <v>8673</v>
      </c>
      <c r="Q386" t="s">
        <v>8672</v>
      </c>
      <c r="R386" s="7">
        <v>33970</v>
      </c>
      <c r="S386" s="8">
        <f t="shared" si="48"/>
        <v>1993</v>
      </c>
      <c r="T386" s="8">
        <v>1993</v>
      </c>
      <c r="U386" s="8">
        <f t="shared" si="49"/>
        <v>29</v>
      </c>
      <c r="V386" s="7">
        <v>1993</v>
      </c>
      <c r="W386" t="s">
        <v>8671</v>
      </c>
      <c r="X386" s="2" t="s">
        <v>0</v>
      </c>
      <c r="Y386" s="6" t="e">
        <f t="shared" ref="Y386:Y449" si="54">(X386-$Z$4)/($Z$3-$Z$4)</f>
        <v>#VALUE!</v>
      </c>
      <c r="AA386">
        <v>8988048</v>
      </c>
      <c r="AB386">
        <v>97716</v>
      </c>
      <c r="AD386" t="s">
        <v>5</v>
      </c>
      <c r="AE386">
        <v>4</v>
      </c>
      <c r="AF386">
        <v>1</v>
      </c>
      <c r="AH386" t="s">
        <v>8670</v>
      </c>
      <c r="AI386" t="s">
        <v>8669</v>
      </c>
      <c r="AK386" t="s">
        <v>8668</v>
      </c>
      <c r="AL386">
        <v>12</v>
      </c>
      <c r="AM386" s="5">
        <f t="shared" si="50"/>
        <v>0.41379310344827586</v>
      </c>
      <c r="AN386" s="4">
        <f t="shared" ref="AN386:AN449" si="55">(AM386-$AO$4)/($AO$3-$AO$4)</f>
        <v>6.2672185300761203E-4</v>
      </c>
      <c r="AO386" s="3"/>
      <c r="AP386">
        <v>0</v>
      </c>
      <c r="AR386" t="s">
        <v>1</v>
      </c>
      <c r="AT386" s="2" t="s">
        <v>0</v>
      </c>
      <c r="AU386" s="1" t="e">
        <f t="shared" si="51"/>
        <v>#VALUE!</v>
      </c>
      <c r="AV386" s="1" t="e">
        <f t="shared" si="52"/>
        <v>#VALUE!</v>
      </c>
      <c r="AW386" s="1" t="e">
        <f t="shared" si="53"/>
        <v>#VALUE!</v>
      </c>
    </row>
    <row r="387" spans="1:49" x14ac:dyDescent="0.2">
      <c r="A387">
        <v>385</v>
      </c>
      <c r="B387" t="s">
        <v>8667</v>
      </c>
      <c r="C387" t="s">
        <v>8666</v>
      </c>
      <c r="F387" t="s">
        <v>8665</v>
      </c>
      <c r="G387" t="s">
        <v>15</v>
      </c>
      <c r="H387" t="s">
        <v>14</v>
      </c>
      <c r="I387" t="s">
        <v>8664</v>
      </c>
      <c r="N387">
        <v>4</v>
      </c>
      <c r="O387" t="s">
        <v>8663</v>
      </c>
      <c r="P387" t="s">
        <v>8662</v>
      </c>
      <c r="Q387" t="s">
        <v>6458</v>
      </c>
      <c r="R387" s="7">
        <v>33970</v>
      </c>
      <c r="S387" s="8">
        <f t="shared" si="48"/>
        <v>1993</v>
      </c>
      <c r="T387" s="8">
        <v>1993</v>
      </c>
      <c r="U387" s="8">
        <f t="shared" si="49"/>
        <v>29</v>
      </c>
      <c r="V387" s="7">
        <v>1993</v>
      </c>
      <c r="W387" t="s">
        <v>8661</v>
      </c>
      <c r="X387" s="2" t="s">
        <v>0</v>
      </c>
      <c r="Y387" s="6" t="e">
        <f t="shared" si="54"/>
        <v>#VALUE!</v>
      </c>
      <c r="AB387">
        <v>13549</v>
      </c>
      <c r="AD387" t="s">
        <v>5</v>
      </c>
      <c r="AE387">
        <v>10</v>
      </c>
      <c r="AF387">
        <v>4</v>
      </c>
      <c r="AH387" t="s">
        <v>8660</v>
      </c>
      <c r="AI387" t="s">
        <v>8659</v>
      </c>
      <c r="AK387" t="s">
        <v>8658</v>
      </c>
      <c r="AL387">
        <v>3</v>
      </c>
      <c r="AM387" s="5">
        <f t="shared" si="50"/>
        <v>0.10344827586206896</v>
      </c>
      <c r="AN387" s="4">
        <f t="shared" si="55"/>
        <v>1.5668046325190301E-4</v>
      </c>
      <c r="AO387" s="3"/>
      <c r="AP387">
        <v>0</v>
      </c>
      <c r="AR387" t="s">
        <v>1</v>
      </c>
      <c r="AT387" s="2" t="s">
        <v>0</v>
      </c>
      <c r="AU387" s="1" t="e">
        <f t="shared" si="51"/>
        <v>#VALUE!</v>
      </c>
      <c r="AV387" s="1" t="e">
        <f t="shared" si="52"/>
        <v>#VALUE!</v>
      </c>
      <c r="AW387" s="1" t="e">
        <f t="shared" si="53"/>
        <v>#VALUE!</v>
      </c>
    </row>
    <row r="388" spans="1:49" x14ac:dyDescent="0.2">
      <c r="A388">
        <v>386</v>
      </c>
      <c r="B388" t="s">
        <v>8657</v>
      </c>
      <c r="C388" t="s">
        <v>8656</v>
      </c>
      <c r="F388" t="s">
        <v>8655</v>
      </c>
      <c r="G388" t="s">
        <v>15</v>
      </c>
      <c r="H388" t="s">
        <v>14</v>
      </c>
      <c r="I388" t="s">
        <v>8654</v>
      </c>
      <c r="N388">
        <v>2</v>
      </c>
      <c r="O388" t="s">
        <v>8653</v>
      </c>
      <c r="P388" t="s">
        <v>8652</v>
      </c>
      <c r="Q388" t="s">
        <v>1557</v>
      </c>
      <c r="R388" s="7">
        <v>33970</v>
      </c>
      <c r="S388" s="8">
        <f t="shared" si="48"/>
        <v>1993</v>
      </c>
      <c r="T388" s="8">
        <v>1993</v>
      </c>
      <c r="U388" s="8">
        <f t="shared" si="49"/>
        <v>29</v>
      </c>
      <c r="V388" s="7">
        <v>1993</v>
      </c>
      <c r="W388" t="s">
        <v>8651</v>
      </c>
      <c r="X388" s="2" t="s">
        <v>0</v>
      </c>
      <c r="Y388" s="6" t="e">
        <f t="shared" si="54"/>
        <v>#VALUE!</v>
      </c>
      <c r="AB388">
        <v>12074</v>
      </c>
      <c r="AD388" t="s">
        <v>5</v>
      </c>
      <c r="AE388">
        <v>74</v>
      </c>
      <c r="AF388">
        <v>7</v>
      </c>
      <c r="AH388" t="s">
        <v>8650</v>
      </c>
      <c r="AI388" t="s">
        <v>8649</v>
      </c>
      <c r="AK388" t="s">
        <v>8648</v>
      </c>
      <c r="AL388">
        <v>239</v>
      </c>
      <c r="AM388" s="5">
        <f t="shared" si="50"/>
        <v>8.2413793103448274</v>
      </c>
      <c r="AN388" s="4">
        <f t="shared" si="55"/>
        <v>1.2482210239068273E-2</v>
      </c>
      <c r="AO388" s="3"/>
      <c r="AP388">
        <v>0</v>
      </c>
      <c r="AR388" t="s">
        <v>1</v>
      </c>
      <c r="AT388" s="2" t="s">
        <v>0</v>
      </c>
      <c r="AU388" s="1" t="e">
        <f t="shared" si="51"/>
        <v>#VALUE!</v>
      </c>
      <c r="AV388" s="1" t="e">
        <f t="shared" si="52"/>
        <v>#VALUE!</v>
      </c>
      <c r="AW388" s="1" t="e">
        <f t="shared" si="53"/>
        <v>#VALUE!</v>
      </c>
    </row>
    <row r="389" spans="1:49" x14ac:dyDescent="0.2">
      <c r="A389">
        <v>387</v>
      </c>
      <c r="B389" t="s">
        <v>8647</v>
      </c>
      <c r="C389" t="s">
        <v>8646</v>
      </c>
      <c r="F389" t="s">
        <v>8645</v>
      </c>
      <c r="G389" t="s">
        <v>15</v>
      </c>
      <c r="H389" t="s">
        <v>14</v>
      </c>
      <c r="I389" t="s">
        <v>8644</v>
      </c>
      <c r="J389">
        <v>60000759</v>
      </c>
      <c r="K389" t="s">
        <v>8643</v>
      </c>
      <c r="L389" t="s">
        <v>8642</v>
      </c>
      <c r="M389" t="s">
        <v>576</v>
      </c>
      <c r="N389">
        <v>2</v>
      </c>
      <c r="O389" t="s">
        <v>8641</v>
      </c>
      <c r="P389" t="s">
        <v>8640</v>
      </c>
      <c r="Q389" t="s">
        <v>8639</v>
      </c>
      <c r="R389" s="7">
        <v>33970</v>
      </c>
      <c r="S389" s="8">
        <f t="shared" si="48"/>
        <v>1993</v>
      </c>
      <c r="T389" s="8">
        <v>1993</v>
      </c>
      <c r="U389" s="8">
        <f t="shared" si="49"/>
        <v>29</v>
      </c>
      <c r="V389" s="7">
        <v>34060</v>
      </c>
      <c r="W389" t="s">
        <v>8638</v>
      </c>
      <c r="X389" s="2">
        <v>0.67700000000000005</v>
      </c>
      <c r="Y389" s="6">
        <f t="shared" si="54"/>
        <v>1.8072128346814022E-2</v>
      </c>
      <c r="AA389">
        <v>34746</v>
      </c>
      <c r="AB389">
        <v>13013</v>
      </c>
      <c r="AC389">
        <v>17447348</v>
      </c>
      <c r="AD389" t="s">
        <v>5</v>
      </c>
      <c r="AE389">
        <v>122</v>
      </c>
      <c r="AF389">
        <v>2</v>
      </c>
      <c r="AH389" t="s">
        <v>8637</v>
      </c>
      <c r="AI389" t="s">
        <v>8636</v>
      </c>
      <c r="AJ389" t="s">
        <v>8635</v>
      </c>
      <c r="AK389" t="s">
        <v>8634</v>
      </c>
      <c r="AL389">
        <v>7</v>
      </c>
      <c r="AM389" s="5">
        <f t="shared" si="50"/>
        <v>0.2413793103448276</v>
      </c>
      <c r="AN389" s="4">
        <f t="shared" si="55"/>
        <v>3.655877475877737E-4</v>
      </c>
      <c r="AO389" s="3"/>
      <c r="AP389">
        <v>0</v>
      </c>
      <c r="AR389" t="s">
        <v>1</v>
      </c>
      <c r="AT389" s="2">
        <v>2.75</v>
      </c>
      <c r="AU389" s="1">
        <f t="shared" si="51"/>
        <v>1.2760166167046147</v>
      </c>
      <c r="AV389" s="1">
        <f t="shared" si="52"/>
        <v>0.92188580472008974</v>
      </c>
      <c r="AW389" s="1">
        <f t="shared" si="53"/>
        <v>0.56775499273556473</v>
      </c>
    </row>
    <row r="390" spans="1:49" x14ac:dyDescent="0.2">
      <c r="A390">
        <v>388</v>
      </c>
      <c r="B390" t="s">
        <v>8633</v>
      </c>
      <c r="C390" t="s">
        <v>8632</v>
      </c>
      <c r="D390" t="s">
        <v>8631</v>
      </c>
      <c r="F390" t="s">
        <v>8630</v>
      </c>
      <c r="G390" t="s">
        <v>15</v>
      </c>
      <c r="H390" t="s">
        <v>14</v>
      </c>
      <c r="I390" t="s">
        <v>8629</v>
      </c>
      <c r="J390">
        <v>60100934</v>
      </c>
      <c r="K390" t="s">
        <v>8628</v>
      </c>
      <c r="L390" t="s">
        <v>8627</v>
      </c>
      <c r="M390" t="s">
        <v>8626</v>
      </c>
      <c r="N390">
        <v>4</v>
      </c>
      <c r="O390" t="s">
        <v>8625</v>
      </c>
      <c r="P390" t="s">
        <v>8624</v>
      </c>
      <c r="Q390" t="s">
        <v>8623</v>
      </c>
      <c r="R390" s="7">
        <v>33970</v>
      </c>
      <c r="S390" s="8">
        <f t="shared" si="48"/>
        <v>1993</v>
      </c>
      <c r="T390" s="8">
        <v>1993</v>
      </c>
      <c r="U390" s="8">
        <f t="shared" si="49"/>
        <v>29</v>
      </c>
      <c r="V390" s="7" t="s">
        <v>8622</v>
      </c>
      <c r="W390" t="s">
        <v>8621</v>
      </c>
      <c r="X390" s="2">
        <v>0.82299999999999995</v>
      </c>
      <c r="Y390" s="6">
        <f t="shared" si="54"/>
        <v>2.1969514962227384E-2</v>
      </c>
      <c r="AA390">
        <v>2643707</v>
      </c>
      <c r="AB390">
        <v>28441</v>
      </c>
      <c r="AD390" t="s">
        <v>5</v>
      </c>
      <c r="AE390">
        <v>18</v>
      </c>
      <c r="AF390" s="9">
        <v>44287</v>
      </c>
      <c r="AH390" t="s">
        <v>8620</v>
      </c>
      <c r="AI390" t="s">
        <v>8619</v>
      </c>
      <c r="AK390" t="s">
        <v>8618</v>
      </c>
      <c r="AL390">
        <v>3</v>
      </c>
      <c r="AM390" s="5">
        <f t="shared" si="50"/>
        <v>0.10344827586206896</v>
      </c>
      <c r="AN390" s="4">
        <f t="shared" si="55"/>
        <v>1.5668046325190301E-4</v>
      </c>
      <c r="AO390" s="3"/>
      <c r="AP390">
        <v>0</v>
      </c>
      <c r="AR390" t="s">
        <v>1</v>
      </c>
      <c r="AT390" s="2">
        <v>2.3450000000000002</v>
      </c>
      <c r="AU390" s="1">
        <f t="shared" si="51"/>
        <v>1.542566461253474</v>
      </c>
      <c r="AV390" s="1">
        <f t="shared" si="52"/>
        <v>1.1063097712739642</v>
      </c>
      <c r="AW390" s="1">
        <f t="shared" si="53"/>
        <v>0.67005308129445462</v>
      </c>
    </row>
    <row r="391" spans="1:49" x14ac:dyDescent="0.2">
      <c r="A391">
        <v>389</v>
      </c>
      <c r="B391" t="s">
        <v>8617</v>
      </c>
      <c r="C391" t="s">
        <v>8616</v>
      </c>
      <c r="F391" t="s">
        <v>8615</v>
      </c>
      <c r="G391" t="s">
        <v>15</v>
      </c>
      <c r="H391" t="s">
        <v>14</v>
      </c>
      <c r="I391" t="s">
        <v>8614</v>
      </c>
      <c r="J391" t="s">
        <v>8613</v>
      </c>
      <c r="K391" t="s">
        <v>8612</v>
      </c>
      <c r="L391" t="s">
        <v>8611</v>
      </c>
      <c r="M391" t="s">
        <v>235</v>
      </c>
      <c r="N391">
        <v>5</v>
      </c>
      <c r="O391" t="s">
        <v>8610</v>
      </c>
      <c r="P391" t="s">
        <v>8609</v>
      </c>
      <c r="Q391" t="s">
        <v>8608</v>
      </c>
      <c r="R391" s="7">
        <v>33970</v>
      </c>
      <c r="S391" s="8">
        <f t="shared" si="48"/>
        <v>1993</v>
      </c>
      <c r="T391" s="8">
        <v>1993</v>
      </c>
      <c r="U391" s="8">
        <f t="shared" si="49"/>
        <v>29</v>
      </c>
      <c r="V391" s="7">
        <v>34304</v>
      </c>
      <c r="W391" t="s">
        <v>8607</v>
      </c>
      <c r="X391" s="2">
        <v>0.53700000000000003</v>
      </c>
      <c r="Y391" s="6">
        <f t="shared" si="54"/>
        <v>1.4334908304636823E-2</v>
      </c>
      <c r="AA391">
        <v>189499</v>
      </c>
      <c r="AB391">
        <v>17368</v>
      </c>
      <c r="AC391">
        <v>15581578</v>
      </c>
      <c r="AD391" t="s">
        <v>5</v>
      </c>
      <c r="AE391">
        <v>40</v>
      </c>
      <c r="AF391">
        <v>6</v>
      </c>
      <c r="AH391" t="s">
        <v>8606</v>
      </c>
      <c r="AI391" t="s">
        <v>8605</v>
      </c>
      <c r="AK391" t="s">
        <v>8604</v>
      </c>
      <c r="AL391">
        <v>5</v>
      </c>
      <c r="AM391" s="5">
        <f t="shared" si="50"/>
        <v>0.17241379310344829</v>
      </c>
      <c r="AN391" s="4">
        <f t="shared" si="55"/>
        <v>2.6113410541983838E-4</v>
      </c>
      <c r="AO391" s="3"/>
      <c r="AP391">
        <v>0</v>
      </c>
      <c r="AR391" t="s">
        <v>1</v>
      </c>
      <c r="AT391" s="2">
        <v>1.679</v>
      </c>
      <c r="AU391" s="1">
        <f t="shared" si="51"/>
        <v>1.0112776044871727</v>
      </c>
      <c r="AV391" s="1">
        <f t="shared" si="52"/>
        <v>0.72980212050283311</v>
      </c>
      <c r="AW391" s="1">
        <f t="shared" si="53"/>
        <v>0.4483266365184933</v>
      </c>
    </row>
    <row r="392" spans="1:49" x14ac:dyDescent="0.2">
      <c r="A392">
        <v>390</v>
      </c>
      <c r="B392" t="s">
        <v>8603</v>
      </c>
      <c r="C392" t="s">
        <v>8602</v>
      </c>
      <c r="F392" t="s">
        <v>8601</v>
      </c>
      <c r="G392" t="s">
        <v>15</v>
      </c>
      <c r="H392" t="s">
        <v>14</v>
      </c>
      <c r="I392" t="s">
        <v>8600</v>
      </c>
      <c r="J392" t="s">
        <v>8599</v>
      </c>
      <c r="K392" t="s">
        <v>8598</v>
      </c>
      <c r="L392" t="s">
        <v>8597</v>
      </c>
      <c r="M392" t="s">
        <v>235</v>
      </c>
      <c r="N392">
        <v>4</v>
      </c>
      <c r="O392" t="s">
        <v>8596</v>
      </c>
      <c r="P392" t="s">
        <v>8595</v>
      </c>
      <c r="Q392" t="s">
        <v>8594</v>
      </c>
      <c r="R392" s="7">
        <v>33970</v>
      </c>
      <c r="S392" s="8">
        <f t="shared" si="48"/>
        <v>1993</v>
      </c>
      <c r="T392" s="8">
        <v>1993</v>
      </c>
      <c r="U392" s="8">
        <f t="shared" si="49"/>
        <v>29</v>
      </c>
      <c r="V392" s="7">
        <v>34121</v>
      </c>
      <c r="W392" t="s">
        <v>8499</v>
      </c>
      <c r="X392" s="2">
        <v>0.91800000000000004</v>
      </c>
      <c r="Y392" s="6">
        <f t="shared" si="54"/>
        <v>2.4505485705133341E-2</v>
      </c>
      <c r="AA392">
        <v>1431161</v>
      </c>
      <c r="AB392">
        <v>22674</v>
      </c>
      <c r="AC392">
        <v>13665901</v>
      </c>
      <c r="AD392" t="s">
        <v>5</v>
      </c>
      <c r="AE392">
        <v>14</v>
      </c>
      <c r="AF392">
        <v>9</v>
      </c>
      <c r="AH392" t="s">
        <v>8593</v>
      </c>
      <c r="AI392" t="s">
        <v>8592</v>
      </c>
      <c r="AK392" t="s">
        <v>8591</v>
      </c>
      <c r="AL392">
        <v>0</v>
      </c>
      <c r="AM392" s="5">
        <f t="shared" si="50"/>
        <v>0</v>
      </c>
      <c r="AN392" s="4">
        <f t="shared" si="55"/>
        <v>0</v>
      </c>
      <c r="AO392" s="3"/>
      <c r="AP392">
        <v>0</v>
      </c>
      <c r="AR392" t="s">
        <v>8590</v>
      </c>
      <c r="AT392" s="2" t="s">
        <v>0</v>
      </c>
      <c r="AU392" s="1">
        <f t="shared" si="51"/>
        <v>1.7153839993593336</v>
      </c>
      <c r="AV392" s="1">
        <f t="shared" si="52"/>
        <v>1.2252742852566672</v>
      </c>
      <c r="AW392" s="1">
        <f t="shared" si="53"/>
        <v>0.73516457115400013</v>
      </c>
    </row>
    <row r="393" spans="1:49" x14ac:dyDescent="0.2">
      <c r="A393">
        <v>391</v>
      </c>
      <c r="B393" t="s">
        <v>8589</v>
      </c>
      <c r="C393" t="s">
        <v>8588</v>
      </c>
      <c r="F393" t="s">
        <v>8587</v>
      </c>
      <c r="G393" t="s">
        <v>15</v>
      </c>
      <c r="H393" t="s">
        <v>14</v>
      </c>
      <c r="I393" t="s">
        <v>8586</v>
      </c>
      <c r="J393">
        <v>60019816</v>
      </c>
      <c r="K393" t="s">
        <v>8585</v>
      </c>
      <c r="L393" t="s">
        <v>7962</v>
      </c>
      <c r="M393" t="s">
        <v>721</v>
      </c>
      <c r="N393">
        <v>2</v>
      </c>
      <c r="O393" t="s">
        <v>8584</v>
      </c>
      <c r="P393" t="s">
        <v>8583</v>
      </c>
      <c r="Q393" t="s">
        <v>8582</v>
      </c>
      <c r="R393" s="7">
        <v>33970</v>
      </c>
      <c r="S393" s="8">
        <f t="shared" si="48"/>
        <v>1993</v>
      </c>
      <c r="T393" s="8">
        <v>1993</v>
      </c>
      <c r="U393" s="8">
        <f t="shared" si="49"/>
        <v>29</v>
      </c>
      <c r="V393" s="7">
        <v>1993</v>
      </c>
      <c r="W393" t="s">
        <v>8581</v>
      </c>
      <c r="X393" s="2">
        <v>0.73699999999999999</v>
      </c>
      <c r="Y393" s="6">
        <f t="shared" si="54"/>
        <v>1.9673794079175678E-2</v>
      </c>
      <c r="AA393">
        <v>57959</v>
      </c>
      <c r="AB393">
        <v>24713</v>
      </c>
      <c r="AC393" t="s">
        <v>8580</v>
      </c>
      <c r="AD393" t="s">
        <v>5</v>
      </c>
      <c r="AE393">
        <v>125</v>
      </c>
      <c r="AF393" s="9">
        <v>44228</v>
      </c>
      <c r="AH393" s="10">
        <v>43466</v>
      </c>
      <c r="AI393" t="s">
        <v>8579</v>
      </c>
      <c r="AK393" t="s">
        <v>8578</v>
      </c>
      <c r="AL393">
        <v>8</v>
      </c>
      <c r="AM393" s="5">
        <f t="shared" si="50"/>
        <v>0.27586206896551724</v>
      </c>
      <c r="AN393" s="4">
        <f t="shared" si="55"/>
        <v>4.1781456867174139E-4</v>
      </c>
      <c r="AO393" s="3"/>
      <c r="AP393">
        <v>0</v>
      </c>
      <c r="AR393" t="s">
        <v>1</v>
      </c>
      <c r="AT393" s="2">
        <v>1.9910000000000001</v>
      </c>
      <c r="AU393" s="1">
        <f t="shared" si="51"/>
        <v>1.3897000226024496</v>
      </c>
      <c r="AV393" s="1">
        <f t="shared" si="52"/>
        <v>1.0045804323923708</v>
      </c>
      <c r="AW393" s="1">
        <f t="shared" si="53"/>
        <v>0.61946084218229225</v>
      </c>
    </row>
    <row r="394" spans="1:49" x14ac:dyDescent="0.2">
      <c r="A394">
        <v>392</v>
      </c>
      <c r="B394" t="s">
        <v>8577</v>
      </c>
      <c r="C394" t="s">
        <v>8576</v>
      </c>
      <c r="F394" t="s">
        <v>8575</v>
      </c>
      <c r="G394" t="s">
        <v>15</v>
      </c>
      <c r="H394" t="s">
        <v>14</v>
      </c>
      <c r="I394" t="s">
        <v>8574</v>
      </c>
      <c r="J394">
        <v>60025949</v>
      </c>
      <c r="K394" t="s">
        <v>8573</v>
      </c>
      <c r="L394" t="s">
        <v>8572</v>
      </c>
      <c r="M394" t="s">
        <v>508</v>
      </c>
      <c r="N394">
        <v>2</v>
      </c>
      <c r="O394" t="s">
        <v>8571</v>
      </c>
      <c r="P394" t="s">
        <v>8570</v>
      </c>
      <c r="Q394" t="s">
        <v>8569</v>
      </c>
      <c r="R394" s="7">
        <v>33970</v>
      </c>
      <c r="S394" s="8">
        <f t="shared" si="48"/>
        <v>1993</v>
      </c>
      <c r="T394" s="8">
        <v>1993</v>
      </c>
      <c r="U394" s="8">
        <f t="shared" si="49"/>
        <v>29</v>
      </c>
      <c r="V394" s="7">
        <v>34060</v>
      </c>
      <c r="W394" t="s">
        <v>8568</v>
      </c>
      <c r="X394" s="2" t="s">
        <v>0</v>
      </c>
      <c r="Y394" s="6" t="e">
        <f t="shared" si="54"/>
        <v>#VALUE!</v>
      </c>
      <c r="AA394" t="s">
        <v>8567</v>
      </c>
      <c r="AB394">
        <v>19716</v>
      </c>
      <c r="AC394">
        <v>19183240</v>
      </c>
      <c r="AD394" t="s">
        <v>5</v>
      </c>
      <c r="AE394">
        <v>125</v>
      </c>
      <c r="AF394">
        <v>2</v>
      </c>
      <c r="AH394" t="s">
        <v>8566</v>
      </c>
      <c r="AI394" t="s">
        <v>8565</v>
      </c>
      <c r="AK394" t="s">
        <v>8564</v>
      </c>
      <c r="AL394">
        <v>5</v>
      </c>
      <c r="AM394" s="5">
        <f t="shared" si="50"/>
        <v>0.17241379310344829</v>
      </c>
      <c r="AN394" s="4">
        <f t="shared" si="55"/>
        <v>2.6113410541983838E-4</v>
      </c>
      <c r="AO394" s="3"/>
      <c r="AP394">
        <v>0</v>
      </c>
      <c r="AQ394" t="s">
        <v>5121</v>
      </c>
      <c r="AR394" t="s">
        <v>8563</v>
      </c>
      <c r="AS394" t="s">
        <v>5120</v>
      </c>
      <c r="AT394" s="2" t="s">
        <v>0</v>
      </c>
      <c r="AU394" s="1" t="e">
        <f t="shared" si="51"/>
        <v>#VALUE!</v>
      </c>
      <c r="AV394" s="1" t="e">
        <f t="shared" si="52"/>
        <v>#VALUE!</v>
      </c>
      <c r="AW394" s="1" t="e">
        <f t="shared" si="53"/>
        <v>#VALUE!</v>
      </c>
    </row>
    <row r="395" spans="1:49" x14ac:dyDescent="0.2">
      <c r="A395">
        <v>393</v>
      </c>
      <c r="B395" t="s">
        <v>8562</v>
      </c>
      <c r="C395" t="s">
        <v>8561</v>
      </c>
      <c r="D395" t="s">
        <v>8560</v>
      </c>
      <c r="F395" t="s">
        <v>8559</v>
      </c>
      <c r="G395" t="s">
        <v>15</v>
      </c>
      <c r="H395" t="s">
        <v>14</v>
      </c>
      <c r="I395" t="s">
        <v>8558</v>
      </c>
      <c r="J395" t="s">
        <v>8557</v>
      </c>
      <c r="K395" t="s">
        <v>8556</v>
      </c>
      <c r="L395" t="s">
        <v>8555</v>
      </c>
      <c r="M395" t="s">
        <v>8031</v>
      </c>
      <c r="N395">
        <v>3</v>
      </c>
      <c r="O395" t="s">
        <v>8554</v>
      </c>
      <c r="P395" t="s">
        <v>8553</v>
      </c>
      <c r="Q395" t="s">
        <v>8552</v>
      </c>
      <c r="R395" s="7">
        <v>33970</v>
      </c>
      <c r="S395" s="8">
        <f t="shared" si="48"/>
        <v>1993</v>
      </c>
      <c r="T395" s="8">
        <v>1993</v>
      </c>
      <c r="U395" s="8">
        <f t="shared" si="49"/>
        <v>29</v>
      </c>
      <c r="V395" s="7">
        <v>34304</v>
      </c>
      <c r="W395" t="s">
        <v>8551</v>
      </c>
      <c r="X395" s="2">
        <v>1.1359999999999999</v>
      </c>
      <c r="Y395" s="6">
        <f t="shared" si="54"/>
        <v>3.0324871199380689E-2</v>
      </c>
      <c r="AA395">
        <v>1676105</v>
      </c>
      <c r="AB395">
        <v>110486</v>
      </c>
      <c r="AD395" t="s">
        <v>5</v>
      </c>
      <c r="AE395">
        <v>50</v>
      </c>
      <c r="AF395" t="s">
        <v>4857</v>
      </c>
      <c r="AH395" t="s">
        <v>8550</v>
      </c>
      <c r="AI395" t="s">
        <v>8549</v>
      </c>
      <c r="AK395" t="s">
        <v>8548</v>
      </c>
      <c r="AL395">
        <v>13</v>
      </c>
      <c r="AM395" s="5">
        <f t="shared" si="50"/>
        <v>0.44827586206896552</v>
      </c>
      <c r="AN395" s="4">
        <f t="shared" si="55"/>
        <v>6.7894867409157972E-4</v>
      </c>
      <c r="AO395" s="3"/>
      <c r="AP395">
        <v>0</v>
      </c>
      <c r="AR395" t="s">
        <v>1</v>
      </c>
      <c r="AT395" s="2" t="s">
        <v>0</v>
      </c>
      <c r="AU395" s="1">
        <f t="shared" si="51"/>
        <v>2.1431094441793959</v>
      </c>
      <c r="AV395" s="1">
        <f t="shared" si="52"/>
        <v>1.5501909936736133</v>
      </c>
      <c r="AW395" s="1">
        <f t="shared" si="53"/>
        <v>0.95727254316783117</v>
      </c>
    </row>
    <row r="396" spans="1:49" x14ac:dyDescent="0.2">
      <c r="A396">
        <v>394</v>
      </c>
      <c r="B396" t="s">
        <v>8547</v>
      </c>
      <c r="C396" t="s">
        <v>8546</v>
      </c>
      <c r="F396" t="s">
        <v>8545</v>
      </c>
      <c r="G396" t="s">
        <v>15</v>
      </c>
      <c r="H396" t="s">
        <v>14</v>
      </c>
      <c r="I396" t="s">
        <v>8544</v>
      </c>
      <c r="J396">
        <v>60012468</v>
      </c>
      <c r="K396" t="s">
        <v>8543</v>
      </c>
      <c r="L396" t="s">
        <v>8542</v>
      </c>
      <c r="M396" t="s">
        <v>508</v>
      </c>
      <c r="N396">
        <v>3</v>
      </c>
      <c r="O396" t="s">
        <v>8541</v>
      </c>
      <c r="P396" t="s">
        <v>8540</v>
      </c>
      <c r="Q396" t="s">
        <v>8539</v>
      </c>
      <c r="R396" s="7">
        <v>33970</v>
      </c>
      <c r="S396" s="8">
        <f t="shared" si="48"/>
        <v>1993</v>
      </c>
      <c r="T396" s="8">
        <v>1993</v>
      </c>
      <c r="U396" s="8">
        <f t="shared" si="49"/>
        <v>29</v>
      </c>
      <c r="V396" s="7" t="s">
        <v>8538</v>
      </c>
      <c r="W396" t="s">
        <v>8537</v>
      </c>
      <c r="X396" s="2" t="s">
        <v>0</v>
      </c>
      <c r="Y396" s="6" t="e">
        <f t="shared" si="54"/>
        <v>#VALUE!</v>
      </c>
      <c r="AA396">
        <v>3151468</v>
      </c>
      <c r="AB396">
        <v>14976</v>
      </c>
      <c r="AD396" t="s">
        <v>5</v>
      </c>
      <c r="AE396">
        <v>20</v>
      </c>
      <c r="AF396">
        <v>6</v>
      </c>
      <c r="AH396" t="s">
        <v>8536</v>
      </c>
      <c r="AI396" t="s">
        <v>8535</v>
      </c>
      <c r="AK396" t="s">
        <v>8534</v>
      </c>
      <c r="AL396">
        <v>2</v>
      </c>
      <c r="AM396" s="5">
        <f t="shared" si="50"/>
        <v>6.8965517241379309E-2</v>
      </c>
      <c r="AN396" s="4">
        <f t="shared" si="55"/>
        <v>1.0445364216793535E-4</v>
      </c>
      <c r="AO396" s="3"/>
      <c r="AP396">
        <v>0</v>
      </c>
      <c r="AR396" t="s">
        <v>1</v>
      </c>
      <c r="AT396" s="2">
        <v>1.38</v>
      </c>
      <c r="AU396" s="1" t="e">
        <f t="shared" si="51"/>
        <v>#VALUE!</v>
      </c>
      <c r="AV396" s="1" t="e">
        <f t="shared" si="52"/>
        <v>#VALUE!</v>
      </c>
      <c r="AW396" s="1" t="e">
        <f t="shared" si="53"/>
        <v>#VALUE!</v>
      </c>
    </row>
    <row r="397" spans="1:49" x14ac:dyDescent="0.2">
      <c r="A397">
        <v>395</v>
      </c>
      <c r="B397" t="s">
        <v>8533</v>
      </c>
      <c r="C397" t="s">
        <v>8532</v>
      </c>
      <c r="F397" t="s">
        <v>8531</v>
      </c>
      <c r="G397" t="s">
        <v>15</v>
      </c>
      <c r="H397" t="s">
        <v>14</v>
      </c>
      <c r="I397" t="s">
        <v>8530</v>
      </c>
      <c r="N397">
        <v>4</v>
      </c>
      <c r="O397" t="s">
        <v>8529</v>
      </c>
      <c r="P397" t="s">
        <v>8528</v>
      </c>
      <c r="Q397" t="s">
        <v>6458</v>
      </c>
      <c r="R397" s="7">
        <v>33970</v>
      </c>
      <c r="S397" s="8">
        <f t="shared" si="48"/>
        <v>1993</v>
      </c>
      <c r="T397" s="8">
        <v>1993</v>
      </c>
      <c r="U397" s="8">
        <f t="shared" si="49"/>
        <v>29</v>
      </c>
      <c r="V397" s="7">
        <v>1993</v>
      </c>
      <c r="W397" t="s">
        <v>8527</v>
      </c>
      <c r="X397" s="2" t="s">
        <v>0</v>
      </c>
      <c r="Y397" s="6" t="e">
        <f t="shared" si="54"/>
        <v>#VALUE!</v>
      </c>
      <c r="AA397" t="s">
        <v>8526</v>
      </c>
      <c r="AB397">
        <v>36736</v>
      </c>
      <c r="AD397" t="s">
        <v>5</v>
      </c>
      <c r="AE397">
        <v>8</v>
      </c>
      <c r="AF397">
        <v>3</v>
      </c>
      <c r="AH397" t="s">
        <v>8525</v>
      </c>
      <c r="AI397" t="s">
        <v>8524</v>
      </c>
      <c r="AK397" t="s">
        <v>8523</v>
      </c>
      <c r="AL397">
        <v>17</v>
      </c>
      <c r="AM397" s="5">
        <f t="shared" si="50"/>
        <v>0.58620689655172409</v>
      </c>
      <c r="AN397" s="4">
        <f t="shared" si="55"/>
        <v>8.8785595842745036E-4</v>
      </c>
      <c r="AO397" s="3"/>
      <c r="AP397">
        <v>0</v>
      </c>
      <c r="AR397" t="s">
        <v>1</v>
      </c>
      <c r="AT397" s="2" t="s">
        <v>0</v>
      </c>
      <c r="AU397" s="1" t="e">
        <f t="shared" si="51"/>
        <v>#VALUE!</v>
      </c>
      <c r="AV397" s="1" t="e">
        <f t="shared" si="52"/>
        <v>#VALUE!</v>
      </c>
      <c r="AW397" s="1" t="e">
        <f t="shared" si="53"/>
        <v>#VALUE!</v>
      </c>
    </row>
    <row r="398" spans="1:49" x14ac:dyDescent="0.2">
      <c r="A398">
        <v>396</v>
      </c>
      <c r="B398" t="s">
        <v>8522</v>
      </c>
      <c r="C398" t="s">
        <v>8521</v>
      </c>
      <c r="F398" t="s">
        <v>8520</v>
      </c>
      <c r="G398" t="s">
        <v>15</v>
      </c>
      <c r="H398" t="s">
        <v>14</v>
      </c>
      <c r="I398" t="s">
        <v>8519</v>
      </c>
      <c r="J398" t="s">
        <v>8513</v>
      </c>
      <c r="K398" t="s">
        <v>8518</v>
      </c>
      <c r="L398" t="s">
        <v>8517</v>
      </c>
      <c r="M398" t="s">
        <v>8516</v>
      </c>
      <c r="N398">
        <v>2</v>
      </c>
      <c r="O398" t="s">
        <v>8515</v>
      </c>
      <c r="P398" t="s">
        <v>8514</v>
      </c>
      <c r="Q398" t="s">
        <v>8513</v>
      </c>
      <c r="R398" s="7">
        <v>33970</v>
      </c>
      <c r="S398" s="8">
        <f t="shared" si="48"/>
        <v>1993</v>
      </c>
      <c r="T398" s="8">
        <v>1993</v>
      </c>
      <c r="U398" s="8">
        <f t="shared" si="49"/>
        <v>29</v>
      </c>
      <c r="V398" s="7">
        <v>34274</v>
      </c>
      <c r="W398" t="s">
        <v>8499</v>
      </c>
      <c r="X398" s="2">
        <v>0.91800000000000004</v>
      </c>
      <c r="Y398" s="6">
        <f t="shared" si="54"/>
        <v>2.4505485705133341E-2</v>
      </c>
      <c r="AA398">
        <v>1431161</v>
      </c>
      <c r="AB398">
        <v>22674</v>
      </c>
      <c r="AC398">
        <v>13665901</v>
      </c>
      <c r="AD398" t="s">
        <v>5</v>
      </c>
      <c r="AE398">
        <v>14</v>
      </c>
      <c r="AF398">
        <v>16</v>
      </c>
      <c r="AH398" t="s">
        <v>8512</v>
      </c>
      <c r="AI398" t="s">
        <v>8511</v>
      </c>
      <c r="AK398" t="s">
        <v>8510</v>
      </c>
      <c r="AL398">
        <v>18</v>
      </c>
      <c r="AM398" s="5">
        <f t="shared" si="50"/>
        <v>0.62068965517241381</v>
      </c>
      <c r="AN398" s="4">
        <f t="shared" si="55"/>
        <v>9.4008277951141816E-4</v>
      </c>
      <c r="AO398" s="3"/>
      <c r="AP398">
        <v>0</v>
      </c>
      <c r="AR398" t="s">
        <v>1</v>
      </c>
      <c r="AT398" s="2" t="s">
        <v>0</v>
      </c>
      <c r="AU398" s="1">
        <f t="shared" si="51"/>
        <v>1.7435864827446763</v>
      </c>
      <c r="AV398" s="1">
        <f t="shared" si="52"/>
        <v>1.272278424232238</v>
      </c>
      <c r="AW398" s="1">
        <f t="shared" si="53"/>
        <v>0.8009703657197994</v>
      </c>
    </row>
    <row r="399" spans="1:49" x14ac:dyDescent="0.2">
      <c r="A399">
        <v>397</v>
      </c>
      <c r="B399" t="s">
        <v>8509</v>
      </c>
      <c r="C399" t="s">
        <v>8508</v>
      </c>
      <c r="F399" t="s">
        <v>8507</v>
      </c>
      <c r="G399" t="s">
        <v>15</v>
      </c>
      <c r="H399" t="s">
        <v>14</v>
      </c>
      <c r="I399" t="s">
        <v>8506</v>
      </c>
      <c r="J399" t="s">
        <v>8505</v>
      </c>
      <c r="K399" t="s">
        <v>8504</v>
      </c>
      <c r="L399" t="s">
        <v>8503</v>
      </c>
      <c r="M399" t="s">
        <v>2629</v>
      </c>
      <c r="N399">
        <v>9</v>
      </c>
      <c r="O399" t="s">
        <v>8502</v>
      </c>
      <c r="P399" t="s">
        <v>8501</v>
      </c>
      <c r="Q399" t="s">
        <v>8500</v>
      </c>
      <c r="R399" s="7">
        <v>33970</v>
      </c>
      <c r="S399" s="8">
        <f t="shared" si="48"/>
        <v>1993</v>
      </c>
      <c r="T399" s="8">
        <v>1993</v>
      </c>
      <c r="U399" s="8">
        <f t="shared" si="49"/>
        <v>29</v>
      </c>
      <c r="V399" s="7">
        <v>34274</v>
      </c>
      <c r="W399" t="s">
        <v>8499</v>
      </c>
      <c r="X399" s="2">
        <v>0.91800000000000004</v>
      </c>
      <c r="Y399" s="6">
        <f t="shared" si="54"/>
        <v>2.4505485705133341E-2</v>
      </c>
      <c r="AA399">
        <v>1431161</v>
      </c>
      <c r="AB399">
        <v>22674</v>
      </c>
      <c r="AC399">
        <v>13665901</v>
      </c>
      <c r="AD399" t="s">
        <v>5</v>
      </c>
      <c r="AE399">
        <v>14</v>
      </c>
      <c r="AF399">
        <v>16</v>
      </c>
      <c r="AH399" t="s">
        <v>8498</v>
      </c>
      <c r="AI399" t="s">
        <v>8497</v>
      </c>
      <c r="AK399" t="s">
        <v>8496</v>
      </c>
      <c r="AL399">
        <v>0</v>
      </c>
      <c r="AM399" s="5">
        <f t="shared" si="50"/>
        <v>0</v>
      </c>
      <c r="AN399" s="4">
        <f t="shared" si="55"/>
        <v>0</v>
      </c>
      <c r="AO399" s="3"/>
      <c r="AP399">
        <v>0</v>
      </c>
      <c r="AR399" t="s">
        <v>1</v>
      </c>
      <c r="AT399" s="2" t="s">
        <v>0</v>
      </c>
      <c r="AU399" s="1">
        <f t="shared" si="51"/>
        <v>1.7153839993593336</v>
      </c>
      <c r="AV399" s="1">
        <f t="shared" si="52"/>
        <v>1.2252742852566672</v>
      </c>
      <c r="AW399" s="1">
        <f t="shared" si="53"/>
        <v>0.73516457115400013</v>
      </c>
    </row>
    <row r="400" spans="1:49" x14ac:dyDescent="0.2">
      <c r="A400">
        <v>398</v>
      </c>
      <c r="B400" t="s">
        <v>8495</v>
      </c>
      <c r="F400" t="s">
        <v>8494</v>
      </c>
      <c r="G400" t="s">
        <v>15</v>
      </c>
      <c r="H400" t="s">
        <v>14</v>
      </c>
      <c r="I400" t="s">
        <v>8493</v>
      </c>
      <c r="N400">
        <v>4</v>
      </c>
      <c r="O400" t="s">
        <v>8492</v>
      </c>
      <c r="P400" t="s">
        <v>8491</v>
      </c>
      <c r="Q400" t="s">
        <v>6458</v>
      </c>
      <c r="R400" s="7">
        <v>33970</v>
      </c>
      <c r="S400" s="8">
        <f t="shared" si="48"/>
        <v>1993</v>
      </c>
      <c r="T400" s="8">
        <v>1993</v>
      </c>
      <c r="U400" s="8">
        <f t="shared" si="49"/>
        <v>29</v>
      </c>
      <c r="V400" s="7">
        <v>1993</v>
      </c>
      <c r="W400" t="s">
        <v>8482</v>
      </c>
      <c r="X400" s="2" t="s">
        <v>0</v>
      </c>
      <c r="Y400" s="6" t="e">
        <f t="shared" si="54"/>
        <v>#VALUE!</v>
      </c>
      <c r="AB400">
        <v>12366</v>
      </c>
      <c r="AD400" t="s">
        <v>5</v>
      </c>
      <c r="AE400">
        <v>59</v>
      </c>
      <c r="AF400">
        <v>11</v>
      </c>
      <c r="AH400" t="s">
        <v>8490</v>
      </c>
      <c r="AI400" t="s">
        <v>8489</v>
      </c>
      <c r="AK400" t="s">
        <v>8488</v>
      </c>
      <c r="AL400">
        <v>130</v>
      </c>
      <c r="AM400" s="5">
        <f t="shared" si="50"/>
        <v>4.4827586206896548</v>
      </c>
      <c r="AN400" s="4">
        <f t="shared" si="55"/>
        <v>6.7894867409157966E-3</v>
      </c>
      <c r="AO400" s="3"/>
      <c r="AP400">
        <v>0</v>
      </c>
      <c r="AR400" t="s">
        <v>1</v>
      </c>
      <c r="AT400" s="2" t="s">
        <v>0</v>
      </c>
      <c r="AU400" s="1" t="e">
        <f t="shared" si="51"/>
        <v>#VALUE!</v>
      </c>
      <c r="AV400" s="1" t="e">
        <f t="shared" si="52"/>
        <v>#VALUE!</v>
      </c>
      <c r="AW400" s="1" t="e">
        <f t="shared" si="53"/>
        <v>#VALUE!</v>
      </c>
    </row>
    <row r="401" spans="1:49" x14ac:dyDescent="0.2">
      <c r="A401">
        <v>399</v>
      </c>
      <c r="B401" t="s">
        <v>8487</v>
      </c>
      <c r="F401" t="s">
        <v>8486</v>
      </c>
      <c r="G401" t="s">
        <v>15</v>
      </c>
      <c r="H401" t="s">
        <v>14</v>
      </c>
      <c r="I401" t="s">
        <v>8485</v>
      </c>
      <c r="N401">
        <v>2</v>
      </c>
      <c r="O401" t="s">
        <v>8484</v>
      </c>
      <c r="P401" t="s">
        <v>8483</v>
      </c>
      <c r="Q401" t="s">
        <v>1557</v>
      </c>
      <c r="R401" s="7">
        <v>33970</v>
      </c>
      <c r="S401" s="8">
        <f t="shared" si="48"/>
        <v>1993</v>
      </c>
      <c r="T401" s="8">
        <v>1993</v>
      </c>
      <c r="U401" s="8">
        <f t="shared" si="49"/>
        <v>29</v>
      </c>
      <c r="V401" s="7">
        <v>1993</v>
      </c>
      <c r="W401" t="s">
        <v>8482</v>
      </c>
      <c r="X401" s="2" t="s">
        <v>0</v>
      </c>
      <c r="Y401" s="6" t="e">
        <f t="shared" si="54"/>
        <v>#VALUE!</v>
      </c>
      <c r="AB401">
        <v>12366</v>
      </c>
      <c r="AD401" t="s">
        <v>5</v>
      </c>
      <c r="AE401">
        <v>59</v>
      </c>
      <c r="AF401">
        <v>11</v>
      </c>
      <c r="AH401" t="s">
        <v>8481</v>
      </c>
      <c r="AI401" t="s">
        <v>8480</v>
      </c>
      <c r="AK401" t="s">
        <v>8479</v>
      </c>
      <c r="AL401">
        <v>4</v>
      </c>
      <c r="AM401" s="5">
        <f t="shared" si="50"/>
        <v>0.13793103448275862</v>
      </c>
      <c r="AN401" s="4">
        <f t="shared" si="55"/>
        <v>2.089072843358707E-4</v>
      </c>
      <c r="AO401" s="3"/>
      <c r="AP401">
        <v>0</v>
      </c>
      <c r="AR401" t="s">
        <v>1</v>
      </c>
      <c r="AT401" s="2" t="s">
        <v>0</v>
      </c>
      <c r="AU401" s="1" t="e">
        <f t="shared" si="51"/>
        <v>#VALUE!</v>
      </c>
      <c r="AV401" s="1" t="e">
        <f t="shared" si="52"/>
        <v>#VALUE!</v>
      </c>
      <c r="AW401" s="1" t="e">
        <f t="shared" si="53"/>
        <v>#VALUE!</v>
      </c>
    </row>
    <row r="402" spans="1:49" x14ac:dyDescent="0.2">
      <c r="A402">
        <v>400</v>
      </c>
      <c r="B402" t="s">
        <v>8478</v>
      </c>
      <c r="C402" t="s">
        <v>8477</v>
      </c>
      <c r="F402" t="s">
        <v>8476</v>
      </c>
      <c r="G402" t="s">
        <v>15</v>
      </c>
      <c r="H402" t="s">
        <v>14</v>
      </c>
      <c r="I402" t="s">
        <v>8475</v>
      </c>
      <c r="N402">
        <v>4</v>
      </c>
      <c r="O402" t="s">
        <v>8474</v>
      </c>
      <c r="P402" t="s">
        <v>8473</v>
      </c>
      <c r="Q402" t="s">
        <v>6458</v>
      </c>
      <c r="R402" s="7">
        <v>33970</v>
      </c>
      <c r="S402" s="8">
        <f t="shared" si="48"/>
        <v>1993</v>
      </c>
      <c r="T402" s="8">
        <v>1993</v>
      </c>
      <c r="U402" s="8">
        <f t="shared" si="49"/>
        <v>29</v>
      </c>
      <c r="V402" s="7">
        <v>1993</v>
      </c>
      <c r="W402" t="s">
        <v>8472</v>
      </c>
      <c r="X402" s="2">
        <v>1.1779999999999999</v>
      </c>
      <c r="Y402" s="6">
        <f t="shared" si="54"/>
        <v>3.1446037212033845E-2</v>
      </c>
      <c r="AA402">
        <v>168033</v>
      </c>
      <c r="AB402">
        <v>27965</v>
      </c>
      <c r="AD402" t="s">
        <v>5</v>
      </c>
      <c r="AE402">
        <v>58</v>
      </c>
      <c r="AF402">
        <v>10</v>
      </c>
      <c r="AH402" t="s">
        <v>8471</v>
      </c>
      <c r="AI402" t="s">
        <v>8470</v>
      </c>
      <c r="AK402" t="s">
        <v>8469</v>
      </c>
      <c r="AL402">
        <v>37</v>
      </c>
      <c r="AM402" s="5">
        <f t="shared" si="50"/>
        <v>1.2758620689655173</v>
      </c>
      <c r="AN402" s="4">
        <f t="shared" si="55"/>
        <v>1.9323923801068041E-3</v>
      </c>
      <c r="AO402" s="3"/>
      <c r="AP402">
        <v>0</v>
      </c>
      <c r="AR402" t="s">
        <v>1</v>
      </c>
      <c r="AT402" s="2">
        <v>2.9279999999999999</v>
      </c>
      <c r="AU402" s="1">
        <f t="shared" si="51"/>
        <v>2.2591943762455733</v>
      </c>
      <c r="AV402" s="1">
        <f t="shared" si="52"/>
        <v>1.6689214796070324</v>
      </c>
      <c r="AW402" s="1">
        <f t="shared" si="53"/>
        <v>1.0786485829684915</v>
      </c>
    </row>
    <row r="403" spans="1:49" x14ac:dyDescent="0.2">
      <c r="A403">
        <v>401</v>
      </c>
      <c r="B403" t="s">
        <v>8468</v>
      </c>
      <c r="C403" t="s">
        <v>8467</v>
      </c>
      <c r="E403">
        <v>7510772</v>
      </c>
      <c r="F403" t="s">
        <v>8466</v>
      </c>
      <c r="G403" t="s">
        <v>15</v>
      </c>
      <c r="H403" t="s">
        <v>14</v>
      </c>
      <c r="I403" t="s">
        <v>8465</v>
      </c>
      <c r="J403">
        <v>60009512</v>
      </c>
      <c r="K403" t="s">
        <v>1595</v>
      </c>
      <c r="L403" t="s">
        <v>1594</v>
      </c>
      <c r="M403" t="s">
        <v>818</v>
      </c>
      <c r="N403">
        <v>4</v>
      </c>
      <c r="O403" t="s">
        <v>8464</v>
      </c>
      <c r="P403" t="s">
        <v>8463</v>
      </c>
      <c r="Q403" t="s">
        <v>8462</v>
      </c>
      <c r="R403" s="7">
        <v>33970</v>
      </c>
      <c r="S403" s="8">
        <f t="shared" si="48"/>
        <v>1993</v>
      </c>
      <c r="T403" s="8">
        <v>1993</v>
      </c>
      <c r="U403" s="8">
        <f t="shared" si="49"/>
        <v>29</v>
      </c>
      <c r="V403" s="7">
        <v>1993</v>
      </c>
      <c r="W403" t="s">
        <v>8461</v>
      </c>
      <c r="X403" s="2">
        <v>1.498</v>
      </c>
      <c r="Y403" s="6">
        <f t="shared" si="54"/>
        <v>3.9988254451296015E-2</v>
      </c>
      <c r="AA403">
        <v>220795</v>
      </c>
      <c r="AB403">
        <v>26172</v>
      </c>
      <c r="AD403" t="s">
        <v>5</v>
      </c>
      <c r="AE403">
        <v>139</v>
      </c>
      <c r="AF403">
        <v>3</v>
      </c>
      <c r="AH403" t="s">
        <v>8460</v>
      </c>
      <c r="AI403" t="s">
        <v>8459</v>
      </c>
      <c r="AK403" t="s">
        <v>8458</v>
      </c>
      <c r="AL403">
        <v>11</v>
      </c>
      <c r="AM403" s="5">
        <f t="shared" si="50"/>
        <v>0.37931034482758619</v>
      </c>
      <c r="AN403" s="4">
        <f t="shared" si="55"/>
        <v>5.7449503192364435E-4</v>
      </c>
      <c r="AO403" s="3"/>
      <c r="AP403">
        <v>0</v>
      </c>
      <c r="AR403" t="s">
        <v>1</v>
      </c>
      <c r="AT403" s="2">
        <v>4.2859999999999996</v>
      </c>
      <c r="AU403" s="1">
        <f t="shared" si="51"/>
        <v>2.81641266254843</v>
      </c>
      <c r="AV403" s="1">
        <f t="shared" si="52"/>
        <v>2.028137474160983</v>
      </c>
      <c r="AW403" s="1">
        <f t="shared" si="53"/>
        <v>1.2398622857735355</v>
      </c>
    </row>
    <row r="404" spans="1:49" x14ac:dyDescent="0.2">
      <c r="A404">
        <v>402</v>
      </c>
      <c r="B404" t="s">
        <v>8457</v>
      </c>
      <c r="F404" t="s">
        <v>8456</v>
      </c>
      <c r="G404" t="s">
        <v>15</v>
      </c>
      <c r="H404" t="s">
        <v>14</v>
      </c>
      <c r="I404" t="s">
        <v>8455</v>
      </c>
      <c r="N404">
        <v>2</v>
      </c>
      <c r="O404" t="s">
        <v>8454</v>
      </c>
      <c r="P404" t="s">
        <v>8453</v>
      </c>
      <c r="Q404" t="s">
        <v>1557</v>
      </c>
      <c r="R404" s="7">
        <v>33970</v>
      </c>
      <c r="S404" s="8">
        <f t="shared" si="48"/>
        <v>1993</v>
      </c>
      <c r="T404" s="8">
        <v>1993</v>
      </c>
      <c r="U404" s="8">
        <f t="shared" si="49"/>
        <v>29</v>
      </c>
      <c r="V404" s="7">
        <v>1993</v>
      </c>
      <c r="W404" t="s">
        <v>8452</v>
      </c>
      <c r="X404" s="2" t="s">
        <v>0</v>
      </c>
      <c r="Y404" s="6" t="e">
        <f t="shared" si="54"/>
        <v>#VALUE!</v>
      </c>
      <c r="AB404">
        <v>30165</v>
      </c>
      <c r="AD404" t="s">
        <v>5</v>
      </c>
      <c r="AE404">
        <v>53</v>
      </c>
      <c r="AF404">
        <v>3</v>
      </c>
      <c r="AH404" t="s">
        <v>8451</v>
      </c>
      <c r="AI404" t="s">
        <v>8450</v>
      </c>
      <c r="AK404" t="s">
        <v>8449</v>
      </c>
      <c r="AL404">
        <v>4</v>
      </c>
      <c r="AM404" s="5">
        <f t="shared" si="50"/>
        <v>0.13793103448275862</v>
      </c>
      <c r="AN404" s="4">
        <f t="shared" si="55"/>
        <v>2.089072843358707E-4</v>
      </c>
      <c r="AO404" s="3"/>
      <c r="AP404">
        <v>0</v>
      </c>
      <c r="AR404" t="s">
        <v>1</v>
      </c>
      <c r="AT404" s="2" t="s">
        <v>0</v>
      </c>
      <c r="AU404" s="1" t="e">
        <f t="shared" si="51"/>
        <v>#VALUE!</v>
      </c>
      <c r="AV404" s="1" t="e">
        <f t="shared" si="52"/>
        <v>#VALUE!</v>
      </c>
      <c r="AW404" s="1" t="e">
        <f t="shared" si="53"/>
        <v>#VALUE!</v>
      </c>
    </row>
    <row r="405" spans="1:49" x14ac:dyDescent="0.2">
      <c r="A405">
        <v>403</v>
      </c>
      <c r="B405" t="s">
        <v>8448</v>
      </c>
      <c r="C405" t="s">
        <v>8447</v>
      </c>
      <c r="E405">
        <v>8258444</v>
      </c>
      <c r="F405" t="s">
        <v>8446</v>
      </c>
      <c r="G405" t="s">
        <v>15</v>
      </c>
      <c r="H405" t="s">
        <v>14</v>
      </c>
      <c r="I405" t="s">
        <v>8445</v>
      </c>
      <c r="J405" t="s">
        <v>8444</v>
      </c>
      <c r="K405" t="s">
        <v>8443</v>
      </c>
      <c r="L405" t="s">
        <v>8442</v>
      </c>
      <c r="M405" t="s">
        <v>235</v>
      </c>
      <c r="N405">
        <v>4</v>
      </c>
      <c r="O405" t="s">
        <v>8441</v>
      </c>
      <c r="P405" t="s">
        <v>8440</v>
      </c>
      <c r="Q405" t="s">
        <v>8439</v>
      </c>
      <c r="R405" s="7">
        <v>33970</v>
      </c>
      <c r="S405" s="8">
        <f t="shared" si="48"/>
        <v>1993</v>
      </c>
      <c r="T405" s="8">
        <v>1993</v>
      </c>
      <c r="U405" s="8">
        <f t="shared" si="49"/>
        <v>29</v>
      </c>
      <c r="V405" s="7">
        <v>34182</v>
      </c>
      <c r="W405" t="s">
        <v>3789</v>
      </c>
      <c r="X405" s="2">
        <v>1.1479999999999999</v>
      </c>
      <c r="Y405" s="6">
        <f t="shared" si="54"/>
        <v>3.0645204345853019E-2</v>
      </c>
      <c r="AA405">
        <v>189294</v>
      </c>
      <c r="AB405">
        <v>16318</v>
      </c>
      <c r="AC405">
        <v>15582531</v>
      </c>
      <c r="AD405" t="s">
        <v>5</v>
      </c>
      <c r="AE405">
        <v>40</v>
      </c>
      <c r="AF405">
        <v>8</v>
      </c>
      <c r="AH405" t="s">
        <v>8438</v>
      </c>
      <c r="AL405">
        <v>20</v>
      </c>
      <c r="AM405" s="5">
        <f t="shared" si="50"/>
        <v>0.68965517241379315</v>
      </c>
      <c r="AN405" s="4">
        <f t="shared" si="55"/>
        <v>1.0445364216793535E-3</v>
      </c>
      <c r="AO405" s="3"/>
      <c r="AP405">
        <v>0</v>
      </c>
      <c r="AQ405" t="s">
        <v>949</v>
      </c>
      <c r="AR405" t="s">
        <v>8437</v>
      </c>
      <c r="AS405" t="s">
        <v>947</v>
      </c>
      <c r="AT405" s="2" t="s">
        <v>0</v>
      </c>
      <c r="AU405" s="1">
        <f t="shared" si="51"/>
        <v>2.1765003968600918</v>
      </c>
      <c r="AV405" s="1">
        <f t="shared" si="52"/>
        <v>1.5844870383766185</v>
      </c>
      <c r="AW405" s="1">
        <f t="shared" si="53"/>
        <v>0.99247367989314528</v>
      </c>
    </row>
    <row r="406" spans="1:49" x14ac:dyDescent="0.2">
      <c r="A406">
        <v>404</v>
      </c>
      <c r="B406" t="s">
        <v>8436</v>
      </c>
      <c r="C406" t="s">
        <v>8435</v>
      </c>
      <c r="F406" t="s">
        <v>8434</v>
      </c>
      <c r="G406" t="s">
        <v>15</v>
      </c>
      <c r="H406" t="s">
        <v>14</v>
      </c>
      <c r="I406" t="s">
        <v>8433</v>
      </c>
      <c r="J406">
        <v>60028263</v>
      </c>
      <c r="K406" t="s">
        <v>4302</v>
      </c>
      <c r="L406" t="s">
        <v>4301</v>
      </c>
      <c r="M406" t="s">
        <v>150</v>
      </c>
      <c r="N406">
        <v>3</v>
      </c>
      <c r="O406" t="s">
        <v>8432</v>
      </c>
      <c r="P406" t="s">
        <v>8431</v>
      </c>
      <c r="Q406" t="s">
        <v>4298</v>
      </c>
      <c r="R406" s="7">
        <v>33970</v>
      </c>
      <c r="S406" s="8">
        <f t="shared" si="48"/>
        <v>1993</v>
      </c>
      <c r="T406" s="8">
        <v>1993</v>
      </c>
      <c r="U406" s="8">
        <f t="shared" si="49"/>
        <v>29</v>
      </c>
      <c r="V406" s="7">
        <v>1993</v>
      </c>
      <c r="W406" t="s">
        <v>1720</v>
      </c>
      <c r="X406" s="2">
        <v>0.111</v>
      </c>
      <c r="Y406" s="6">
        <f t="shared" si="54"/>
        <v>2.9630816048690639E-3</v>
      </c>
      <c r="AA406">
        <v>87566621</v>
      </c>
      <c r="AB406">
        <v>24890</v>
      </c>
      <c r="AC406">
        <v>15206424</v>
      </c>
      <c r="AD406" t="s">
        <v>5</v>
      </c>
      <c r="AE406">
        <v>76</v>
      </c>
      <c r="AF406">
        <v>12</v>
      </c>
      <c r="AH406" t="s">
        <v>8430</v>
      </c>
      <c r="AI406" t="s">
        <v>8429</v>
      </c>
      <c r="AJ406" t="s">
        <v>8428</v>
      </c>
      <c r="AK406" t="s">
        <v>8427</v>
      </c>
      <c r="AL406">
        <v>2</v>
      </c>
      <c r="AM406" s="5">
        <f t="shared" si="50"/>
        <v>6.8965517241379309E-2</v>
      </c>
      <c r="AN406" s="4">
        <f t="shared" si="55"/>
        <v>1.0445364216793535E-4</v>
      </c>
      <c r="AO406" s="3"/>
      <c r="AP406">
        <v>0</v>
      </c>
      <c r="AR406" t="s">
        <v>1</v>
      </c>
      <c r="AT406" s="2" t="s">
        <v>0</v>
      </c>
      <c r="AU406" s="1">
        <f t="shared" si="51"/>
        <v>0.2105493216058725</v>
      </c>
      <c r="AV406" s="1">
        <f t="shared" si="52"/>
        <v>0.15337676235184997</v>
      </c>
      <c r="AW406" s="1">
        <f t="shared" si="53"/>
        <v>9.6204203097827387E-2</v>
      </c>
    </row>
    <row r="407" spans="1:49" x14ac:dyDescent="0.2">
      <c r="A407">
        <v>405</v>
      </c>
      <c r="B407" t="s">
        <v>8426</v>
      </c>
      <c r="C407" t="s">
        <v>8425</v>
      </c>
      <c r="F407" t="s">
        <v>8424</v>
      </c>
      <c r="G407" t="s">
        <v>15</v>
      </c>
      <c r="H407" t="s">
        <v>14</v>
      </c>
      <c r="I407" t="s">
        <v>8423</v>
      </c>
      <c r="J407">
        <v>60025555</v>
      </c>
      <c r="K407" t="s">
        <v>1785</v>
      </c>
      <c r="L407" t="s">
        <v>151</v>
      </c>
      <c r="M407" t="s">
        <v>150</v>
      </c>
      <c r="N407">
        <v>2</v>
      </c>
      <c r="O407" t="s">
        <v>8422</v>
      </c>
      <c r="P407" t="s">
        <v>8421</v>
      </c>
      <c r="Q407" t="s">
        <v>2566</v>
      </c>
      <c r="R407" s="7">
        <v>33970</v>
      </c>
      <c r="S407" s="8">
        <f t="shared" si="48"/>
        <v>1993</v>
      </c>
      <c r="T407" s="8">
        <v>1993</v>
      </c>
      <c r="U407" s="8">
        <f t="shared" si="49"/>
        <v>29</v>
      </c>
      <c r="V407" s="7">
        <v>1993</v>
      </c>
      <c r="W407" t="s">
        <v>1720</v>
      </c>
      <c r="X407" s="2">
        <v>0.111</v>
      </c>
      <c r="Y407" s="6">
        <f t="shared" si="54"/>
        <v>2.9630816048690639E-3</v>
      </c>
      <c r="AA407">
        <v>87566621</v>
      </c>
      <c r="AB407">
        <v>24890</v>
      </c>
      <c r="AC407">
        <v>15206424</v>
      </c>
      <c r="AD407" t="s">
        <v>5</v>
      </c>
      <c r="AE407">
        <v>76</v>
      </c>
      <c r="AF407">
        <v>12</v>
      </c>
      <c r="AH407" t="s">
        <v>8420</v>
      </c>
      <c r="AI407" t="s">
        <v>8419</v>
      </c>
      <c r="AJ407" t="s">
        <v>8418</v>
      </c>
      <c r="AK407" t="s">
        <v>8417</v>
      </c>
      <c r="AL407">
        <v>1</v>
      </c>
      <c r="AM407" s="5">
        <f t="shared" si="50"/>
        <v>3.4482758620689655E-2</v>
      </c>
      <c r="AN407" s="4">
        <f t="shared" si="55"/>
        <v>5.2226821083967674E-5</v>
      </c>
      <c r="AO407" s="3"/>
      <c r="AP407">
        <v>0</v>
      </c>
      <c r="AR407" t="s">
        <v>1</v>
      </c>
      <c r="AT407" s="2" t="s">
        <v>0</v>
      </c>
      <c r="AU407" s="1">
        <f t="shared" si="51"/>
        <v>0.20898251697335346</v>
      </c>
      <c r="AV407" s="1">
        <f t="shared" si="52"/>
        <v>0.15076542129765158</v>
      </c>
      <c r="AW407" s="1">
        <f t="shared" si="53"/>
        <v>9.2548325621949645E-2</v>
      </c>
    </row>
    <row r="408" spans="1:49" x14ac:dyDescent="0.2">
      <c r="A408">
        <v>406</v>
      </c>
      <c r="B408" t="s">
        <v>8416</v>
      </c>
      <c r="C408" t="s">
        <v>8415</v>
      </c>
      <c r="E408">
        <v>8258443</v>
      </c>
      <c r="F408" t="s">
        <v>8414</v>
      </c>
      <c r="G408" t="s">
        <v>15</v>
      </c>
      <c r="H408" t="s">
        <v>14</v>
      </c>
      <c r="I408" t="s">
        <v>8413</v>
      </c>
      <c r="J408">
        <v>60025488</v>
      </c>
      <c r="K408" t="s">
        <v>8412</v>
      </c>
      <c r="L408" t="s">
        <v>8411</v>
      </c>
      <c r="M408" t="s">
        <v>10</v>
      </c>
      <c r="N408">
        <v>2</v>
      </c>
      <c r="O408" t="s">
        <v>8410</v>
      </c>
      <c r="P408" t="s">
        <v>8409</v>
      </c>
      <c r="Q408" t="s">
        <v>8408</v>
      </c>
      <c r="R408" s="7">
        <v>33970</v>
      </c>
      <c r="S408" s="8">
        <f t="shared" si="48"/>
        <v>1993</v>
      </c>
      <c r="T408" s="8">
        <v>1993</v>
      </c>
      <c r="U408" s="8">
        <f t="shared" si="49"/>
        <v>29</v>
      </c>
      <c r="V408" s="7">
        <v>34182</v>
      </c>
      <c r="W408" t="s">
        <v>3789</v>
      </c>
      <c r="X408" s="2">
        <v>1.1479999999999999</v>
      </c>
      <c r="Y408" s="6">
        <f t="shared" si="54"/>
        <v>3.0645204345853019E-2</v>
      </c>
      <c r="AA408">
        <v>189294</v>
      </c>
      <c r="AB408">
        <v>16318</v>
      </c>
      <c r="AC408">
        <v>15582531</v>
      </c>
      <c r="AD408" t="s">
        <v>5</v>
      </c>
      <c r="AE408">
        <v>40</v>
      </c>
      <c r="AF408">
        <v>8</v>
      </c>
      <c r="AH408" t="s">
        <v>8407</v>
      </c>
      <c r="AI408" t="s">
        <v>8406</v>
      </c>
      <c r="AK408" t="s">
        <v>8405</v>
      </c>
      <c r="AL408">
        <v>15</v>
      </c>
      <c r="AM408" s="5">
        <f t="shared" si="50"/>
        <v>0.51724137931034486</v>
      </c>
      <c r="AN408" s="4">
        <f t="shared" si="55"/>
        <v>7.834023162595151E-4</v>
      </c>
      <c r="AO408" s="3"/>
      <c r="AP408">
        <v>0</v>
      </c>
      <c r="AR408" t="s">
        <v>1</v>
      </c>
      <c r="AT408" s="2" t="s">
        <v>0</v>
      </c>
      <c r="AU408" s="1">
        <f t="shared" si="51"/>
        <v>2.1686663736974969</v>
      </c>
      <c r="AV408" s="1">
        <f t="shared" si="52"/>
        <v>1.5714303331056267</v>
      </c>
      <c r="AW408" s="1">
        <f t="shared" si="53"/>
        <v>0.97419429251375655</v>
      </c>
    </row>
    <row r="409" spans="1:49" x14ac:dyDescent="0.2">
      <c r="A409">
        <v>407</v>
      </c>
      <c r="B409" t="s">
        <v>8404</v>
      </c>
      <c r="C409" t="s">
        <v>8403</v>
      </c>
      <c r="D409" t="s">
        <v>8402</v>
      </c>
      <c r="E409">
        <v>7692092</v>
      </c>
      <c r="F409" t="s">
        <v>8401</v>
      </c>
      <c r="G409" t="s">
        <v>15</v>
      </c>
      <c r="H409" t="s">
        <v>14</v>
      </c>
      <c r="I409" t="s">
        <v>8400</v>
      </c>
      <c r="J409">
        <v>60009553</v>
      </c>
      <c r="K409" t="s">
        <v>8399</v>
      </c>
      <c r="L409" t="s">
        <v>552</v>
      </c>
      <c r="M409" t="s">
        <v>10</v>
      </c>
      <c r="N409">
        <v>7</v>
      </c>
      <c r="O409" t="s">
        <v>8398</v>
      </c>
      <c r="P409" t="s">
        <v>8397</v>
      </c>
      <c r="Q409" t="s">
        <v>8396</v>
      </c>
      <c r="R409" s="7">
        <v>33970</v>
      </c>
      <c r="S409" s="8">
        <f t="shared" si="48"/>
        <v>1993</v>
      </c>
      <c r="T409" s="8">
        <v>1993</v>
      </c>
      <c r="U409" s="8">
        <f t="shared" si="49"/>
        <v>29</v>
      </c>
      <c r="V409" s="7">
        <v>1993</v>
      </c>
      <c r="W409" t="s">
        <v>1114</v>
      </c>
      <c r="X409" s="2">
        <v>2.4020000000000001</v>
      </c>
      <c r="Y409" s="6">
        <f t="shared" si="54"/>
        <v>6.4120018152211633E-2</v>
      </c>
      <c r="AA409">
        <v>225347</v>
      </c>
      <c r="AB409">
        <v>19975</v>
      </c>
      <c r="AD409" t="s">
        <v>5</v>
      </c>
      <c r="AE409">
        <v>150</v>
      </c>
      <c r="AF409" t="s">
        <v>8395</v>
      </c>
      <c r="AH409" t="s">
        <v>8394</v>
      </c>
      <c r="AI409" t="s">
        <v>8393</v>
      </c>
      <c r="AJ409" t="s">
        <v>8392</v>
      </c>
      <c r="AK409" t="s">
        <v>8391</v>
      </c>
      <c r="AL409">
        <v>113</v>
      </c>
      <c r="AM409" s="5">
        <f t="shared" si="50"/>
        <v>3.896551724137931</v>
      </c>
      <c r="AN409" s="4">
        <f t="shared" si="55"/>
        <v>5.9016307824883473E-3</v>
      </c>
      <c r="AO409" s="3"/>
      <c r="AP409">
        <v>0</v>
      </c>
      <c r="AR409" t="s">
        <v>1</v>
      </c>
      <c r="AT409" s="2">
        <v>7.45</v>
      </c>
      <c r="AU409" s="1">
        <f t="shared" si="51"/>
        <v>4.6654501941294644</v>
      </c>
      <c r="AV409" s="1">
        <f t="shared" si="52"/>
        <v>3.5010824467349986</v>
      </c>
      <c r="AW409" s="1">
        <f t="shared" si="53"/>
        <v>2.3367146993405332</v>
      </c>
    </row>
    <row r="410" spans="1:49" x14ac:dyDescent="0.2">
      <c r="A410">
        <v>408</v>
      </c>
      <c r="B410" t="s">
        <v>8390</v>
      </c>
      <c r="C410" t="s">
        <v>8389</v>
      </c>
      <c r="F410" t="s">
        <v>8388</v>
      </c>
      <c r="G410" t="s">
        <v>15</v>
      </c>
      <c r="H410" t="s">
        <v>14</v>
      </c>
      <c r="I410" t="s">
        <v>8387</v>
      </c>
      <c r="J410" t="s">
        <v>8386</v>
      </c>
      <c r="K410" t="s">
        <v>8385</v>
      </c>
      <c r="L410" t="s">
        <v>8384</v>
      </c>
      <c r="M410" t="s">
        <v>2341</v>
      </c>
      <c r="N410">
        <v>3</v>
      </c>
      <c r="O410" t="s">
        <v>8383</v>
      </c>
      <c r="P410" t="s">
        <v>8382</v>
      </c>
      <c r="Q410" t="s">
        <v>8381</v>
      </c>
      <c r="R410" s="7">
        <v>33970</v>
      </c>
      <c r="S410" s="8">
        <f t="shared" si="48"/>
        <v>1993</v>
      </c>
      <c r="T410" s="8">
        <v>1993</v>
      </c>
      <c r="U410" s="8">
        <f t="shared" si="49"/>
        <v>29</v>
      </c>
      <c r="V410" s="7">
        <v>1993</v>
      </c>
      <c r="W410" t="s">
        <v>1720</v>
      </c>
      <c r="X410" s="2">
        <v>0.111</v>
      </c>
      <c r="Y410" s="6">
        <f t="shared" si="54"/>
        <v>2.9630816048690639E-3</v>
      </c>
      <c r="AA410">
        <v>87566621</v>
      </c>
      <c r="AB410">
        <v>24890</v>
      </c>
      <c r="AC410">
        <v>15206424</v>
      </c>
      <c r="AD410" t="s">
        <v>5</v>
      </c>
      <c r="AE410">
        <v>76</v>
      </c>
      <c r="AF410">
        <v>12</v>
      </c>
      <c r="AH410" t="s">
        <v>8380</v>
      </c>
      <c r="AI410" t="s">
        <v>8379</v>
      </c>
      <c r="AJ410" t="s">
        <v>8378</v>
      </c>
      <c r="AK410" t="s">
        <v>8377</v>
      </c>
      <c r="AL410">
        <v>1</v>
      </c>
      <c r="AM410" s="5">
        <f t="shared" si="50"/>
        <v>3.4482758620689655E-2</v>
      </c>
      <c r="AN410" s="4">
        <f t="shared" si="55"/>
        <v>5.2226821083967674E-5</v>
      </c>
      <c r="AO410" s="3"/>
      <c r="AP410">
        <v>0</v>
      </c>
      <c r="AR410" t="s">
        <v>1</v>
      </c>
      <c r="AT410" s="2" t="s">
        <v>0</v>
      </c>
      <c r="AU410" s="1">
        <f t="shared" si="51"/>
        <v>0.20898251697335346</v>
      </c>
      <c r="AV410" s="1">
        <f t="shared" si="52"/>
        <v>0.15076542129765158</v>
      </c>
      <c r="AW410" s="1">
        <f t="shared" si="53"/>
        <v>9.2548325621949645E-2</v>
      </c>
    </row>
    <row r="411" spans="1:49" x14ac:dyDescent="0.2">
      <c r="A411">
        <v>409</v>
      </c>
      <c r="B411" t="s">
        <v>8376</v>
      </c>
      <c r="C411" t="s">
        <v>8375</v>
      </c>
      <c r="E411">
        <v>7511099</v>
      </c>
      <c r="F411" t="s">
        <v>8374</v>
      </c>
      <c r="G411" t="s">
        <v>15</v>
      </c>
      <c r="H411" t="s">
        <v>14</v>
      </c>
      <c r="I411" t="s">
        <v>740</v>
      </c>
      <c r="J411" t="s">
        <v>8373</v>
      </c>
      <c r="K411" t="s">
        <v>8372</v>
      </c>
      <c r="L411" t="s">
        <v>8371</v>
      </c>
      <c r="M411" t="s">
        <v>2341</v>
      </c>
      <c r="N411">
        <v>3</v>
      </c>
      <c r="O411" t="s">
        <v>8370</v>
      </c>
      <c r="P411" t="s">
        <v>8369</v>
      </c>
      <c r="Q411" t="s">
        <v>8368</v>
      </c>
      <c r="R411" s="7">
        <v>33970</v>
      </c>
      <c r="S411" s="8">
        <f t="shared" si="48"/>
        <v>1993</v>
      </c>
      <c r="T411" s="8">
        <v>1993</v>
      </c>
      <c r="U411" s="8">
        <f t="shared" si="49"/>
        <v>29</v>
      </c>
      <c r="V411" s="7">
        <v>1993</v>
      </c>
      <c r="W411" t="s">
        <v>732</v>
      </c>
      <c r="X411" s="2" t="s">
        <v>0</v>
      </c>
      <c r="Y411" s="6" t="e">
        <f t="shared" si="54"/>
        <v>#VALUE!</v>
      </c>
      <c r="AA411">
        <v>1730835</v>
      </c>
      <c r="AB411">
        <v>23524</v>
      </c>
      <c r="AC411">
        <v>15222683</v>
      </c>
      <c r="AD411" t="s">
        <v>5</v>
      </c>
      <c r="AE411">
        <v>14</v>
      </c>
      <c r="AF411">
        <v>1</v>
      </c>
      <c r="AH411" t="s">
        <v>8367</v>
      </c>
      <c r="AI411" t="s">
        <v>8366</v>
      </c>
      <c r="AK411" t="s">
        <v>8365</v>
      </c>
      <c r="AL411">
        <v>21</v>
      </c>
      <c r="AM411" s="5">
        <f t="shared" si="50"/>
        <v>0.72413793103448276</v>
      </c>
      <c r="AN411" s="4">
        <f t="shared" si="55"/>
        <v>1.0967632427633211E-3</v>
      </c>
      <c r="AO411" s="3"/>
      <c r="AP411">
        <v>0</v>
      </c>
      <c r="AR411" t="s">
        <v>1</v>
      </c>
      <c r="AT411" s="2">
        <v>3.5350000000000001</v>
      </c>
      <c r="AU411" s="1" t="e">
        <f t="shared" si="51"/>
        <v>#VALUE!</v>
      </c>
      <c r="AV411" s="1" t="e">
        <f t="shared" si="52"/>
        <v>#VALUE!</v>
      </c>
      <c r="AW411" s="1" t="e">
        <f t="shared" si="53"/>
        <v>#VALUE!</v>
      </c>
    </row>
    <row r="412" spans="1:49" x14ac:dyDescent="0.2">
      <c r="A412">
        <v>410</v>
      </c>
      <c r="B412" t="s">
        <v>8364</v>
      </c>
      <c r="C412" t="s">
        <v>8363</v>
      </c>
      <c r="F412" t="s">
        <v>8362</v>
      </c>
      <c r="G412" t="s">
        <v>15</v>
      </c>
      <c r="H412" t="s">
        <v>14</v>
      </c>
      <c r="I412" t="s">
        <v>8361</v>
      </c>
      <c r="J412">
        <v>60008435</v>
      </c>
      <c r="K412" t="s">
        <v>4156</v>
      </c>
      <c r="L412" t="s">
        <v>4155</v>
      </c>
      <c r="M412" t="s">
        <v>150</v>
      </c>
      <c r="N412">
        <v>5</v>
      </c>
      <c r="O412" t="s">
        <v>8360</v>
      </c>
      <c r="P412" t="s">
        <v>8359</v>
      </c>
      <c r="Q412" t="s">
        <v>8358</v>
      </c>
      <c r="R412" s="7">
        <v>33970</v>
      </c>
      <c r="S412" s="8">
        <f t="shared" si="48"/>
        <v>1993</v>
      </c>
      <c r="T412" s="8">
        <v>1993</v>
      </c>
      <c r="U412" s="8">
        <f t="shared" si="49"/>
        <v>29</v>
      </c>
      <c r="V412" s="7">
        <v>1993</v>
      </c>
      <c r="W412" t="s">
        <v>1720</v>
      </c>
      <c r="X412" s="2">
        <v>0.111</v>
      </c>
      <c r="Y412" s="6">
        <f t="shared" si="54"/>
        <v>2.9630816048690639E-3</v>
      </c>
      <c r="AA412">
        <v>87566621</v>
      </c>
      <c r="AB412">
        <v>24890</v>
      </c>
      <c r="AC412">
        <v>15206424</v>
      </c>
      <c r="AD412" t="s">
        <v>5</v>
      </c>
      <c r="AE412">
        <v>76</v>
      </c>
      <c r="AF412">
        <v>12</v>
      </c>
      <c r="AH412" t="s">
        <v>8357</v>
      </c>
      <c r="AI412" t="s">
        <v>8356</v>
      </c>
      <c r="AJ412" t="s">
        <v>8355</v>
      </c>
      <c r="AK412" t="s">
        <v>8354</v>
      </c>
      <c r="AL412">
        <v>0</v>
      </c>
      <c r="AM412" s="5">
        <f t="shared" si="50"/>
        <v>0</v>
      </c>
      <c r="AN412" s="4">
        <f t="shared" si="55"/>
        <v>0</v>
      </c>
      <c r="AO412" s="3"/>
      <c r="AP412">
        <v>0</v>
      </c>
      <c r="AR412" t="s">
        <v>1</v>
      </c>
      <c r="AT412" s="2" t="s">
        <v>0</v>
      </c>
      <c r="AU412" s="1">
        <f t="shared" si="51"/>
        <v>0.20741571234083445</v>
      </c>
      <c r="AV412" s="1">
        <f t="shared" si="52"/>
        <v>0.1481540802434532</v>
      </c>
      <c r="AW412" s="1">
        <f t="shared" si="53"/>
        <v>8.8892448146071903E-2</v>
      </c>
    </row>
    <row r="413" spans="1:49" x14ac:dyDescent="0.2">
      <c r="A413">
        <v>411</v>
      </c>
      <c r="B413" t="s">
        <v>8353</v>
      </c>
      <c r="C413" t="s">
        <v>8352</v>
      </c>
      <c r="D413" t="s">
        <v>8351</v>
      </c>
      <c r="F413" t="s">
        <v>8350</v>
      </c>
      <c r="G413" t="s">
        <v>15</v>
      </c>
      <c r="H413" t="s">
        <v>14</v>
      </c>
      <c r="I413" t="s">
        <v>8349</v>
      </c>
      <c r="J413">
        <v>60018186</v>
      </c>
      <c r="K413" t="s">
        <v>8348</v>
      </c>
      <c r="L413" t="s">
        <v>7664</v>
      </c>
      <c r="M413" t="s">
        <v>493</v>
      </c>
      <c r="N413">
        <v>2</v>
      </c>
      <c r="O413" t="s">
        <v>8347</v>
      </c>
      <c r="P413" t="s">
        <v>8346</v>
      </c>
      <c r="Q413" t="s">
        <v>8345</v>
      </c>
      <c r="R413" s="7">
        <v>33970</v>
      </c>
      <c r="S413" s="8">
        <f t="shared" si="48"/>
        <v>1993</v>
      </c>
      <c r="T413" s="8">
        <v>1993</v>
      </c>
      <c r="U413" s="8">
        <f t="shared" si="49"/>
        <v>29</v>
      </c>
      <c r="V413" s="7">
        <v>1993</v>
      </c>
      <c r="W413" t="s">
        <v>8344</v>
      </c>
      <c r="X413" s="2">
        <v>1.1359999999999999</v>
      </c>
      <c r="Y413" s="6">
        <f t="shared" si="54"/>
        <v>3.0324871199380689E-2</v>
      </c>
      <c r="AA413">
        <v>9659978</v>
      </c>
      <c r="AB413">
        <v>18089</v>
      </c>
      <c r="AD413" t="s">
        <v>5</v>
      </c>
      <c r="AE413">
        <v>18</v>
      </c>
      <c r="AF413">
        <v>3</v>
      </c>
      <c r="AH413" t="s">
        <v>8343</v>
      </c>
      <c r="AI413" t="s">
        <v>8342</v>
      </c>
      <c r="AJ413" t="s">
        <v>8341</v>
      </c>
      <c r="AK413" t="s">
        <v>8340</v>
      </c>
      <c r="AL413">
        <v>4</v>
      </c>
      <c r="AM413" s="5">
        <f t="shared" si="50"/>
        <v>0.13793103448275862</v>
      </c>
      <c r="AN413" s="4">
        <f t="shared" si="55"/>
        <v>2.089072843358707E-4</v>
      </c>
      <c r="AO413" s="3"/>
      <c r="AP413">
        <v>0</v>
      </c>
      <c r="AR413" t="s">
        <v>1</v>
      </c>
      <c r="AT413" s="2">
        <v>4.141</v>
      </c>
      <c r="AU413" s="1">
        <f t="shared" si="51"/>
        <v>2.1290082024867241</v>
      </c>
      <c r="AV413" s="1">
        <f t="shared" si="52"/>
        <v>1.5266889241858281</v>
      </c>
      <c r="AW413" s="1">
        <f t="shared" si="53"/>
        <v>0.92436964588493153</v>
      </c>
    </row>
    <row r="414" spans="1:49" x14ac:dyDescent="0.2">
      <c r="A414">
        <v>412</v>
      </c>
      <c r="B414" t="s">
        <v>8339</v>
      </c>
      <c r="F414" t="s">
        <v>8338</v>
      </c>
      <c r="G414" t="s">
        <v>15</v>
      </c>
      <c r="H414" t="s">
        <v>14</v>
      </c>
      <c r="I414" t="s">
        <v>8337</v>
      </c>
      <c r="N414">
        <v>1</v>
      </c>
      <c r="O414" t="s">
        <v>8336</v>
      </c>
      <c r="P414">
        <v>6505973051</v>
      </c>
      <c r="R414" s="7">
        <v>33970</v>
      </c>
      <c r="S414" s="8">
        <f t="shared" si="48"/>
        <v>1993</v>
      </c>
      <c r="T414" s="8">
        <v>1993</v>
      </c>
      <c r="U414" s="8">
        <f t="shared" si="49"/>
        <v>29</v>
      </c>
      <c r="V414" s="7">
        <v>1993</v>
      </c>
      <c r="W414" t="s">
        <v>8335</v>
      </c>
      <c r="X414" s="2" t="s">
        <v>0</v>
      </c>
      <c r="Y414" s="6" t="e">
        <f t="shared" si="54"/>
        <v>#VALUE!</v>
      </c>
      <c r="AB414">
        <v>14083</v>
      </c>
      <c r="AD414" t="s">
        <v>5</v>
      </c>
      <c r="AE414">
        <v>29</v>
      </c>
      <c r="AF414">
        <v>2</v>
      </c>
      <c r="AH414" t="s">
        <v>8334</v>
      </c>
      <c r="AI414" t="s">
        <v>8333</v>
      </c>
      <c r="AK414" t="s">
        <v>8332</v>
      </c>
      <c r="AL414">
        <v>4</v>
      </c>
      <c r="AM414" s="5">
        <f t="shared" si="50"/>
        <v>0.13793103448275862</v>
      </c>
      <c r="AN414" s="4">
        <f t="shared" si="55"/>
        <v>2.089072843358707E-4</v>
      </c>
      <c r="AO414" s="3"/>
      <c r="AP414">
        <v>0</v>
      </c>
      <c r="AR414" t="s">
        <v>1</v>
      </c>
      <c r="AT414" s="2" t="s">
        <v>0</v>
      </c>
      <c r="AU414" s="1" t="e">
        <f t="shared" si="51"/>
        <v>#VALUE!</v>
      </c>
      <c r="AV414" s="1" t="e">
        <f t="shared" si="52"/>
        <v>#VALUE!</v>
      </c>
      <c r="AW414" s="1" t="e">
        <f t="shared" si="53"/>
        <v>#VALUE!</v>
      </c>
    </row>
    <row r="415" spans="1:49" x14ac:dyDescent="0.2">
      <c r="A415">
        <v>413</v>
      </c>
      <c r="B415" t="s">
        <v>8331</v>
      </c>
      <c r="C415" t="s">
        <v>8330</v>
      </c>
      <c r="F415" t="s">
        <v>8329</v>
      </c>
      <c r="G415" t="s">
        <v>15</v>
      </c>
      <c r="H415" t="s">
        <v>14</v>
      </c>
      <c r="I415" t="s">
        <v>8328</v>
      </c>
      <c r="J415" t="s">
        <v>8327</v>
      </c>
      <c r="K415" t="s">
        <v>8326</v>
      </c>
      <c r="L415" t="s">
        <v>8325</v>
      </c>
      <c r="M415" t="s">
        <v>2289</v>
      </c>
      <c r="N415">
        <v>4</v>
      </c>
      <c r="O415" t="s">
        <v>8324</v>
      </c>
      <c r="P415" t="s">
        <v>8323</v>
      </c>
      <c r="Q415" t="s">
        <v>8322</v>
      </c>
      <c r="R415" s="7">
        <v>33970</v>
      </c>
      <c r="S415" s="8">
        <f t="shared" si="48"/>
        <v>1993</v>
      </c>
      <c r="T415" s="8">
        <v>1993</v>
      </c>
      <c r="U415" s="8">
        <f t="shared" si="49"/>
        <v>29</v>
      </c>
      <c r="V415" s="7">
        <v>34274</v>
      </c>
      <c r="W415" t="s">
        <v>1064</v>
      </c>
      <c r="X415" s="2">
        <v>2.141</v>
      </c>
      <c r="Y415" s="6">
        <f t="shared" si="54"/>
        <v>5.7152772216438434E-2</v>
      </c>
      <c r="AA415">
        <v>1962892</v>
      </c>
      <c r="AB415">
        <v>17360</v>
      </c>
      <c r="AC415">
        <v>15580644</v>
      </c>
      <c r="AD415" t="s">
        <v>5</v>
      </c>
      <c r="AE415">
        <v>31</v>
      </c>
      <c r="AF415">
        <v>6</v>
      </c>
      <c r="AH415" t="s">
        <v>8321</v>
      </c>
      <c r="AI415" t="s">
        <v>8320</v>
      </c>
      <c r="AK415" t="s">
        <v>8319</v>
      </c>
      <c r="AL415">
        <v>31</v>
      </c>
      <c r="AM415" s="5">
        <f t="shared" si="50"/>
        <v>1.0689655172413792</v>
      </c>
      <c r="AN415" s="4">
        <f t="shared" si="55"/>
        <v>1.6190314536029978E-3</v>
      </c>
      <c r="AO415" s="3"/>
      <c r="AP415">
        <v>0</v>
      </c>
      <c r="AR415" t="s">
        <v>1</v>
      </c>
      <c r="AT415" s="2" t="s">
        <v>0</v>
      </c>
      <c r="AU415" s="1">
        <f t="shared" si="51"/>
        <v>4.0492649987587805</v>
      </c>
      <c r="AV415" s="1">
        <f t="shared" si="52"/>
        <v>2.9385901835020714</v>
      </c>
      <c r="AW415" s="1">
        <f t="shared" si="53"/>
        <v>1.8279153682453628</v>
      </c>
    </row>
    <row r="416" spans="1:49" x14ac:dyDescent="0.2">
      <c r="A416">
        <v>414</v>
      </c>
      <c r="B416" t="s">
        <v>8318</v>
      </c>
      <c r="C416" t="s">
        <v>8317</v>
      </c>
      <c r="F416" t="s">
        <v>8316</v>
      </c>
      <c r="G416" t="s">
        <v>15</v>
      </c>
      <c r="H416" t="s">
        <v>14</v>
      </c>
      <c r="I416" t="s">
        <v>8315</v>
      </c>
      <c r="J416" t="s">
        <v>8314</v>
      </c>
      <c r="K416" t="s">
        <v>8313</v>
      </c>
      <c r="L416" t="s">
        <v>8312</v>
      </c>
      <c r="M416" t="s">
        <v>8311</v>
      </c>
      <c r="N416">
        <v>4</v>
      </c>
      <c r="O416" t="s">
        <v>8310</v>
      </c>
      <c r="P416" t="s">
        <v>8309</v>
      </c>
      <c r="Q416" t="s">
        <v>8308</v>
      </c>
      <c r="R416" s="7">
        <v>33970</v>
      </c>
      <c r="S416" s="8">
        <f t="shared" si="48"/>
        <v>1993</v>
      </c>
      <c r="T416" s="8">
        <v>1993</v>
      </c>
      <c r="U416" s="8">
        <f t="shared" si="49"/>
        <v>29</v>
      </c>
      <c r="V416" s="7">
        <v>34274</v>
      </c>
      <c r="W416" t="s">
        <v>814</v>
      </c>
      <c r="X416" s="2">
        <v>1.6519999999999999</v>
      </c>
      <c r="Y416" s="6">
        <f t="shared" si="54"/>
        <v>4.409919649769093E-2</v>
      </c>
      <c r="AA416" t="s">
        <v>813</v>
      </c>
      <c r="AB416">
        <v>17337</v>
      </c>
      <c r="AC416">
        <v>15582221</v>
      </c>
      <c r="AD416" t="s">
        <v>5</v>
      </c>
      <c r="AE416">
        <v>41</v>
      </c>
      <c r="AF416">
        <v>11</v>
      </c>
      <c r="AH416" t="s">
        <v>8307</v>
      </c>
      <c r="AI416" t="s">
        <v>8306</v>
      </c>
      <c r="AK416" t="s">
        <v>8305</v>
      </c>
      <c r="AL416">
        <v>8</v>
      </c>
      <c r="AM416" s="5">
        <f t="shared" si="50"/>
        <v>0.27586206896551724</v>
      </c>
      <c r="AN416" s="4">
        <f t="shared" si="55"/>
        <v>4.1781456867174139E-4</v>
      </c>
      <c r="AO416" s="3"/>
      <c r="AP416">
        <v>0</v>
      </c>
      <c r="AR416" t="s">
        <v>1</v>
      </c>
      <c r="AT416" s="2" t="s">
        <v>0</v>
      </c>
      <c r="AU416" s="1">
        <f t="shared" si="51"/>
        <v>3.099478191898517</v>
      </c>
      <c r="AV416" s="1">
        <f t="shared" si="52"/>
        <v>2.2258505533181339</v>
      </c>
      <c r="AW416" s="1">
        <f t="shared" si="53"/>
        <v>1.3522229147377498</v>
      </c>
    </row>
    <row r="417" spans="1:49" x14ac:dyDescent="0.2">
      <c r="A417">
        <v>415</v>
      </c>
      <c r="B417" t="s">
        <v>8304</v>
      </c>
      <c r="C417" t="s">
        <v>8303</v>
      </c>
      <c r="F417" t="s">
        <v>8302</v>
      </c>
      <c r="G417" t="s">
        <v>15</v>
      </c>
      <c r="H417" t="s">
        <v>14</v>
      </c>
      <c r="I417" t="s">
        <v>8301</v>
      </c>
      <c r="J417">
        <v>60027271</v>
      </c>
      <c r="K417" t="s">
        <v>2920</v>
      </c>
      <c r="L417" t="s">
        <v>2919</v>
      </c>
      <c r="M417" t="s">
        <v>10</v>
      </c>
      <c r="N417">
        <v>7</v>
      </c>
      <c r="O417" t="s">
        <v>8300</v>
      </c>
      <c r="P417" t="s">
        <v>8299</v>
      </c>
      <c r="Q417" t="s">
        <v>8298</v>
      </c>
      <c r="R417" s="7">
        <v>33970</v>
      </c>
      <c r="S417" s="8">
        <f t="shared" si="48"/>
        <v>1993</v>
      </c>
      <c r="T417" s="8">
        <v>1993</v>
      </c>
      <c r="U417" s="8">
        <f t="shared" si="49"/>
        <v>29</v>
      </c>
      <c r="V417" s="7">
        <v>34274</v>
      </c>
      <c r="W417" t="s">
        <v>3014</v>
      </c>
      <c r="X417" s="2">
        <v>0.81</v>
      </c>
      <c r="Y417" s="6">
        <f t="shared" si="54"/>
        <v>2.1622487386882359E-2</v>
      </c>
      <c r="AA417">
        <v>10411135</v>
      </c>
      <c r="AB417">
        <v>12116</v>
      </c>
      <c r="AC417">
        <v>19410174</v>
      </c>
      <c r="AD417" t="s">
        <v>5</v>
      </c>
      <c r="AE417">
        <v>5</v>
      </c>
      <c r="AF417">
        <v>11</v>
      </c>
      <c r="AH417" t="s">
        <v>8297</v>
      </c>
      <c r="AI417" t="s">
        <v>8296</v>
      </c>
      <c r="AK417" t="s">
        <v>8295</v>
      </c>
      <c r="AL417">
        <v>169</v>
      </c>
      <c r="AM417" s="5">
        <f t="shared" si="50"/>
        <v>5.8275862068965516</v>
      </c>
      <c r="AN417" s="4">
        <f t="shared" si="55"/>
        <v>8.826332763190536E-3</v>
      </c>
      <c r="AO417" s="3"/>
      <c r="AP417">
        <v>0</v>
      </c>
      <c r="AR417" t="s">
        <v>1</v>
      </c>
      <c r="AS417" t="s">
        <v>8294</v>
      </c>
      <c r="AT417" s="2">
        <v>2.468</v>
      </c>
      <c r="AU417" s="1">
        <f t="shared" si="51"/>
        <v>1.7783640999774812</v>
      </c>
      <c r="AV417" s="1">
        <f t="shared" si="52"/>
        <v>1.5224410075036447</v>
      </c>
      <c r="AW417" s="1">
        <f t="shared" si="53"/>
        <v>1.2665179150298083</v>
      </c>
    </row>
    <row r="418" spans="1:49" x14ac:dyDescent="0.2">
      <c r="A418">
        <v>416</v>
      </c>
      <c r="B418" t="s">
        <v>8293</v>
      </c>
      <c r="C418" t="s">
        <v>8292</v>
      </c>
      <c r="F418" t="s">
        <v>8291</v>
      </c>
      <c r="G418" t="s">
        <v>15</v>
      </c>
      <c r="H418" t="s">
        <v>14</v>
      </c>
      <c r="I418" t="s">
        <v>8290</v>
      </c>
      <c r="N418">
        <v>2</v>
      </c>
      <c r="O418" t="s">
        <v>8289</v>
      </c>
      <c r="P418" t="s">
        <v>8288</v>
      </c>
      <c r="Q418" t="s">
        <v>1557</v>
      </c>
      <c r="R418" s="7">
        <v>33970</v>
      </c>
      <c r="S418" s="8">
        <f t="shared" si="48"/>
        <v>1993</v>
      </c>
      <c r="T418" s="8">
        <v>1993</v>
      </c>
      <c r="U418" s="8">
        <f t="shared" si="49"/>
        <v>29</v>
      </c>
      <c r="V418" s="7" t="s">
        <v>1646</v>
      </c>
      <c r="W418" t="s">
        <v>1555</v>
      </c>
      <c r="X418" s="2">
        <v>0.371</v>
      </c>
      <c r="Y418" s="6">
        <f t="shared" si="54"/>
        <v>9.9036331117695747E-3</v>
      </c>
      <c r="AA418">
        <v>486604</v>
      </c>
      <c r="AB418">
        <v>28580</v>
      </c>
      <c r="AC418" t="s">
        <v>1554</v>
      </c>
      <c r="AD418" t="s">
        <v>5</v>
      </c>
      <c r="AE418">
        <v>28</v>
      </c>
      <c r="AF418">
        <v>6</v>
      </c>
      <c r="AH418" t="s">
        <v>8287</v>
      </c>
      <c r="AI418" t="s">
        <v>8286</v>
      </c>
      <c r="AK418" t="s">
        <v>8285</v>
      </c>
      <c r="AL418">
        <v>1</v>
      </c>
      <c r="AM418" s="5">
        <f t="shared" si="50"/>
        <v>3.4482758620689655E-2</v>
      </c>
      <c r="AN418" s="4">
        <f t="shared" si="55"/>
        <v>5.2226821083967674E-5</v>
      </c>
      <c r="AO418" s="3"/>
      <c r="AP418">
        <v>0</v>
      </c>
      <c r="AR418" t="s">
        <v>1</v>
      </c>
      <c r="AT418" s="2">
        <v>1.431</v>
      </c>
      <c r="AU418" s="1">
        <f t="shared" si="51"/>
        <v>0.69482112245638916</v>
      </c>
      <c r="AV418" s="1">
        <f t="shared" si="52"/>
        <v>0.49779299664267707</v>
      </c>
      <c r="AW418" s="1">
        <f t="shared" si="53"/>
        <v>0.30076487082896497</v>
      </c>
    </row>
    <row r="419" spans="1:49" x14ac:dyDescent="0.2">
      <c r="A419">
        <v>417</v>
      </c>
      <c r="B419" t="s">
        <v>8284</v>
      </c>
      <c r="C419" t="s">
        <v>8283</v>
      </c>
      <c r="F419" t="s">
        <v>8282</v>
      </c>
      <c r="G419" t="s">
        <v>15</v>
      </c>
      <c r="H419" t="s">
        <v>14</v>
      </c>
      <c r="I419" t="s">
        <v>8281</v>
      </c>
      <c r="J419">
        <v>60027550</v>
      </c>
      <c r="K419" t="s">
        <v>1833</v>
      </c>
      <c r="L419" t="s">
        <v>1832</v>
      </c>
      <c r="M419" t="s">
        <v>10</v>
      </c>
      <c r="N419">
        <v>4</v>
      </c>
      <c r="O419" t="s">
        <v>8280</v>
      </c>
      <c r="P419" t="s">
        <v>8279</v>
      </c>
      <c r="Q419" t="s">
        <v>8278</v>
      </c>
      <c r="R419" s="7">
        <v>33970</v>
      </c>
      <c r="S419" s="8">
        <f t="shared" si="48"/>
        <v>1993</v>
      </c>
      <c r="T419" s="8">
        <v>1993</v>
      </c>
      <c r="U419" s="8">
        <f t="shared" si="49"/>
        <v>29</v>
      </c>
      <c r="V419" s="7">
        <v>34274</v>
      </c>
      <c r="W419" t="s">
        <v>1272</v>
      </c>
      <c r="X419" s="2">
        <v>0.94</v>
      </c>
      <c r="Y419" s="6">
        <f t="shared" si="54"/>
        <v>2.5092763140332611E-2</v>
      </c>
      <c r="AA419">
        <v>10518207</v>
      </c>
      <c r="AB419">
        <v>63372</v>
      </c>
      <c r="AD419" t="s">
        <v>5</v>
      </c>
      <c r="AE419">
        <v>3</v>
      </c>
      <c r="AF419">
        <v>11</v>
      </c>
      <c r="AH419" t="s">
        <v>8277</v>
      </c>
      <c r="AI419" t="s">
        <v>8276</v>
      </c>
      <c r="AK419" t="s">
        <v>8275</v>
      </c>
      <c r="AL419">
        <v>54</v>
      </c>
      <c r="AM419" s="5">
        <f t="shared" si="50"/>
        <v>1.8620689655172413</v>
      </c>
      <c r="AN419" s="4">
        <f t="shared" si="55"/>
        <v>2.820248338534254E-3</v>
      </c>
      <c r="AO419" s="3"/>
      <c r="AP419">
        <v>0</v>
      </c>
      <c r="AQ419" t="s">
        <v>1358</v>
      </c>
      <c r="AR419" t="s">
        <v>8274</v>
      </c>
      <c r="AS419" t="s">
        <v>1356</v>
      </c>
      <c r="AT419" s="2" t="s">
        <v>0</v>
      </c>
      <c r="AU419" s="1">
        <f t="shared" si="51"/>
        <v>1.8411008699793101</v>
      </c>
      <c r="AV419" s="1">
        <f t="shared" si="52"/>
        <v>1.3956505739433431</v>
      </c>
      <c r="AW419" s="1">
        <f t="shared" si="53"/>
        <v>0.95020027790737616</v>
      </c>
    </row>
    <row r="420" spans="1:49" x14ac:dyDescent="0.2">
      <c r="A420">
        <v>418</v>
      </c>
      <c r="B420" t="s">
        <v>8273</v>
      </c>
      <c r="C420" t="s">
        <v>8272</v>
      </c>
      <c r="F420" t="s">
        <v>8271</v>
      </c>
      <c r="G420" t="s">
        <v>15</v>
      </c>
      <c r="H420" t="s">
        <v>14</v>
      </c>
      <c r="I420" t="s">
        <v>8270</v>
      </c>
      <c r="J420">
        <v>60014652</v>
      </c>
      <c r="K420" t="s">
        <v>1649</v>
      </c>
      <c r="L420" t="s">
        <v>1648</v>
      </c>
      <c r="M420" t="s">
        <v>150</v>
      </c>
      <c r="N420">
        <v>4</v>
      </c>
      <c r="O420" t="s">
        <v>8269</v>
      </c>
      <c r="P420" t="s">
        <v>8268</v>
      </c>
      <c r="Q420" t="s">
        <v>8267</v>
      </c>
      <c r="R420" s="7">
        <v>33970</v>
      </c>
      <c r="S420" s="8">
        <f t="shared" si="48"/>
        <v>1993</v>
      </c>
      <c r="T420" s="8">
        <v>1993</v>
      </c>
      <c r="U420" s="8">
        <f t="shared" si="49"/>
        <v>29</v>
      </c>
      <c r="V420" s="7">
        <v>1993</v>
      </c>
      <c r="W420" t="s">
        <v>1720</v>
      </c>
      <c r="X420" s="2">
        <v>0.111</v>
      </c>
      <c r="Y420" s="6">
        <f t="shared" si="54"/>
        <v>2.9630816048690639E-3</v>
      </c>
      <c r="AA420">
        <v>87566621</v>
      </c>
      <c r="AB420">
        <v>24890</v>
      </c>
      <c r="AC420">
        <v>15206424</v>
      </c>
      <c r="AD420" t="s">
        <v>5</v>
      </c>
      <c r="AE420">
        <v>76</v>
      </c>
      <c r="AF420">
        <v>11</v>
      </c>
      <c r="AH420" t="s">
        <v>8266</v>
      </c>
      <c r="AI420" t="s">
        <v>8265</v>
      </c>
      <c r="AJ420" t="s">
        <v>8264</v>
      </c>
      <c r="AK420" t="s">
        <v>8263</v>
      </c>
      <c r="AL420">
        <v>0</v>
      </c>
      <c r="AM420" s="5">
        <f t="shared" si="50"/>
        <v>0</v>
      </c>
      <c r="AN420" s="4">
        <f t="shared" si="55"/>
        <v>0</v>
      </c>
      <c r="AO420" s="3"/>
      <c r="AP420">
        <v>0</v>
      </c>
      <c r="AR420" t="s">
        <v>1</v>
      </c>
      <c r="AT420" s="2" t="s">
        <v>0</v>
      </c>
      <c r="AU420" s="1">
        <f t="shared" si="51"/>
        <v>0.20741571234083445</v>
      </c>
      <c r="AV420" s="1">
        <f t="shared" si="52"/>
        <v>0.1481540802434532</v>
      </c>
      <c r="AW420" s="1">
        <f t="shared" si="53"/>
        <v>8.8892448146071903E-2</v>
      </c>
    </row>
    <row r="421" spans="1:49" x14ac:dyDescent="0.2">
      <c r="A421">
        <v>419</v>
      </c>
      <c r="B421" t="s">
        <v>8262</v>
      </c>
      <c r="C421" t="s">
        <v>8261</v>
      </c>
      <c r="F421" t="s">
        <v>8260</v>
      </c>
      <c r="G421" t="s">
        <v>15</v>
      </c>
      <c r="H421" t="s">
        <v>14</v>
      </c>
      <c r="I421" t="s">
        <v>8259</v>
      </c>
      <c r="J421">
        <v>60018306</v>
      </c>
      <c r="K421" t="s">
        <v>8258</v>
      </c>
      <c r="L421" t="s">
        <v>8257</v>
      </c>
      <c r="M421" t="s">
        <v>10</v>
      </c>
      <c r="N421">
        <v>2</v>
      </c>
      <c r="O421" t="s">
        <v>8256</v>
      </c>
      <c r="P421" t="s">
        <v>8255</v>
      </c>
      <c r="Q421" t="s">
        <v>8254</v>
      </c>
      <c r="R421" s="7">
        <v>33970</v>
      </c>
      <c r="S421" s="8">
        <f t="shared" si="48"/>
        <v>1993</v>
      </c>
      <c r="T421" s="8">
        <v>1993</v>
      </c>
      <c r="U421" s="8">
        <f t="shared" si="49"/>
        <v>29</v>
      </c>
      <c r="V421" s="7">
        <v>34274</v>
      </c>
      <c r="W421" t="s">
        <v>814</v>
      </c>
      <c r="X421" s="2">
        <v>1.6519999999999999</v>
      </c>
      <c r="Y421" s="6">
        <f t="shared" si="54"/>
        <v>4.409919649769093E-2</v>
      </c>
      <c r="AA421" t="s">
        <v>813</v>
      </c>
      <c r="AB421">
        <v>17337</v>
      </c>
      <c r="AC421">
        <v>15582221</v>
      </c>
      <c r="AD421" t="s">
        <v>5</v>
      </c>
      <c r="AE421">
        <v>41</v>
      </c>
      <c r="AF421">
        <v>11</v>
      </c>
      <c r="AH421" t="s">
        <v>8253</v>
      </c>
      <c r="AI421" t="s">
        <v>8252</v>
      </c>
      <c r="AK421" t="s">
        <v>8251</v>
      </c>
      <c r="AL421">
        <v>8</v>
      </c>
      <c r="AM421" s="5">
        <f t="shared" si="50"/>
        <v>0.27586206896551724</v>
      </c>
      <c r="AN421" s="4">
        <f t="shared" si="55"/>
        <v>4.1781456867174139E-4</v>
      </c>
      <c r="AO421" s="3"/>
      <c r="AP421">
        <v>0</v>
      </c>
      <c r="AR421" t="s">
        <v>1</v>
      </c>
      <c r="AT421" s="2" t="s">
        <v>0</v>
      </c>
      <c r="AU421" s="1">
        <f t="shared" si="51"/>
        <v>3.099478191898517</v>
      </c>
      <c r="AV421" s="1">
        <f t="shared" si="52"/>
        <v>2.2258505533181339</v>
      </c>
      <c r="AW421" s="1">
        <f t="shared" si="53"/>
        <v>1.3522229147377498</v>
      </c>
    </row>
    <row r="422" spans="1:49" x14ac:dyDescent="0.2">
      <c r="A422">
        <v>420</v>
      </c>
      <c r="B422" t="s">
        <v>8250</v>
      </c>
      <c r="C422" t="s">
        <v>8249</v>
      </c>
      <c r="F422" t="s">
        <v>8248</v>
      </c>
      <c r="G422" t="s">
        <v>15</v>
      </c>
      <c r="H422" t="s">
        <v>14</v>
      </c>
      <c r="I422" t="s">
        <v>8247</v>
      </c>
      <c r="J422">
        <v>60009658</v>
      </c>
      <c r="K422" t="s">
        <v>2497</v>
      </c>
      <c r="L422" t="s">
        <v>2496</v>
      </c>
      <c r="M422" t="s">
        <v>493</v>
      </c>
      <c r="N422">
        <v>2</v>
      </c>
      <c r="O422" t="s">
        <v>8246</v>
      </c>
      <c r="P422" t="s">
        <v>8245</v>
      </c>
      <c r="Q422" t="s">
        <v>8244</v>
      </c>
      <c r="R422" s="7">
        <v>33970</v>
      </c>
      <c r="S422" s="8">
        <f t="shared" si="48"/>
        <v>1993</v>
      </c>
      <c r="T422" s="8">
        <v>1993</v>
      </c>
      <c r="U422" s="8">
        <f t="shared" si="49"/>
        <v>29</v>
      </c>
      <c r="V422" s="7">
        <v>34274</v>
      </c>
      <c r="W422" t="s">
        <v>868</v>
      </c>
      <c r="X422" s="2">
        <v>0.375</v>
      </c>
      <c r="Y422" s="6">
        <f t="shared" si="54"/>
        <v>1.0010410827260351E-2</v>
      </c>
      <c r="AA422">
        <v>135194</v>
      </c>
      <c r="AB422">
        <v>24918</v>
      </c>
      <c r="AD422" t="s">
        <v>5</v>
      </c>
      <c r="AE422">
        <v>29</v>
      </c>
      <c r="AF422">
        <v>23</v>
      </c>
      <c r="AH422" t="s">
        <v>8243</v>
      </c>
      <c r="AI422" t="s">
        <v>8242</v>
      </c>
      <c r="AJ422" t="s">
        <v>8241</v>
      </c>
      <c r="AK422" t="s">
        <v>8240</v>
      </c>
      <c r="AL422">
        <v>3</v>
      </c>
      <c r="AM422" s="5">
        <f t="shared" si="50"/>
        <v>0.10344827586206896</v>
      </c>
      <c r="AN422" s="4">
        <f t="shared" si="55"/>
        <v>1.5668046325190301E-4</v>
      </c>
      <c r="AO422" s="3"/>
      <c r="AP422">
        <v>0</v>
      </c>
      <c r="AR422" t="s">
        <v>1</v>
      </c>
      <c r="AT422" s="2">
        <v>1.3140000000000001</v>
      </c>
      <c r="AU422" s="1">
        <f t="shared" si="51"/>
        <v>0.70542917180578169</v>
      </c>
      <c r="AV422" s="1">
        <f t="shared" si="52"/>
        <v>0.50835456452561267</v>
      </c>
      <c r="AW422" s="1">
        <f t="shared" si="53"/>
        <v>0.31127995724544377</v>
      </c>
    </row>
    <row r="423" spans="1:49" x14ac:dyDescent="0.2">
      <c r="A423">
        <v>421</v>
      </c>
      <c r="B423" t="s">
        <v>8239</v>
      </c>
      <c r="C423" t="s">
        <v>8238</v>
      </c>
      <c r="F423" t="s">
        <v>8237</v>
      </c>
      <c r="G423" t="s">
        <v>15</v>
      </c>
      <c r="H423" t="s">
        <v>14</v>
      </c>
      <c r="I423" t="s">
        <v>8236</v>
      </c>
      <c r="J423" t="s">
        <v>8235</v>
      </c>
      <c r="K423" t="s">
        <v>8234</v>
      </c>
      <c r="L423" t="s">
        <v>8233</v>
      </c>
      <c r="M423" t="s">
        <v>235</v>
      </c>
      <c r="N423">
        <v>3</v>
      </c>
      <c r="O423" t="s">
        <v>8232</v>
      </c>
      <c r="P423" t="s">
        <v>8231</v>
      </c>
      <c r="Q423" t="s">
        <v>8230</v>
      </c>
      <c r="R423" s="7">
        <v>33970</v>
      </c>
      <c r="S423" s="8">
        <f t="shared" si="48"/>
        <v>1993</v>
      </c>
      <c r="T423" s="8">
        <v>1993</v>
      </c>
      <c r="U423" s="8">
        <f t="shared" si="49"/>
        <v>29</v>
      </c>
      <c r="V423" s="7">
        <v>34274</v>
      </c>
      <c r="W423" t="s">
        <v>548</v>
      </c>
      <c r="X423" s="2">
        <v>1.3720000000000001</v>
      </c>
      <c r="Y423" s="6">
        <f t="shared" si="54"/>
        <v>3.662475641333654E-2</v>
      </c>
      <c r="AA423">
        <v>189480</v>
      </c>
      <c r="AB423">
        <v>17366</v>
      </c>
      <c r="AC423">
        <v>15579670</v>
      </c>
      <c r="AD423" t="s">
        <v>5</v>
      </c>
      <c r="AE423">
        <v>41</v>
      </c>
      <c r="AF423">
        <v>11</v>
      </c>
      <c r="AH423" t="s">
        <v>8229</v>
      </c>
      <c r="AI423" t="s">
        <v>8228</v>
      </c>
      <c r="AK423" t="s">
        <v>8227</v>
      </c>
      <c r="AL423">
        <v>13</v>
      </c>
      <c r="AM423" s="5">
        <f t="shared" si="50"/>
        <v>0.44827586206896552</v>
      </c>
      <c r="AN423" s="4">
        <f t="shared" si="55"/>
        <v>6.7894867409157972E-4</v>
      </c>
      <c r="AO423" s="3"/>
      <c r="AP423">
        <v>0</v>
      </c>
      <c r="AQ423" t="s">
        <v>761</v>
      </c>
      <c r="AR423" t="s">
        <v>8226</v>
      </c>
      <c r="AS423" t="s">
        <v>759</v>
      </c>
      <c r="AT423" s="2" t="s">
        <v>0</v>
      </c>
      <c r="AU423" s="1">
        <f t="shared" si="51"/>
        <v>2.5841014091563053</v>
      </c>
      <c r="AV423" s="1">
        <f t="shared" si="52"/>
        <v>1.865185254371406</v>
      </c>
      <c r="AW423" s="1">
        <f t="shared" si="53"/>
        <v>1.1462690995865068</v>
      </c>
    </row>
    <row r="424" spans="1:49" x14ac:dyDescent="0.2">
      <c r="A424">
        <v>422</v>
      </c>
      <c r="B424" t="s">
        <v>8225</v>
      </c>
      <c r="C424" t="s">
        <v>8224</v>
      </c>
      <c r="F424" t="s">
        <v>8223</v>
      </c>
      <c r="G424" t="s">
        <v>15</v>
      </c>
      <c r="H424" t="s">
        <v>14</v>
      </c>
      <c r="I424" t="s">
        <v>5440</v>
      </c>
      <c r="J424">
        <v>60018179</v>
      </c>
      <c r="K424" t="s">
        <v>5439</v>
      </c>
      <c r="L424" t="s">
        <v>5438</v>
      </c>
      <c r="M424" t="s">
        <v>10</v>
      </c>
      <c r="N424">
        <v>2</v>
      </c>
      <c r="O424" t="s">
        <v>8222</v>
      </c>
      <c r="P424" t="s">
        <v>8221</v>
      </c>
      <c r="Q424" t="s">
        <v>5435</v>
      </c>
      <c r="R424" s="7">
        <v>33970</v>
      </c>
      <c r="S424" s="8">
        <f t="shared" si="48"/>
        <v>1993</v>
      </c>
      <c r="T424" s="8">
        <v>1993</v>
      </c>
      <c r="U424" s="8">
        <f t="shared" si="49"/>
        <v>29</v>
      </c>
      <c r="V424" s="7">
        <v>34274</v>
      </c>
      <c r="W424" t="s">
        <v>548</v>
      </c>
      <c r="X424" s="2">
        <v>1.3720000000000001</v>
      </c>
      <c r="Y424" s="6">
        <f t="shared" si="54"/>
        <v>3.662475641333654E-2</v>
      </c>
      <c r="AA424">
        <v>189480</v>
      </c>
      <c r="AB424">
        <v>17366</v>
      </c>
      <c r="AC424">
        <v>15579670</v>
      </c>
      <c r="AD424" t="s">
        <v>5</v>
      </c>
      <c r="AE424">
        <v>41</v>
      </c>
      <c r="AF424">
        <v>11</v>
      </c>
      <c r="AH424" t="s">
        <v>8220</v>
      </c>
      <c r="AI424" t="s">
        <v>8219</v>
      </c>
      <c r="AK424" t="s">
        <v>8218</v>
      </c>
      <c r="AL424">
        <v>9</v>
      </c>
      <c r="AM424" s="5">
        <f t="shared" si="50"/>
        <v>0.31034482758620691</v>
      </c>
      <c r="AN424" s="4">
        <f t="shared" si="55"/>
        <v>4.7004138975570908E-4</v>
      </c>
      <c r="AO424" s="3"/>
      <c r="AP424">
        <v>0</v>
      </c>
      <c r="AR424" t="s">
        <v>1</v>
      </c>
      <c r="AT424" s="2" t="s">
        <v>0</v>
      </c>
      <c r="AU424" s="1">
        <f t="shared" si="51"/>
        <v>2.5778341906262288</v>
      </c>
      <c r="AV424" s="1">
        <f t="shared" si="52"/>
        <v>1.8547398901546126</v>
      </c>
      <c r="AW424" s="1">
        <f t="shared" si="53"/>
        <v>1.1316455896829958</v>
      </c>
    </row>
    <row r="425" spans="1:49" x14ac:dyDescent="0.2">
      <c r="A425">
        <v>423</v>
      </c>
      <c r="B425" t="s">
        <v>8217</v>
      </c>
      <c r="C425" t="s">
        <v>8216</v>
      </c>
      <c r="F425" t="s">
        <v>8215</v>
      </c>
      <c r="G425" t="s">
        <v>15</v>
      </c>
      <c r="H425" t="s">
        <v>14</v>
      </c>
      <c r="I425" t="s">
        <v>8214</v>
      </c>
      <c r="J425">
        <v>60025778</v>
      </c>
      <c r="K425" t="s">
        <v>3404</v>
      </c>
      <c r="L425" t="s">
        <v>1317</v>
      </c>
      <c r="M425" t="s">
        <v>10</v>
      </c>
      <c r="N425">
        <v>2</v>
      </c>
      <c r="O425" t="s">
        <v>8213</v>
      </c>
      <c r="P425" t="s">
        <v>8212</v>
      </c>
      <c r="Q425" t="s">
        <v>4730</v>
      </c>
      <c r="R425" s="7">
        <v>33970</v>
      </c>
      <c r="S425" s="8">
        <f t="shared" si="48"/>
        <v>1993</v>
      </c>
      <c r="T425" s="8">
        <v>1993</v>
      </c>
      <c r="U425" s="8">
        <f t="shared" si="49"/>
        <v>29</v>
      </c>
      <c r="V425" s="7">
        <v>34274</v>
      </c>
      <c r="W425" t="s">
        <v>814</v>
      </c>
      <c r="X425" s="2">
        <v>1.6519999999999999</v>
      </c>
      <c r="Y425" s="6">
        <f t="shared" si="54"/>
        <v>4.409919649769093E-2</v>
      </c>
      <c r="AA425" t="s">
        <v>813</v>
      </c>
      <c r="AB425">
        <v>17337</v>
      </c>
      <c r="AC425">
        <v>15582221</v>
      </c>
      <c r="AD425" t="s">
        <v>5</v>
      </c>
      <c r="AE425">
        <v>41</v>
      </c>
      <c r="AF425">
        <v>11</v>
      </c>
      <c r="AH425" t="s">
        <v>8211</v>
      </c>
      <c r="AI425" t="s">
        <v>8210</v>
      </c>
      <c r="AK425" t="s">
        <v>8209</v>
      </c>
      <c r="AL425">
        <v>34</v>
      </c>
      <c r="AM425" s="5">
        <f t="shared" si="50"/>
        <v>1.1724137931034482</v>
      </c>
      <c r="AN425" s="4">
        <f t="shared" si="55"/>
        <v>1.7757119168549007E-3</v>
      </c>
      <c r="AO425" s="3"/>
      <c r="AP425">
        <v>0</v>
      </c>
      <c r="AR425" t="s">
        <v>1</v>
      </c>
      <c r="AT425" s="2" t="s">
        <v>0</v>
      </c>
      <c r="AU425" s="1">
        <f t="shared" si="51"/>
        <v>3.1402151123440123</v>
      </c>
      <c r="AV425" s="1">
        <f t="shared" si="52"/>
        <v>2.2937454207272916</v>
      </c>
      <c r="AW425" s="1">
        <f t="shared" si="53"/>
        <v>1.4472757291105709</v>
      </c>
    </row>
    <row r="426" spans="1:49" x14ac:dyDescent="0.2">
      <c r="A426">
        <v>424</v>
      </c>
      <c r="B426" t="s">
        <v>8208</v>
      </c>
      <c r="C426" t="s">
        <v>8207</v>
      </c>
      <c r="F426" t="s">
        <v>8206</v>
      </c>
      <c r="G426" t="s">
        <v>15</v>
      </c>
      <c r="H426" t="s">
        <v>14</v>
      </c>
      <c r="I426" t="s">
        <v>8205</v>
      </c>
      <c r="N426">
        <v>5</v>
      </c>
      <c r="O426" t="s">
        <v>8204</v>
      </c>
      <c r="P426" t="s">
        <v>8203</v>
      </c>
      <c r="Q426" t="s">
        <v>8202</v>
      </c>
      <c r="R426" s="7">
        <v>33970</v>
      </c>
      <c r="S426" s="8">
        <f t="shared" si="48"/>
        <v>1993</v>
      </c>
      <c r="T426" s="8">
        <v>1993</v>
      </c>
      <c r="U426" s="8">
        <f t="shared" si="49"/>
        <v>29</v>
      </c>
      <c r="V426" s="7" t="s">
        <v>1646</v>
      </c>
      <c r="W426" t="s">
        <v>1555</v>
      </c>
      <c r="X426" s="2">
        <v>0.371</v>
      </c>
      <c r="Y426" s="6">
        <f t="shared" si="54"/>
        <v>9.9036331117695747E-3</v>
      </c>
      <c r="AA426">
        <v>486604</v>
      </c>
      <c r="AB426">
        <v>28580</v>
      </c>
      <c r="AC426" t="s">
        <v>1554</v>
      </c>
      <c r="AD426" t="s">
        <v>5</v>
      </c>
      <c r="AE426">
        <v>28</v>
      </c>
      <c r="AF426">
        <v>6</v>
      </c>
      <c r="AH426" t="s">
        <v>8201</v>
      </c>
      <c r="AI426" t="s">
        <v>8200</v>
      </c>
      <c r="AK426" t="s">
        <v>8199</v>
      </c>
      <c r="AL426">
        <v>6</v>
      </c>
      <c r="AM426" s="5">
        <f t="shared" si="50"/>
        <v>0.20689655172413793</v>
      </c>
      <c r="AN426" s="4">
        <f t="shared" si="55"/>
        <v>3.1336092650380602E-4</v>
      </c>
      <c r="AO426" s="3"/>
      <c r="AP426">
        <v>0</v>
      </c>
      <c r="AR426" t="s">
        <v>1</v>
      </c>
      <c r="AT426" s="2">
        <v>1.431</v>
      </c>
      <c r="AU426" s="1">
        <f t="shared" si="51"/>
        <v>0.70265514561898434</v>
      </c>
      <c r="AV426" s="1">
        <f t="shared" si="52"/>
        <v>0.51084970191366907</v>
      </c>
      <c r="AW426" s="1">
        <f t="shared" si="53"/>
        <v>0.31904425820835369</v>
      </c>
    </row>
    <row r="427" spans="1:49" x14ac:dyDescent="0.2">
      <c r="A427">
        <v>425</v>
      </c>
      <c r="B427" t="s">
        <v>8198</v>
      </c>
      <c r="C427" t="s">
        <v>8197</v>
      </c>
      <c r="D427">
        <v>165168493901624</v>
      </c>
      <c r="F427" t="s">
        <v>8196</v>
      </c>
      <c r="G427" t="s">
        <v>15</v>
      </c>
      <c r="H427" t="s">
        <v>14</v>
      </c>
      <c r="I427" t="s">
        <v>8195</v>
      </c>
      <c r="J427">
        <v>60032144</v>
      </c>
      <c r="K427" t="s">
        <v>1990</v>
      </c>
      <c r="L427" t="s">
        <v>1989</v>
      </c>
      <c r="M427" t="s">
        <v>1988</v>
      </c>
      <c r="N427">
        <v>3</v>
      </c>
      <c r="O427" t="s">
        <v>8194</v>
      </c>
      <c r="P427" t="s">
        <v>8193</v>
      </c>
      <c r="Q427" t="s">
        <v>7142</v>
      </c>
      <c r="R427" s="7">
        <v>33970</v>
      </c>
      <c r="S427" s="8">
        <f t="shared" si="48"/>
        <v>1993</v>
      </c>
      <c r="T427" s="8">
        <v>1993</v>
      </c>
      <c r="U427" s="8">
        <f t="shared" si="49"/>
        <v>29</v>
      </c>
      <c r="V427" s="7">
        <v>34274</v>
      </c>
      <c r="W427" t="s">
        <v>747</v>
      </c>
      <c r="X427" s="2">
        <v>0.90700000000000003</v>
      </c>
      <c r="Y427" s="6">
        <f t="shared" si="54"/>
        <v>2.4211846987533703E-2</v>
      </c>
      <c r="AA427">
        <v>1651684</v>
      </c>
      <c r="AB427">
        <v>25548</v>
      </c>
      <c r="AD427" t="s">
        <v>5</v>
      </c>
      <c r="AE427">
        <v>34</v>
      </c>
      <c r="AF427">
        <v>2</v>
      </c>
      <c r="AH427" t="s">
        <v>8192</v>
      </c>
      <c r="AI427" t="s">
        <v>8191</v>
      </c>
      <c r="AJ427" t="s">
        <v>8190</v>
      </c>
      <c r="AK427" t="s">
        <v>8189</v>
      </c>
      <c r="AL427">
        <v>15</v>
      </c>
      <c r="AM427" s="5">
        <f t="shared" si="50"/>
        <v>0.51724137931034486</v>
      </c>
      <c r="AN427" s="4">
        <f t="shared" si="55"/>
        <v>7.834023162595151E-4</v>
      </c>
      <c r="AO427" s="3"/>
      <c r="AP427">
        <v>0</v>
      </c>
      <c r="AQ427" t="s">
        <v>8188</v>
      </c>
      <c r="AR427" t="s">
        <v>8187</v>
      </c>
      <c r="AS427" t="s">
        <v>8186</v>
      </c>
      <c r="AT427" s="2">
        <v>4.6619999999999999</v>
      </c>
      <c r="AU427" s="1">
        <f t="shared" si="51"/>
        <v>1.7183313586151445</v>
      </c>
      <c r="AV427" s="1">
        <f t="shared" si="52"/>
        <v>1.2497624651896608</v>
      </c>
      <c r="AW427" s="1">
        <f t="shared" si="53"/>
        <v>0.78119357176417703</v>
      </c>
    </row>
    <row r="428" spans="1:49" x14ac:dyDescent="0.2">
      <c r="A428">
        <v>426</v>
      </c>
      <c r="B428" t="s">
        <v>8185</v>
      </c>
      <c r="C428" t="s">
        <v>8184</v>
      </c>
      <c r="F428" t="s">
        <v>8183</v>
      </c>
      <c r="G428" t="s">
        <v>15</v>
      </c>
      <c r="H428" t="s">
        <v>14</v>
      </c>
      <c r="I428" t="s">
        <v>8182</v>
      </c>
      <c r="N428">
        <v>1</v>
      </c>
      <c r="O428" t="s">
        <v>8181</v>
      </c>
      <c r="P428">
        <v>7003461640</v>
      </c>
      <c r="R428" s="7">
        <v>33970</v>
      </c>
      <c r="S428" s="8">
        <f t="shared" si="48"/>
        <v>1993</v>
      </c>
      <c r="T428" s="8">
        <v>1993</v>
      </c>
      <c r="U428" s="8">
        <f t="shared" si="49"/>
        <v>29</v>
      </c>
      <c r="V428" s="7">
        <v>1993</v>
      </c>
      <c r="W428" t="s">
        <v>7960</v>
      </c>
      <c r="X428" s="2">
        <v>0.2</v>
      </c>
      <c r="Y428" s="6">
        <f t="shared" si="54"/>
        <v>5.3388857745388539E-3</v>
      </c>
      <c r="AA428">
        <v>161136</v>
      </c>
      <c r="AB428">
        <v>16718</v>
      </c>
      <c r="AC428">
        <v>21916349</v>
      </c>
      <c r="AD428" t="s">
        <v>5</v>
      </c>
      <c r="AE428">
        <v>47</v>
      </c>
      <c r="AF428" s="9">
        <v>44541</v>
      </c>
      <c r="AH428" t="s">
        <v>8180</v>
      </c>
      <c r="AI428" t="s">
        <v>8179</v>
      </c>
      <c r="AK428" t="s">
        <v>8178</v>
      </c>
      <c r="AL428">
        <v>5</v>
      </c>
      <c r="AM428" s="5">
        <f t="shared" si="50"/>
        <v>0.17241379310344829</v>
      </c>
      <c r="AN428" s="4">
        <f t="shared" si="55"/>
        <v>2.6113410541983838E-4</v>
      </c>
      <c r="AO428" s="3"/>
      <c r="AP428">
        <v>0</v>
      </c>
      <c r="AR428" t="s">
        <v>1</v>
      </c>
      <c r="AT428" s="2">
        <v>0.72599999999999998</v>
      </c>
      <c r="AU428" s="1">
        <f t="shared" si="51"/>
        <v>0.38155602738031491</v>
      </c>
      <c r="AV428" s="1">
        <f t="shared" si="52"/>
        <v>0.2800009939979346</v>
      </c>
      <c r="AW428" s="1">
        <f t="shared" si="53"/>
        <v>0.17844596061555429</v>
      </c>
    </row>
    <row r="429" spans="1:49" x14ac:dyDescent="0.2">
      <c r="A429">
        <v>427</v>
      </c>
      <c r="B429" t="s">
        <v>8177</v>
      </c>
      <c r="C429" t="s">
        <v>8176</v>
      </c>
      <c r="F429" t="s">
        <v>8175</v>
      </c>
      <c r="G429" t="s">
        <v>15</v>
      </c>
      <c r="H429" t="s">
        <v>14</v>
      </c>
      <c r="I429" t="s">
        <v>8174</v>
      </c>
      <c r="J429">
        <v>60115733</v>
      </c>
      <c r="K429" t="s">
        <v>8173</v>
      </c>
      <c r="L429" t="s">
        <v>8172</v>
      </c>
      <c r="M429" t="s">
        <v>6158</v>
      </c>
      <c r="N429">
        <v>1</v>
      </c>
      <c r="O429" t="s">
        <v>8171</v>
      </c>
      <c r="P429">
        <v>55448539100</v>
      </c>
      <c r="Q429">
        <v>60115733</v>
      </c>
      <c r="R429" s="7">
        <v>33970</v>
      </c>
      <c r="S429" s="8">
        <f t="shared" si="48"/>
        <v>1993</v>
      </c>
      <c r="T429" s="8">
        <v>1993</v>
      </c>
      <c r="U429" s="8">
        <f t="shared" si="49"/>
        <v>29</v>
      </c>
      <c r="V429" s="7">
        <v>34274</v>
      </c>
      <c r="W429" t="s">
        <v>868</v>
      </c>
      <c r="X429" s="2">
        <v>0.375</v>
      </c>
      <c r="Y429" s="6">
        <f t="shared" si="54"/>
        <v>1.0010410827260351E-2</v>
      </c>
      <c r="AA429">
        <v>135194</v>
      </c>
      <c r="AB429">
        <v>24918</v>
      </c>
      <c r="AD429" t="s">
        <v>5</v>
      </c>
      <c r="AE429">
        <v>29</v>
      </c>
      <c r="AF429">
        <v>24</v>
      </c>
      <c r="AH429" t="s">
        <v>8170</v>
      </c>
      <c r="AI429" t="s">
        <v>8169</v>
      </c>
      <c r="AJ429" t="s">
        <v>5814</v>
      </c>
      <c r="AK429" t="s">
        <v>8168</v>
      </c>
      <c r="AL429">
        <v>4</v>
      </c>
      <c r="AM429" s="5">
        <f t="shared" si="50"/>
        <v>0.13793103448275862</v>
      </c>
      <c r="AN429" s="4">
        <f t="shared" si="55"/>
        <v>2.089072843358707E-4</v>
      </c>
      <c r="AO429" s="3"/>
      <c r="AP429">
        <v>0</v>
      </c>
      <c r="AR429" t="s">
        <v>1</v>
      </c>
      <c r="AT429" s="2">
        <v>1.3140000000000001</v>
      </c>
      <c r="AU429" s="1">
        <f t="shared" si="51"/>
        <v>0.7069959764383007</v>
      </c>
      <c r="AV429" s="1">
        <f t="shared" si="52"/>
        <v>0.51096590557981103</v>
      </c>
      <c r="AW429" s="1">
        <f t="shared" si="53"/>
        <v>0.31493583472132147</v>
      </c>
    </row>
    <row r="430" spans="1:49" x14ac:dyDescent="0.2">
      <c r="A430">
        <v>428</v>
      </c>
      <c r="B430" t="s">
        <v>8167</v>
      </c>
      <c r="C430" t="s">
        <v>8166</v>
      </c>
      <c r="F430" t="s">
        <v>8165</v>
      </c>
      <c r="G430" t="s">
        <v>15</v>
      </c>
      <c r="H430" t="s">
        <v>14</v>
      </c>
      <c r="I430" t="s">
        <v>8164</v>
      </c>
      <c r="J430" t="s">
        <v>8163</v>
      </c>
      <c r="K430" t="s">
        <v>8162</v>
      </c>
      <c r="L430" t="s">
        <v>8161</v>
      </c>
      <c r="M430" t="s">
        <v>8160</v>
      </c>
      <c r="N430">
        <v>7</v>
      </c>
      <c r="O430" t="s">
        <v>8159</v>
      </c>
      <c r="P430" t="s">
        <v>8158</v>
      </c>
      <c r="Q430" t="s">
        <v>8157</v>
      </c>
      <c r="R430" s="7">
        <v>33970</v>
      </c>
      <c r="S430" s="8">
        <f t="shared" si="48"/>
        <v>1993</v>
      </c>
      <c r="T430" s="8">
        <v>1993</v>
      </c>
      <c r="U430" s="8">
        <f t="shared" si="49"/>
        <v>29</v>
      </c>
      <c r="V430" s="7">
        <v>34274</v>
      </c>
      <c r="W430" t="s">
        <v>602</v>
      </c>
      <c r="X430" s="2">
        <v>0.371</v>
      </c>
      <c r="Y430" s="6">
        <f t="shared" si="54"/>
        <v>9.9036331117695747E-3</v>
      </c>
      <c r="AA430">
        <v>214922</v>
      </c>
      <c r="AB430">
        <v>130262</v>
      </c>
      <c r="AC430">
        <v>13474065</v>
      </c>
      <c r="AD430" t="s">
        <v>5</v>
      </c>
      <c r="AE430">
        <v>32</v>
      </c>
      <c r="AF430" s="12">
        <v>0.45833333333333331</v>
      </c>
      <c r="AH430" t="s">
        <v>8156</v>
      </c>
      <c r="AI430" t="s">
        <v>8155</v>
      </c>
      <c r="AJ430" t="s">
        <v>8154</v>
      </c>
      <c r="AK430" t="s">
        <v>8153</v>
      </c>
      <c r="AL430">
        <v>25</v>
      </c>
      <c r="AM430" s="5">
        <f t="shared" si="50"/>
        <v>0.86206896551724133</v>
      </c>
      <c r="AN430" s="4">
        <f t="shared" si="55"/>
        <v>1.3056705270991916E-3</v>
      </c>
      <c r="AO430" s="3"/>
      <c r="AP430">
        <v>0</v>
      </c>
      <c r="AR430" t="s">
        <v>1</v>
      </c>
      <c r="AT430" s="2">
        <v>1.48</v>
      </c>
      <c r="AU430" s="1">
        <f t="shared" si="51"/>
        <v>0.73242443363684595</v>
      </c>
      <c r="AV430" s="1">
        <f t="shared" si="52"/>
        <v>0.56046518194343831</v>
      </c>
      <c r="AW430" s="1">
        <f t="shared" si="53"/>
        <v>0.38850593025003066</v>
      </c>
    </row>
    <row r="431" spans="1:49" x14ac:dyDescent="0.2">
      <c r="A431">
        <v>429</v>
      </c>
      <c r="B431" t="s">
        <v>8152</v>
      </c>
      <c r="C431" t="s">
        <v>8151</v>
      </c>
      <c r="F431" t="s">
        <v>8150</v>
      </c>
      <c r="G431" t="s">
        <v>15</v>
      </c>
      <c r="H431" t="s">
        <v>14</v>
      </c>
      <c r="I431" t="s">
        <v>8149</v>
      </c>
      <c r="J431">
        <v>60026851</v>
      </c>
      <c r="K431" t="s">
        <v>6632</v>
      </c>
      <c r="L431" t="s">
        <v>6631</v>
      </c>
      <c r="M431" t="s">
        <v>493</v>
      </c>
      <c r="N431">
        <v>1</v>
      </c>
      <c r="O431" t="s">
        <v>6630</v>
      </c>
      <c r="P431">
        <v>56221161400</v>
      </c>
      <c r="Q431">
        <v>60026851</v>
      </c>
      <c r="R431" s="7">
        <v>33970</v>
      </c>
      <c r="S431" s="8">
        <f t="shared" si="48"/>
        <v>1993</v>
      </c>
      <c r="T431" s="8">
        <v>1993</v>
      </c>
      <c r="U431" s="8">
        <f t="shared" si="49"/>
        <v>29</v>
      </c>
      <c r="V431" s="7">
        <v>34274</v>
      </c>
      <c r="W431" t="s">
        <v>868</v>
      </c>
      <c r="X431" s="2">
        <v>0.375</v>
      </c>
      <c r="Y431" s="6">
        <f t="shared" si="54"/>
        <v>1.0010410827260351E-2</v>
      </c>
      <c r="AA431">
        <v>135194</v>
      </c>
      <c r="AB431">
        <v>24918</v>
      </c>
      <c r="AD431" t="s">
        <v>5</v>
      </c>
      <c r="AE431">
        <v>29</v>
      </c>
      <c r="AF431">
        <v>23</v>
      </c>
      <c r="AH431" t="s">
        <v>8148</v>
      </c>
      <c r="AI431" t="s">
        <v>8147</v>
      </c>
      <c r="AJ431" t="s">
        <v>8146</v>
      </c>
      <c r="AK431" t="s">
        <v>8145</v>
      </c>
      <c r="AL431">
        <v>10</v>
      </c>
      <c r="AM431" s="5">
        <f t="shared" si="50"/>
        <v>0.34482758620689657</v>
      </c>
      <c r="AN431" s="4">
        <f t="shared" si="55"/>
        <v>5.2226821083967677E-4</v>
      </c>
      <c r="AO431" s="3"/>
      <c r="AP431">
        <v>0</v>
      </c>
      <c r="AR431" t="s">
        <v>1</v>
      </c>
      <c r="AT431" s="2">
        <v>1.3140000000000001</v>
      </c>
      <c r="AU431" s="1">
        <f t="shared" si="51"/>
        <v>0.7163968042334149</v>
      </c>
      <c r="AV431" s="1">
        <f t="shared" si="52"/>
        <v>0.5266339519050014</v>
      </c>
      <c r="AW431" s="1">
        <f t="shared" si="53"/>
        <v>0.3368710995765879</v>
      </c>
    </row>
    <row r="432" spans="1:49" x14ac:dyDescent="0.2">
      <c r="A432">
        <v>430</v>
      </c>
      <c r="B432" t="s">
        <v>8144</v>
      </c>
      <c r="C432" t="s">
        <v>8143</v>
      </c>
      <c r="F432" t="s">
        <v>8142</v>
      </c>
      <c r="G432" t="s">
        <v>15</v>
      </c>
      <c r="H432" t="s">
        <v>14</v>
      </c>
      <c r="I432" t="s">
        <v>8141</v>
      </c>
      <c r="J432" t="s">
        <v>8140</v>
      </c>
      <c r="K432" t="s">
        <v>8139</v>
      </c>
      <c r="L432" t="s">
        <v>8138</v>
      </c>
      <c r="M432" t="s">
        <v>235</v>
      </c>
      <c r="N432">
        <v>3</v>
      </c>
      <c r="O432" t="s">
        <v>8137</v>
      </c>
      <c r="P432" t="s">
        <v>8136</v>
      </c>
      <c r="Q432" t="s">
        <v>8135</v>
      </c>
      <c r="R432" s="7">
        <v>33970</v>
      </c>
      <c r="S432" s="8">
        <f t="shared" si="48"/>
        <v>1993</v>
      </c>
      <c r="T432" s="8">
        <v>1993</v>
      </c>
      <c r="U432" s="8">
        <f t="shared" si="49"/>
        <v>29</v>
      </c>
      <c r="V432" s="7">
        <v>34274</v>
      </c>
      <c r="W432" t="s">
        <v>814</v>
      </c>
      <c r="X432" s="2">
        <v>1.6519999999999999</v>
      </c>
      <c r="Y432" s="6">
        <f t="shared" si="54"/>
        <v>4.409919649769093E-2</v>
      </c>
      <c r="AA432" t="s">
        <v>813</v>
      </c>
      <c r="AB432">
        <v>17337</v>
      </c>
      <c r="AC432">
        <v>15582221</v>
      </c>
      <c r="AD432" t="s">
        <v>5</v>
      </c>
      <c r="AE432">
        <v>41</v>
      </c>
      <c r="AF432">
        <v>11</v>
      </c>
      <c r="AH432" t="s">
        <v>8134</v>
      </c>
      <c r="AI432" t="s">
        <v>8133</v>
      </c>
      <c r="AK432" t="s">
        <v>8132</v>
      </c>
      <c r="AL432">
        <v>10</v>
      </c>
      <c r="AM432" s="5">
        <f t="shared" si="50"/>
        <v>0.34482758620689657</v>
      </c>
      <c r="AN432" s="4">
        <f t="shared" si="55"/>
        <v>5.2226821083967677E-4</v>
      </c>
      <c r="AO432" s="3"/>
      <c r="AP432">
        <v>0</v>
      </c>
      <c r="AR432" t="s">
        <v>1</v>
      </c>
      <c r="AT432" s="2" t="s">
        <v>0</v>
      </c>
      <c r="AU432" s="1">
        <f t="shared" si="51"/>
        <v>3.1026118011635551</v>
      </c>
      <c r="AV432" s="1">
        <f t="shared" si="52"/>
        <v>2.2310732354265306</v>
      </c>
      <c r="AW432" s="1">
        <f t="shared" si="53"/>
        <v>1.3595346696895052</v>
      </c>
    </row>
    <row r="433" spans="1:49" x14ac:dyDescent="0.2">
      <c r="A433">
        <v>431</v>
      </c>
      <c r="B433" t="s">
        <v>8131</v>
      </c>
      <c r="C433" t="s">
        <v>8130</v>
      </c>
      <c r="D433" t="s">
        <v>8129</v>
      </c>
      <c r="F433" t="s">
        <v>8128</v>
      </c>
      <c r="G433" t="s">
        <v>15</v>
      </c>
      <c r="H433" t="s">
        <v>14</v>
      </c>
      <c r="I433" t="s">
        <v>8127</v>
      </c>
      <c r="J433">
        <v>60012708</v>
      </c>
      <c r="K433" t="s">
        <v>8126</v>
      </c>
      <c r="L433" t="s">
        <v>8125</v>
      </c>
      <c r="M433" t="s">
        <v>10</v>
      </c>
      <c r="N433">
        <v>1</v>
      </c>
      <c r="O433" t="s">
        <v>8124</v>
      </c>
      <c r="P433">
        <v>7004492932</v>
      </c>
      <c r="Q433">
        <v>60012708</v>
      </c>
      <c r="R433" s="7">
        <v>33970</v>
      </c>
      <c r="S433" s="8">
        <f t="shared" si="48"/>
        <v>1993</v>
      </c>
      <c r="T433" s="8">
        <v>1993</v>
      </c>
      <c r="U433" s="8">
        <f t="shared" si="49"/>
        <v>29</v>
      </c>
      <c r="V433" s="7">
        <v>34274</v>
      </c>
      <c r="W433" t="s">
        <v>747</v>
      </c>
      <c r="X433" s="2">
        <v>0.90700000000000003</v>
      </c>
      <c r="Y433" s="6">
        <f t="shared" si="54"/>
        <v>2.4211846987533703E-2</v>
      </c>
      <c r="AA433">
        <v>1651684</v>
      </c>
      <c r="AB433">
        <v>25548</v>
      </c>
      <c r="AD433" t="s">
        <v>5</v>
      </c>
      <c r="AE433">
        <v>34</v>
      </c>
      <c r="AF433">
        <v>2</v>
      </c>
      <c r="AH433" t="s">
        <v>8123</v>
      </c>
      <c r="AI433" t="s">
        <v>8122</v>
      </c>
      <c r="AJ433" t="s">
        <v>8121</v>
      </c>
      <c r="AK433" t="s">
        <v>8120</v>
      </c>
      <c r="AL433">
        <v>33</v>
      </c>
      <c r="AM433" s="5">
        <f t="shared" si="50"/>
        <v>1.1379310344827587</v>
      </c>
      <c r="AN433" s="4">
        <f t="shared" si="55"/>
        <v>1.7234850957709331E-3</v>
      </c>
      <c r="AO433" s="3"/>
      <c r="AP433">
        <v>0</v>
      </c>
      <c r="AR433" t="s">
        <v>1</v>
      </c>
      <c r="AT433" s="2">
        <v>4.6619999999999999</v>
      </c>
      <c r="AU433" s="1">
        <f t="shared" si="51"/>
        <v>1.7465338420004868</v>
      </c>
      <c r="AV433" s="1">
        <f t="shared" si="52"/>
        <v>1.2967666041652317</v>
      </c>
      <c r="AW433" s="1">
        <f t="shared" si="53"/>
        <v>0.84699936632997641</v>
      </c>
    </row>
    <row r="434" spans="1:49" x14ac:dyDescent="0.2">
      <c r="A434">
        <v>432</v>
      </c>
      <c r="B434" t="s">
        <v>8119</v>
      </c>
      <c r="C434" t="s">
        <v>8118</v>
      </c>
      <c r="F434" t="s">
        <v>8117</v>
      </c>
      <c r="G434" t="s">
        <v>15</v>
      </c>
      <c r="H434" t="s">
        <v>14</v>
      </c>
      <c r="I434" t="s">
        <v>8116</v>
      </c>
      <c r="N434">
        <v>3</v>
      </c>
      <c r="O434" t="s">
        <v>8115</v>
      </c>
      <c r="P434" t="s">
        <v>8114</v>
      </c>
      <c r="Q434" t="s">
        <v>2929</v>
      </c>
      <c r="R434" s="7">
        <v>33970</v>
      </c>
      <c r="S434" s="8">
        <f t="shared" si="48"/>
        <v>1993</v>
      </c>
      <c r="T434" s="8">
        <v>1993</v>
      </c>
      <c r="U434" s="8">
        <f t="shared" si="49"/>
        <v>29</v>
      </c>
      <c r="V434" s="7" t="s">
        <v>1646</v>
      </c>
      <c r="W434" t="s">
        <v>1555</v>
      </c>
      <c r="X434" s="2">
        <v>0.371</v>
      </c>
      <c r="Y434" s="6">
        <f t="shared" si="54"/>
        <v>9.9036331117695747E-3</v>
      </c>
      <c r="AA434">
        <v>486604</v>
      </c>
      <c r="AB434">
        <v>28580</v>
      </c>
      <c r="AC434" t="s">
        <v>1554</v>
      </c>
      <c r="AD434" t="s">
        <v>5</v>
      </c>
      <c r="AE434">
        <v>28</v>
      </c>
      <c r="AF434">
        <v>6</v>
      </c>
      <c r="AH434" t="s">
        <v>8113</v>
      </c>
      <c r="AI434" t="s">
        <v>8112</v>
      </c>
      <c r="AK434" t="s">
        <v>8111</v>
      </c>
      <c r="AL434">
        <v>1</v>
      </c>
      <c r="AM434" s="5">
        <f t="shared" si="50"/>
        <v>3.4482758620689655E-2</v>
      </c>
      <c r="AN434" s="4">
        <f t="shared" si="55"/>
        <v>5.2226821083967674E-5</v>
      </c>
      <c r="AO434" s="3"/>
      <c r="AP434">
        <v>0</v>
      </c>
      <c r="AR434" t="s">
        <v>1</v>
      </c>
      <c r="AT434" s="2">
        <v>1.431</v>
      </c>
      <c r="AU434" s="1">
        <f t="shared" si="51"/>
        <v>0.69482112245638916</v>
      </c>
      <c r="AV434" s="1">
        <f t="shared" si="52"/>
        <v>0.49779299664267707</v>
      </c>
      <c r="AW434" s="1">
        <f t="shared" si="53"/>
        <v>0.30076487082896497</v>
      </c>
    </row>
    <row r="435" spans="1:49" x14ac:dyDescent="0.2">
      <c r="A435">
        <v>433</v>
      </c>
      <c r="B435" t="s">
        <v>8110</v>
      </c>
      <c r="C435" t="s">
        <v>8109</v>
      </c>
      <c r="F435" t="s">
        <v>8108</v>
      </c>
      <c r="G435" t="s">
        <v>15</v>
      </c>
      <c r="H435" t="s">
        <v>14</v>
      </c>
      <c r="I435" t="s">
        <v>8107</v>
      </c>
      <c r="J435">
        <v>60021378</v>
      </c>
      <c r="K435" t="s">
        <v>7832</v>
      </c>
      <c r="L435" t="s">
        <v>7831</v>
      </c>
      <c r="M435" t="s">
        <v>10</v>
      </c>
      <c r="N435">
        <v>1</v>
      </c>
      <c r="O435" t="s">
        <v>8106</v>
      </c>
      <c r="P435">
        <v>7102662778</v>
      </c>
      <c r="Q435">
        <v>60021378</v>
      </c>
      <c r="R435" s="7">
        <v>33970</v>
      </c>
      <c r="S435" s="8">
        <f t="shared" si="48"/>
        <v>1993</v>
      </c>
      <c r="T435" s="8">
        <v>1993</v>
      </c>
      <c r="U435" s="8">
        <f t="shared" si="49"/>
        <v>29</v>
      </c>
      <c r="V435" s="7">
        <v>34274</v>
      </c>
      <c r="W435" t="s">
        <v>2565</v>
      </c>
      <c r="X435" s="2">
        <v>1.365</v>
      </c>
      <c r="Y435" s="6">
        <f t="shared" si="54"/>
        <v>3.6437895411227675E-2</v>
      </c>
      <c r="AA435">
        <v>189545</v>
      </c>
      <c r="AB435">
        <v>17393</v>
      </c>
      <c r="AC435">
        <v>19399359</v>
      </c>
      <c r="AD435" t="s">
        <v>5</v>
      </c>
      <c r="AE435">
        <v>42</v>
      </c>
      <c r="AF435">
        <v>4</v>
      </c>
      <c r="AH435" t="s">
        <v>8105</v>
      </c>
      <c r="AI435" t="s">
        <v>8104</v>
      </c>
      <c r="AK435" t="s">
        <v>8103</v>
      </c>
      <c r="AL435">
        <v>156</v>
      </c>
      <c r="AM435" s="5">
        <f t="shared" si="50"/>
        <v>5.3793103448275863</v>
      </c>
      <c r="AN435" s="4">
        <f t="shared" si="55"/>
        <v>8.1473840890989562E-3</v>
      </c>
      <c r="AO435" s="3"/>
      <c r="AP435">
        <v>0</v>
      </c>
      <c r="AR435" t="s">
        <v>1</v>
      </c>
      <c r="AT435" s="2" t="s">
        <v>0</v>
      </c>
      <c r="AU435" s="1">
        <f t="shared" si="51"/>
        <v>2.7950742014589056</v>
      </c>
      <c r="AV435" s="1">
        <f t="shared" si="52"/>
        <v>2.2292639750163317</v>
      </c>
      <c r="AW435" s="1">
        <f t="shared" si="53"/>
        <v>1.6634537485737571</v>
      </c>
    </row>
    <row r="436" spans="1:49" x14ac:dyDescent="0.2">
      <c r="A436">
        <v>434</v>
      </c>
      <c r="B436" t="s">
        <v>8102</v>
      </c>
      <c r="C436" t="s">
        <v>8101</v>
      </c>
      <c r="F436" t="s">
        <v>8100</v>
      </c>
      <c r="G436" t="s">
        <v>15</v>
      </c>
      <c r="H436" t="s">
        <v>14</v>
      </c>
      <c r="I436" t="s">
        <v>8099</v>
      </c>
      <c r="J436">
        <v>60000891</v>
      </c>
      <c r="K436" t="s">
        <v>2533</v>
      </c>
      <c r="L436" t="s">
        <v>2532</v>
      </c>
      <c r="M436" t="s">
        <v>493</v>
      </c>
      <c r="N436">
        <v>3</v>
      </c>
      <c r="O436" t="s">
        <v>8098</v>
      </c>
      <c r="P436" t="s">
        <v>8097</v>
      </c>
      <c r="Q436" t="s">
        <v>2529</v>
      </c>
      <c r="R436" s="7">
        <v>33970</v>
      </c>
      <c r="S436" s="8">
        <f t="shared" si="48"/>
        <v>1993</v>
      </c>
      <c r="T436" s="8">
        <v>1993</v>
      </c>
      <c r="U436" s="8">
        <f t="shared" si="49"/>
        <v>29</v>
      </c>
      <c r="V436" s="7">
        <v>34274</v>
      </c>
      <c r="W436" t="s">
        <v>868</v>
      </c>
      <c r="X436" s="2">
        <v>0.375</v>
      </c>
      <c r="Y436" s="6">
        <f t="shared" si="54"/>
        <v>1.0010410827260351E-2</v>
      </c>
      <c r="AA436">
        <v>135194</v>
      </c>
      <c r="AB436">
        <v>24918</v>
      </c>
      <c r="AD436" t="s">
        <v>5</v>
      </c>
      <c r="AE436">
        <v>29</v>
      </c>
      <c r="AF436">
        <v>23</v>
      </c>
      <c r="AH436" t="s">
        <v>8096</v>
      </c>
      <c r="AI436" t="s">
        <v>8095</v>
      </c>
      <c r="AJ436" t="s">
        <v>8094</v>
      </c>
      <c r="AK436" t="s">
        <v>8093</v>
      </c>
      <c r="AL436">
        <v>3</v>
      </c>
      <c r="AM436" s="5">
        <f t="shared" si="50"/>
        <v>0.10344827586206896</v>
      </c>
      <c r="AN436" s="4">
        <f t="shared" si="55"/>
        <v>1.5668046325190301E-4</v>
      </c>
      <c r="AO436" s="3"/>
      <c r="AP436">
        <v>0</v>
      </c>
      <c r="AR436" t="s">
        <v>1</v>
      </c>
      <c r="AT436" s="2">
        <v>1.3140000000000001</v>
      </c>
      <c r="AU436" s="1">
        <f t="shared" si="51"/>
        <v>0.70542917180578169</v>
      </c>
      <c r="AV436" s="1">
        <f t="shared" si="52"/>
        <v>0.50835456452561267</v>
      </c>
      <c r="AW436" s="1">
        <f t="shared" si="53"/>
        <v>0.31127995724544377</v>
      </c>
    </row>
    <row r="437" spans="1:49" x14ac:dyDescent="0.2">
      <c r="A437">
        <v>435</v>
      </c>
      <c r="B437" t="s">
        <v>8092</v>
      </c>
      <c r="C437" t="s">
        <v>8091</v>
      </c>
      <c r="D437" t="s">
        <v>8090</v>
      </c>
      <c r="F437" t="s">
        <v>8089</v>
      </c>
      <c r="G437" t="s">
        <v>15</v>
      </c>
      <c r="H437" t="s">
        <v>14</v>
      </c>
      <c r="I437" t="s">
        <v>8088</v>
      </c>
      <c r="J437" t="s">
        <v>8084</v>
      </c>
      <c r="K437" t="s">
        <v>8087</v>
      </c>
      <c r="L437" t="s">
        <v>5192</v>
      </c>
      <c r="M437" t="s">
        <v>235</v>
      </c>
      <c r="N437">
        <v>2</v>
      </c>
      <c r="O437" t="s">
        <v>8086</v>
      </c>
      <c r="P437" t="s">
        <v>8085</v>
      </c>
      <c r="Q437" t="s">
        <v>8084</v>
      </c>
      <c r="R437" s="7">
        <v>33970</v>
      </c>
      <c r="S437" s="8">
        <f t="shared" si="48"/>
        <v>1993</v>
      </c>
      <c r="T437" s="8">
        <v>1993</v>
      </c>
      <c r="U437" s="8">
        <f t="shared" si="49"/>
        <v>29</v>
      </c>
      <c r="V437" s="7">
        <v>34274</v>
      </c>
      <c r="W437" t="s">
        <v>7251</v>
      </c>
      <c r="X437" s="2">
        <v>0.96</v>
      </c>
      <c r="Y437" s="6">
        <f t="shared" si="54"/>
        <v>2.5626651717786497E-2</v>
      </c>
      <c r="AA437" t="s">
        <v>7250</v>
      </c>
      <c r="AB437">
        <v>18189</v>
      </c>
      <c r="AD437" t="s">
        <v>5</v>
      </c>
      <c r="AE437">
        <v>14</v>
      </c>
      <c r="AF437">
        <v>4</v>
      </c>
      <c r="AH437" t="s">
        <v>8083</v>
      </c>
      <c r="AI437" t="s">
        <v>8082</v>
      </c>
      <c r="AK437" t="s">
        <v>8081</v>
      </c>
      <c r="AL437">
        <v>5</v>
      </c>
      <c r="AM437" s="5">
        <f t="shared" si="50"/>
        <v>0.17241379310344829</v>
      </c>
      <c r="AN437" s="4">
        <f t="shared" si="55"/>
        <v>2.6113410541983838E-4</v>
      </c>
      <c r="AO437" s="3"/>
      <c r="AP437">
        <v>0</v>
      </c>
      <c r="AR437" t="s">
        <v>1</v>
      </c>
      <c r="AT437" s="2">
        <v>2.972</v>
      </c>
      <c r="AU437" s="1">
        <f t="shared" si="51"/>
        <v>1.8016996434076498</v>
      </c>
      <c r="AV437" s="1">
        <f t="shared" si="52"/>
        <v>1.2943892911603168</v>
      </c>
      <c r="AW437" s="1">
        <f t="shared" si="53"/>
        <v>0.78707893891298353</v>
      </c>
    </row>
    <row r="438" spans="1:49" x14ac:dyDescent="0.2">
      <c r="A438">
        <v>436</v>
      </c>
      <c r="B438" t="s">
        <v>8080</v>
      </c>
      <c r="C438" t="s">
        <v>8079</v>
      </c>
      <c r="F438" t="s">
        <v>8078</v>
      </c>
      <c r="G438" t="s">
        <v>15</v>
      </c>
      <c r="H438" t="s">
        <v>14</v>
      </c>
      <c r="I438" t="s">
        <v>8077</v>
      </c>
      <c r="J438">
        <v>60020583</v>
      </c>
      <c r="K438" t="s">
        <v>3945</v>
      </c>
      <c r="L438" t="s">
        <v>3944</v>
      </c>
      <c r="M438" t="s">
        <v>10</v>
      </c>
      <c r="N438">
        <v>2</v>
      </c>
      <c r="O438" t="s">
        <v>8076</v>
      </c>
      <c r="P438" t="s">
        <v>8075</v>
      </c>
      <c r="Q438" t="s">
        <v>8074</v>
      </c>
      <c r="R438" s="7">
        <v>33970</v>
      </c>
      <c r="S438" s="8">
        <f t="shared" si="48"/>
        <v>1993</v>
      </c>
      <c r="T438" s="8">
        <v>1993</v>
      </c>
      <c r="U438" s="8">
        <f t="shared" si="49"/>
        <v>29</v>
      </c>
      <c r="V438" s="7">
        <v>34274</v>
      </c>
      <c r="W438" t="s">
        <v>2801</v>
      </c>
      <c r="X438" s="2">
        <v>0.65500000000000003</v>
      </c>
      <c r="Y438" s="6">
        <f t="shared" si="54"/>
        <v>1.7484850911614749E-2</v>
      </c>
      <c r="AA438">
        <v>189375</v>
      </c>
      <c r="AB438">
        <v>26051</v>
      </c>
      <c r="AC438" t="s">
        <v>2800</v>
      </c>
      <c r="AD438" t="s">
        <v>5</v>
      </c>
      <c r="AE438">
        <v>35</v>
      </c>
      <c r="AF438">
        <v>4</v>
      </c>
      <c r="AH438" t="s">
        <v>8073</v>
      </c>
      <c r="AI438" t="s">
        <v>8072</v>
      </c>
      <c r="AK438" t="s">
        <v>8071</v>
      </c>
      <c r="AL438">
        <v>5</v>
      </c>
      <c r="AM438" s="5">
        <f t="shared" si="50"/>
        <v>0.17241379310344829</v>
      </c>
      <c r="AN438" s="4">
        <f t="shared" si="55"/>
        <v>2.6113410541983838E-4</v>
      </c>
      <c r="AO438" s="3"/>
      <c r="AP438">
        <v>0</v>
      </c>
      <c r="AR438" t="s">
        <v>1</v>
      </c>
      <c r="AT438" s="2" t="s">
        <v>0</v>
      </c>
      <c r="AU438" s="1">
        <f t="shared" si="51"/>
        <v>1.2317735869756274</v>
      </c>
      <c r="AV438" s="1">
        <f t="shared" si="52"/>
        <v>0.88729925085172945</v>
      </c>
      <c r="AW438" s="1">
        <f t="shared" si="53"/>
        <v>0.54282491472783112</v>
      </c>
    </row>
    <row r="439" spans="1:49" x14ac:dyDescent="0.2">
      <c r="A439">
        <v>437</v>
      </c>
      <c r="B439" t="s">
        <v>8070</v>
      </c>
      <c r="C439" t="s">
        <v>8069</v>
      </c>
      <c r="F439" t="s">
        <v>8068</v>
      </c>
      <c r="G439" t="s">
        <v>15</v>
      </c>
      <c r="H439" t="s">
        <v>14</v>
      </c>
      <c r="I439" t="s">
        <v>8067</v>
      </c>
      <c r="J439" t="s">
        <v>8066</v>
      </c>
      <c r="K439" t="s">
        <v>8065</v>
      </c>
      <c r="L439" t="s">
        <v>8064</v>
      </c>
      <c r="M439" t="s">
        <v>8063</v>
      </c>
      <c r="N439">
        <v>2</v>
      </c>
      <c r="O439" t="s">
        <v>8062</v>
      </c>
      <c r="P439" t="s">
        <v>8061</v>
      </c>
      <c r="Q439" t="s">
        <v>8060</v>
      </c>
      <c r="R439" s="7">
        <v>33970</v>
      </c>
      <c r="S439" s="8">
        <f t="shared" si="48"/>
        <v>1993</v>
      </c>
      <c r="T439" s="8">
        <v>1993</v>
      </c>
      <c r="U439" s="8">
        <f t="shared" si="49"/>
        <v>29</v>
      </c>
      <c r="V439" s="7">
        <v>34274</v>
      </c>
      <c r="W439" t="s">
        <v>616</v>
      </c>
      <c r="X439" s="2">
        <v>1.6379999999999999</v>
      </c>
      <c r="Y439" s="6">
        <f t="shared" si="54"/>
        <v>4.3725474493473214E-2</v>
      </c>
      <c r="AA439" t="s">
        <v>615</v>
      </c>
      <c r="AB439">
        <v>17391</v>
      </c>
      <c r="AC439">
        <v>19410476</v>
      </c>
      <c r="AD439" t="s">
        <v>5</v>
      </c>
      <c r="AE439">
        <v>41</v>
      </c>
      <c r="AF439">
        <v>11</v>
      </c>
      <c r="AH439" t="s">
        <v>8059</v>
      </c>
      <c r="AI439" t="s">
        <v>8058</v>
      </c>
      <c r="AK439" t="s">
        <v>8057</v>
      </c>
      <c r="AL439">
        <v>19</v>
      </c>
      <c r="AM439" s="5">
        <f t="shared" si="50"/>
        <v>0.65517241379310343</v>
      </c>
      <c r="AN439" s="4">
        <f t="shared" si="55"/>
        <v>9.9230960059538574E-4</v>
      </c>
      <c r="AO439" s="3"/>
      <c r="AP439">
        <v>0</v>
      </c>
      <c r="AR439" t="s">
        <v>1</v>
      </c>
      <c r="AT439" s="2">
        <v>4.931</v>
      </c>
      <c r="AU439" s="1">
        <f t="shared" si="51"/>
        <v>3.0905525025609863</v>
      </c>
      <c r="AV439" s="1">
        <f t="shared" si="52"/>
        <v>2.23588920470343</v>
      </c>
      <c r="AW439" s="1">
        <f t="shared" si="53"/>
        <v>1.3812259068458734</v>
      </c>
    </row>
    <row r="440" spans="1:49" x14ac:dyDescent="0.2">
      <c r="A440">
        <v>438</v>
      </c>
      <c r="B440" t="s">
        <v>8056</v>
      </c>
      <c r="C440" t="s">
        <v>8055</v>
      </c>
      <c r="F440" t="s">
        <v>8054</v>
      </c>
      <c r="G440" t="s">
        <v>15</v>
      </c>
      <c r="H440" t="s">
        <v>14</v>
      </c>
      <c r="I440" t="s">
        <v>8053</v>
      </c>
      <c r="N440">
        <v>2</v>
      </c>
      <c r="O440" t="s">
        <v>8052</v>
      </c>
      <c r="P440" t="s">
        <v>8051</v>
      </c>
      <c r="Q440" t="s">
        <v>1557</v>
      </c>
      <c r="R440" s="7">
        <v>33970</v>
      </c>
      <c r="S440" s="8">
        <f t="shared" si="48"/>
        <v>1993</v>
      </c>
      <c r="T440" s="8">
        <v>1993</v>
      </c>
      <c r="U440" s="8">
        <f t="shared" si="49"/>
        <v>29</v>
      </c>
      <c r="V440" s="7" t="s">
        <v>1646</v>
      </c>
      <c r="W440" t="s">
        <v>1555</v>
      </c>
      <c r="X440" s="2">
        <v>0.371</v>
      </c>
      <c r="Y440" s="6">
        <f t="shared" si="54"/>
        <v>9.9036331117695747E-3</v>
      </c>
      <c r="AA440">
        <v>486604</v>
      </c>
      <c r="AB440">
        <v>28580</v>
      </c>
      <c r="AC440" t="s">
        <v>1554</v>
      </c>
      <c r="AD440" t="s">
        <v>5</v>
      </c>
      <c r="AE440">
        <v>28</v>
      </c>
      <c r="AF440">
        <v>6</v>
      </c>
      <c r="AH440" t="s">
        <v>8050</v>
      </c>
      <c r="AI440" t="s">
        <v>8049</v>
      </c>
      <c r="AK440" t="s">
        <v>8048</v>
      </c>
      <c r="AL440">
        <v>52</v>
      </c>
      <c r="AM440" s="5">
        <f t="shared" si="50"/>
        <v>1.7931034482758621</v>
      </c>
      <c r="AN440" s="4">
        <f t="shared" si="55"/>
        <v>2.7157946963663189E-3</v>
      </c>
      <c r="AO440" s="3"/>
      <c r="AP440">
        <v>0</v>
      </c>
      <c r="AR440" t="s">
        <v>1</v>
      </c>
      <c r="AT440" s="2">
        <v>1.431</v>
      </c>
      <c r="AU440" s="1">
        <f t="shared" si="51"/>
        <v>0.77472815871485967</v>
      </c>
      <c r="AV440" s="1">
        <f t="shared" si="52"/>
        <v>0.63097139040679473</v>
      </c>
      <c r="AW440" s="1">
        <f t="shared" si="53"/>
        <v>0.48721462209872951</v>
      </c>
    </row>
    <row r="441" spans="1:49" x14ac:dyDescent="0.2">
      <c r="A441">
        <v>439</v>
      </c>
      <c r="B441" t="s">
        <v>8047</v>
      </c>
      <c r="C441" t="s">
        <v>8046</v>
      </c>
      <c r="F441" t="s">
        <v>8045</v>
      </c>
      <c r="G441" t="s">
        <v>15</v>
      </c>
      <c r="H441" t="s">
        <v>14</v>
      </c>
      <c r="I441" t="s">
        <v>7012</v>
      </c>
      <c r="J441">
        <v>60030526</v>
      </c>
      <c r="K441" t="s">
        <v>7011</v>
      </c>
      <c r="L441" t="s">
        <v>151</v>
      </c>
      <c r="M441" t="s">
        <v>150</v>
      </c>
      <c r="N441">
        <v>3</v>
      </c>
      <c r="O441" t="s">
        <v>8044</v>
      </c>
      <c r="P441" t="s">
        <v>8043</v>
      </c>
      <c r="Q441" t="s">
        <v>8042</v>
      </c>
      <c r="R441" s="7">
        <v>33970</v>
      </c>
      <c r="S441" s="8">
        <f t="shared" si="48"/>
        <v>1993</v>
      </c>
      <c r="T441" s="8">
        <v>1993</v>
      </c>
      <c r="U441" s="8">
        <f t="shared" si="49"/>
        <v>29</v>
      </c>
      <c r="V441" s="7">
        <v>34274</v>
      </c>
      <c r="W441" t="s">
        <v>814</v>
      </c>
      <c r="X441" s="2">
        <v>1.6519999999999999</v>
      </c>
      <c r="Y441" s="6">
        <f t="shared" si="54"/>
        <v>4.409919649769093E-2</v>
      </c>
      <c r="AA441" t="s">
        <v>813</v>
      </c>
      <c r="AB441">
        <v>17337</v>
      </c>
      <c r="AC441">
        <v>15582221</v>
      </c>
      <c r="AD441" t="s">
        <v>5</v>
      </c>
      <c r="AE441">
        <v>41</v>
      </c>
      <c r="AF441">
        <v>11</v>
      </c>
      <c r="AH441" t="s">
        <v>8041</v>
      </c>
      <c r="AI441" t="s">
        <v>8040</v>
      </c>
      <c r="AK441" t="s">
        <v>8039</v>
      </c>
      <c r="AL441">
        <v>6</v>
      </c>
      <c r="AM441" s="5">
        <f t="shared" si="50"/>
        <v>0.20689655172413793</v>
      </c>
      <c r="AN441" s="4">
        <f t="shared" si="55"/>
        <v>3.1336092650380602E-4</v>
      </c>
      <c r="AO441" s="3"/>
      <c r="AP441">
        <v>0</v>
      </c>
      <c r="AR441" t="s">
        <v>1</v>
      </c>
      <c r="AT441" s="2" t="s">
        <v>0</v>
      </c>
      <c r="AU441" s="1">
        <f t="shared" si="51"/>
        <v>3.096344582633479</v>
      </c>
      <c r="AV441" s="1">
        <f t="shared" si="52"/>
        <v>2.2206278712097367</v>
      </c>
      <c r="AW441" s="1">
        <f t="shared" si="53"/>
        <v>1.3449111597859942</v>
      </c>
    </row>
    <row r="442" spans="1:49" x14ac:dyDescent="0.2">
      <c r="A442">
        <v>440</v>
      </c>
      <c r="B442" t="s">
        <v>8038</v>
      </c>
      <c r="C442" t="s">
        <v>8037</v>
      </c>
      <c r="F442" t="s">
        <v>8036</v>
      </c>
      <c r="G442" t="s">
        <v>15</v>
      </c>
      <c r="H442" t="s">
        <v>14</v>
      </c>
      <c r="I442" t="s">
        <v>8035</v>
      </c>
      <c r="J442" t="s">
        <v>8034</v>
      </c>
      <c r="K442" t="s">
        <v>8033</v>
      </c>
      <c r="L442" t="s">
        <v>8032</v>
      </c>
      <c r="M442" t="s">
        <v>8031</v>
      </c>
      <c r="N442">
        <v>3</v>
      </c>
      <c r="O442" t="s">
        <v>8030</v>
      </c>
      <c r="P442" t="s">
        <v>8029</v>
      </c>
      <c r="Q442" t="s">
        <v>8028</v>
      </c>
      <c r="R442" s="7">
        <v>33970</v>
      </c>
      <c r="S442" s="8">
        <f t="shared" si="48"/>
        <v>1993</v>
      </c>
      <c r="T442" s="8">
        <v>1993</v>
      </c>
      <c r="U442" s="8">
        <f t="shared" si="49"/>
        <v>29</v>
      </c>
      <c r="V442" s="7">
        <v>34274</v>
      </c>
      <c r="W442" t="s">
        <v>814</v>
      </c>
      <c r="X442" s="2">
        <v>1.6519999999999999</v>
      </c>
      <c r="Y442" s="6">
        <f t="shared" si="54"/>
        <v>4.409919649769093E-2</v>
      </c>
      <c r="AA442" t="s">
        <v>813</v>
      </c>
      <c r="AB442">
        <v>17337</v>
      </c>
      <c r="AC442">
        <v>15582221</v>
      </c>
      <c r="AD442" t="s">
        <v>5</v>
      </c>
      <c r="AE442">
        <v>41</v>
      </c>
      <c r="AF442">
        <v>11</v>
      </c>
      <c r="AH442" t="s">
        <v>8027</v>
      </c>
      <c r="AI442" t="s">
        <v>8026</v>
      </c>
      <c r="AK442" t="s">
        <v>8025</v>
      </c>
      <c r="AL442">
        <v>9</v>
      </c>
      <c r="AM442" s="5">
        <f t="shared" si="50"/>
        <v>0.31034482758620691</v>
      </c>
      <c r="AN442" s="4">
        <f t="shared" si="55"/>
        <v>4.7004138975570908E-4</v>
      </c>
      <c r="AO442" s="3"/>
      <c r="AP442">
        <v>0</v>
      </c>
      <c r="AR442" t="s">
        <v>1</v>
      </c>
      <c r="AT442" s="2" t="s">
        <v>0</v>
      </c>
      <c r="AU442" s="1">
        <f t="shared" si="51"/>
        <v>3.1010449965310363</v>
      </c>
      <c r="AV442" s="1">
        <f t="shared" si="52"/>
        <v>2.228461894372332</v>
      </c>
      <c r="AW442" s="1">
        <f t="shared" si="53"/>
        <v>1.3558787922136275</v>
      </c>
    </row>
    <row r="443" spans="1:49" x14ac:dyDescent="0.2">
      <c r="A443">
        <v>441</v>
      </c>
      <c r="B443" t="s">
        <v>8024</v>
      </c>
      <c r="C443" t="s">
        <v>8023</v>
      </c>
      <c r="F443" t="s">
        <v>8022</v>
      </c>
      <c r="G443" t="s">
        <v>15</v>
      </c>
      <c r="H443" t="s">
        <v>14</v>
      </c>
      <c r="I443" t="s">
        <v>8021</v>
      </c>
      <c r="N443">
        <v>4</v>
      </c>
      <c r="O443" t="s">
        <v>8020</v>
      </c>
      <c r="P443" t="s">
        <v>8019</v>
      </c>
      <c r="Q443" t="s">
        <v>6458</v>
      </c>
      <c r="R443" s="7">
        <v>33970</v>
      </c>
      <c r="S443" s="8">
        <f t="shared" si="48"/>
        <v>1993</v>
      </c>
      <c r="T443" s="8">
        <v>1993</v>
      </c>
      <c r="U443" s="8">
        <f t="shared" si="49"/>
        <v>29</v>
      </c>
      <c r="V443" s="7" t="s">
        <v>1646</v>
      </c>
      <c r="W443" t="s">
        <v>1555</v>
      </c>
      <c r="X443" s="2">
        <v>0.371</v>
      </c>
      <c r="Y443" s="6">
        <f t="shared" si="54"/>
        <v>9.9036331117695747E-3</v>
      </c>
      <c r="AA443">
        <v>486604</v>
      </c>
      <c r="AB443">
        <v>28580</v>
      </c>
      <c r="AC443" t="s">
        <v>1554</v>
      </c>
      <c r="AD443" t="s">
        <v>5</v>
      </c>
      <c r="AE443">
        <v>28</v>
      </c>
      <c r="AF443">
        <v>6</v>
      </c>
      <c r="AH443" t="s">
        <v>8018</v>
      </c>
      <c r="AI443" t="s">
        <v>8017</v>
      </c>
      <c r="AK443" t="s">
        <v>8016</v>
      </c>
      <c r="AL443">
        <v>5</v>
      </c>
      <c r="AM443" s="5">
        <f t="shared" si="50"/>
        <v>0.17241379310344829</v>
      </c>
      <c r="AN443" s="4">
        <f t="shared" si="55"/>
        <v>2.6113410541983838E-4</v>
      </c>
      <c r="AO443" s="3"/>
      <c r="AP443">
        <v>0</v>
      </c>
      <c r="AR443" t="s">
        <v>1</v>
      </c>
      <c r="AT443" s="2">
        <v>1.431</v>
      </c>
      <c r="AU443" s="1">
        <f t="shared" si="51"/>
        <v>0.70108834098646533</v>
      </c>
      <c r="AV443" s="1">
        <f t="shared" si="52"/>
        <v>0.50823836085947072</v>
      </c>
      <c r="AW443" s="1">
        <f t="shared" si="53"/>
        <v>0.31538838073247594</v>
      </c>
    </row>
    <row r="444" spans="1:49" x14ac:dyDescent="0.2">
      <c r="A444">
        <v>442</v>
      </c>
      <c r="B444" t="s">
        <v>8015</v>
      </c>
      <c r="C444" t="s">
        <v>8014</v>
      </c>
      <c r="F444" t="s">
        <v>8013</v>
      </c>
      <c r="G444" t="s">
        <v>15</v>
      </c>
      <c r="H444" t="s">
        <v>14</v>
      </c>
      <c r="I444" t="s">
        <v>3816</v>
      </c>
      <c r="J444" t="s">
        <v>8007</v>
      </c>
      <c r="K444" t="s">
        <v>8012</v>
      </c>
      <c r="L444" t="s">
        <v>8011</v>
      </c>
      <c r="M444" t="s">
        <v>8010</v>
      </c>
      <c r="N444">
        <v>2</v>
      </c>
      <c r="O444" t="s">
        <v>8009</v>
      </c>
      <c r="P444" t="s">
        <v>8008</v>
      </c>
      <c r="Q444" t="s">
        <v>8007</v>
      </c>
      <c r="R444" s="7">
        <v>33970</v>
      </c>
      <c r="S444" s="8">
        <f t="shared" si="48"/>
        <v>1993</v>
      </c>
      <c r="T444" s="8">
        <v>1993</v>
      </c>
      <c r="U444" s="8">
        <f t="shared" si="49"/>
        <v>29</v>
      </c>
      <c r="V444" s="7">
        <v>34274</v>
      </c>
      <c r="W444" t="s">
        <v>2565</v>
      </c>
      <c r="X444" s="2">
        <v>1.365</v>
      </c>
      <c r="Y444" s="6">
        <f t="shared" si="54"/>
        <v>3.6437895411227675E-2</v>
      </c>
      <c r="AA444">
        <v>189545</v>
      </c>
      <c r="AB444">
        <v>17393</v>
      </c>
      <c r="AC444">
        <v>19399359</v>
      </c>
      <c r="AD444" t="s">
        <v>5</v>
      </c>
      <c r="AE444">
        <v>42</v>
      </c>
      <c r="AF444">
        <v>4</v>
      </c>
      <c r="AH444" t="s">
        <v>8006</v>
      </c>
      <c r="AI444" t="s">
        <v>8005</v>
      </c>
      <c r="AK444" t="s">
        <v>8004</v>
      </c>
      <c r="AL444">
        <v>8</v>
      </c>
      <c r="AM444" s="5">
        <f t="shared" si="50"/>
        <v>0.27586206896551724</v>
      </c>
      <c r="AN444" s="4">
        <f t="shared" si="55"/>
        <v>4.1781456867174139E-4</v>
      </c>
      <c r="AO444" s="3"/>
      <c r="AP444">
        <v>0</v>
      </c>
      <c r="AR444" t="s">
        <v>1</v>
      </c>
      <c r="AT444" s="2" t="s">
        <v>0</v>
      </c>
      <c r="AU444" s="1">
        <f t="shared" si="51"/>
        <v>2.5631871158460893</v>
      </c>
      <c r="AV444" s="1">
        <f t="shared" si="52"/>
        <v>1.842785498994971</v>
      </c>
      <c r="AW444" s="1">
        <f t="shared" si="53"/>
        <v>1.1223838821438521</v>
      </c>
    </row>
    <row r="445" spans="1:49" x14ac:dyDescent="0.2">
      <c r="A445">
        <v>443</v>
      </c>
      <c r="B445" t="s">
        <v>8003</v>
      </c>
      <c r="C445" t="s">
        <v>8002</v>
      </c>
      <c r="F445" t="s">
        <v>8001</v>
      </c>
      <c r="G445" t="s">
        <v>15</v>
      </c>
      <c r="H445" t="s">
        <v>14</v>
      </c>
      <c r="I445" t="s">
        <v>8000</v>
      </c>
      <c r="J445">
        <v>60025038</v>
      </c>
      <c r="K445" t="s">
        <v>3959</v>
      </c>
      <c r="L445" t="s">
        <v>3958</v>
      </c>
      <c r="M445" t="s">
        <v>10</v>
      </c>
      <c r="N445">
        <v>2</v>
      </c>
      <c r="O445" t="s">
        <v>7999</v>
      </c>
      <c r="P445" t="s">
        <v>7998</v>
      </c>
      <c r="Q445" t="s">
        <v>3955</v>
      </c>
      <c r="R445" s="7">
        <v>33970</v>
      </c>
      <c r="S445" s="8">
        <f t="shared" si="48"/>
        <v>1993</v>
      </c>
      <c r="T445" s="8">
        <v>1993</v>
      </c>
      <c r="U445" s="8">
        <f t="shared" si="49"/>
        <v>29</v>
      </c>
      <c r="V445" s="7">
        <v>34274</v>
      </c>
      <c r="W445" t="s">
        <v>3014</v>
      </c>
      <c r="X445" s="2">
        <v>0.81</v>
      </c>
      <c r="Y445" s="6">
        <f t="shared" si="54"/>
        <v>2.1622487386882359E-2</v>
      </c>
      <c r="AA445">
        <v>10411135</v>
      </c>
      <c r="AB445">
        <v>12116</v>
      </c>
      <c r="AC445">
        <v>19410174</v>
      </c>
      <c r="AD445" t="s">
        <v>5</v>
      </c>
      <c r="AE445">
        <v>5</v>
      </c>
      <c r="AF445">
        <v>11</v>
      </c>
      <c r="AH445" t="s">
        <v>7997</v>
      </c>
      <c r="AI445" t="s">
        <v>7996</v>
      </c>
      <c r="AK445" t="s">
        <v>7995</v>
      </c>
      <c r="AL445">
        <v>11</v>
      </c>
      <c r="AM445" s="5">
        <f t="shared" si="50"/>
        <v>0.37931034482758619</v>
      </c>
      <c r="AN445" s="4">
        <f t="shared" si="55"/>
        <v>5.7449503192364435E-4</v>
      </c>
      <c r="AO445" s="3"/>
      <c r="AP445">
        <v>0</v>
      </c>
      <c r="AQ445" t="s">
        <v>7994</v>
      </c>
      <c r="AR445" t="s">
        <v>1</v>
      </c>
      <c r="AS445" t="s">
        <v>7993</v>
      </c>
      <c r="AT445" s="2">
        <v>2.468</v>
      </c>
      <c r="AU445" s="1">
        <f t="shared" si="51"/>
        <v>1.5308089680394743</v>
      </c>
      <c r="AV445" s="1">
        <f t="shared" si="52"/>
        <v>1.1098491209403003</v>
      </c>
      <c r="AW445" s="1">
        <f t="shared" si="53"/>
        <v>0.68888927384112586</v>
      </c>
    </row>
    <row r="446" spans="1:49" x14ac:dyDescent="0.2">
      <c r="A446">
        <v>444</v>
      </c>
      <c r="B446" t="s">
        <v>7992</v>
      </c>
      <c r="C446" t="s">
        <v>7991</v>
      </c>
      <c r="F446" t="s">
        <v>7990</v>
      </c>
      <c r="G446" t="s">
        <v>15</v>
      </c>
      <c r="H446" t="s">
        <v>14</v>
      </c>
      <c r="I446" t="s">
        <v>3125</v>
      </c>
      <c r="J446">
        <v>60008524</v>
      </c>
      <c r="K446" t="s">
        <v>3124</v>
      </c>
      <c r="L446" t="s">
        <v>3123</v>
      </c>
      <c r="M446" t="s">
        <v>493</v>
      </c>
      <c r="N446">
        <v>2</v>
      </c>
      <c r="O446" t="s">
        <v>3122</v>
      </c>
      <c r="P446" t="s">
        <v>3121</v>
      </c>
      <c r="Q446" t="s">
        <v>3120</v>
      </c>
      <c r="R446" s="7">
        <v>33970</v>
      </c>
      <c r="S446" s="8">
        <f t="shared" si="48"/>
        <v>1993</v>
      </c>
      <c r="T446" s="8">
        <v>1993</v>
      </c>
      <c r="U446" s="8">
        <f t="shared" si="49"/>
        <v>29</v>
      </c>
      <c r="V446" s="7">
        <v>34274</v>
      </c>
      <c r="W446" t="s">
        <v>1272</v>
      </c>
      <c r="X446" s="2">
        <v>0.94</v>
      </c>
      <c r="Y446" s="6">
        <f t="shared" si="54"/>
        <v>2.5092763140332611E-2</v>
      </c>
      <c r="AA446">
        <v>10518207</v>
      </c>
      <c r="AB446">
        <v>63372</v>
      </c>
      <c r="AD446" t="s">
        <v>5</v>
      </c>
      <c r="AE446">
        <v>3</v>
      </c>
      <c r="AF446">
        <v>11</v>
      </c>
      <c r="AH446" t="s">
        <v>7989</v>
      </c>
      <c r="AI446" t="s">
        <v>7988</v>
      </c>
      <c r="AK446" t="s">
        <v>7987</v>
      </c>
      <c r="AL446">
        <v>18</v>
      </c>
      <c r="AM446" s="5">
        <f t="shared" si="50"/>
        <v>0.62068965517241381</v>
      </c>
      <c r="AN446" s="4">
        <f t="shared" si="55"/>
        <v>9.4008277951141816E-4</v>
      </c>
      <c r="AO446" s="3"/>
      <c r="AP446">
        <v>0</v>
      </c>
      <c r="AQ446" t="s">
        <v>5802</v>
      </c>
      <c r="AR446" t="s">
        <v>1</v>
      </c>
      <c r="AS446" t="s">
        <v>5801</v>
      </c>
      <c r="AT446" s="2" t="s">
        <v>0</v>
      </c>
      <c r="AU446" s="1">
        <f t="shared" si="51"/>
        <v>1.7846959032086254</v>
      </c>
      <c r="AV446" s="1">
        <f t="shared" si="52"/>
        <v>1.3016422959922014</v>
      </c>
      <c r="AW446" s="1">
        <f t="shared" si="53"/>
        <v>0.81858868877577751</v>
      </c>
    </row>
    <row r="447" spans="1:49" x14ac:dyDescent="0.2">
      <c r="A447">
        <v>445</v>
      </c>
      <c r="B447" t="s">
        <v>7986</v>
      </c>
      <c r="C447" t="s">
        <v>7985</v>
      </c>
      <c r="F447" t="s">
        <v>7984</v>
      </c>
      <c r="G447" t="s">
        <v>15</v>
      </c>
      <c r="H447" t="s">
        <v>14</v>
      </c>
      <c r="I447" t="s">
        <v>5594</v>
      </c>
      <c r="J447" t="s">
        <v>5593</v>
      </c>
      <c r="K447" t="s">
        <v>5592</v>
      </c>
      <c r="L447" t="s">
        <v>5591</v>
      </c>
      <c r="M447" t="s">
        <v>2341</v>
      </c>
      <c r="N447">
        <v>2</v>
      </c>
      <c r="O447" t="s">
        <v>7983</v>
      </c>
      <c r="P447" t="s">
        <v>7982</v>
      </c>
      <c r="Q447" t="s">
        <v>7981</v>
      </c>
      <c r="R447" s="7">
        <v>33970</v>
      </c>
      <c r="S447" s="8">
        <f t="shared" si="48"/>
        <v>1993</v>
      </c>
      <c r="T447" s="8">
        <v>1993</v>
      </c>
      <c r="U447" s="8">
        <f t="shared" si="49"/>
        <v>29</v>
      </c>
      <c r="V447" s="7">
        <v>34274</v>
      </c>
      <c r="W447" t="s">
        <v>2565</v>
      </c>
      <c r="X447" s="2">
        <v>1.365</v>
      </c>
      <c r="Y447" s="6">
        <f t="shared" si="54"/>
        <v>3.6437895411227675E-2</v>
      </c>
      <c r="AA447">
        <v>189545</v>
      </c>
      <c r="AB447">
        <v>17393</v>
      </c>
      <c r="AC447">
        <v>19399359</v>
      </c>
      <c r="AD447" t="s">
        <v>5</v>
      </c>
      <c r="AE447">
        <v>42</v>
      </c>
      <c r="AF447">
        <v>4</v>
      </c>
      <c r="AH447" t="s">
        <v>7980</v>
      </c>
      <c r="AI447" t="s">
        <v>7979</v>
      </c>
      <c r="AK447" t="s">
        <v>7978</v>
      </c>
      <c r="AL447">
        <v>26</v>
      </c>
      <c r="AM447" s="5">
        <f t="shared" si="50"/>
        <v>0.89655172413793105</v>
      </c>
      <c r="AN447" s="4">
        <f t="shared" si="55"/>
        <v>1.3578973481831594E-3</v>
      </c>
      <c r="AO447" s="3"/>
      <c r="AP447">
        <v>0</v>
      </c>
      <c r="AR447" t="s">
        <v>1</v>
      </c>
      <c r="AT447" s="2" t="s">
        <v>0</v>
      </c>
      <c r="AU447" s="1">
        <f t="shared" si="51"/>
        <v>2.5913895992314315</v>
      </c>
      <c r="AV447" s="1">
        <f t="shared" si="52"/>
        <v>1.8897896379705417</v>
      </c>
      <c r="AW447" s="1">
        <f t="shared" si="53"/>
        <v>1.1881896767096514</v>
      </c>
    </row>
    <row r="448" spans="1:49" x14ac:dyDescent="0.2">
      <c r="A448">
        <v>446</v>
      </c>
      <c r="B448" t="s">
        <v>7977</v>
      </c>
      <c r="C448" t="s">
        <v>7976</v>
      </c>
      <c r="F448" t="s">
        <v>7975</v>
      </c>
      <c r="G448" t="s">
        <v>15</v>
      </c>
      <c r="H448" t="s">
        <v>14</v>
      </c>
      <c r="I448" t="s">
        <v>7974</v>
      </c>
      <c r="J448">
        <v>60002644</v>
      </c>
      <c r="K448" t="s">
        <v>2595</v>
      </c>
      <c r="L448" t="s">
        <v>2594</v>
      </c>
      <c r="M448" t="s">
        <v>2508</v>
      </c>
      <c r="N448">
        <v>4</v>
      </c>
      <c r="O448" t="s">
        <v>7973</v>
      </c>
      <c r="P448" t="s">
        <v>7972</v>
      </c>
      <c r="Q448" t="s">
        <v>2591</v>
      </c>
      <c r="R448" s="7">
        <v>33970</v>
      </c>
      <c r="S448" s="8">
        <f t="shared" si="48"/>
        <v>1993</v>
      </c>
      <c r="T448" s="8">
        <v>1993</v>
      </c>
      <c r="U448" s="8">
        <f t="shared" si="49"/>
        <v>29</v>
      </c>
      <c r="V448" s="7">
        <v>34274</v>
      </c>
      <c r="W448" t="s">
        <v>2382</v>
      </c>
      <c r="X448" s="2">
        <v>0.30399999999999999</v>
      </c>
      <c r="Y448" s="6">
        <f t="shared" si="54"/>
        <v>8.115106377299057E-3</v>
      </c>
      <c r="AA448">
        <v>8952477</v>
      </c>
      <c r="AB448">
        <v>12250</v>
      </c>
      <c r="AC448">
        <v>10982760</v>
      </c>
      <c r="AD448" t="s">
        <v>5</v>
      </c>
      <c r="AE448">
        <v>6</v>
      </c>
      <c r="AF448">
        <v>14</v>
      </c>
      <c r="AH448" t="s">
        <v>7971</v>
      </c>
      <c r="AI448" t="s">
        <v>7970</v>
      </c>
      <c r="AJ448" t="s">
        <v>7969</v>
      </c>
      <c r="AK448" t="s">
        <v>7968</v>
      </c>
      <c r="AL448">
        <v>2</v>
      </c>
      <c r="AM448" s="5">
        <f t="shared" si="50"/>
        <v>6.8965517241379309E-2</v>
      </c>
      <c r="AN448" s="4">
        <f t="shared" si="55"/>
        <v>1.0445364216793535E-4</v>
      </c>
      <c r="AO448" s="3"/>
      <c r="AP448">
        <v>0</v>
      </c>
      <c r="AR448" t="s">
        <v>1</v>
      </c>
      <c r="AT448" s="2" t="s">
        <v>0</v>
      </c>
      <c r="AU448" s="1">
        <f t="shared" si="51"/>
        <v>0.57119105567597195</v>
      </c>
      <c r="AV448" s="1">
        <f t="shared" si="52"/>
        <v>0.41097800097334963</v>
      </c>
      <c r="AW448" s="1">
        <f t="shared" si="53"/>
        <v>0.25076494627072721</v>
      </c>
    </row>
    <row r="449" spans="1:49" x14ac:dyDescent="0.2">
      <c r="A449">
        <v>447</v>
      </c>
      <c r="B449" t="s">
        <v>7967</v>
      </c>
      <c r="C449" t="s">
        <v>7966</v>
      </c>
      <c r="F449" t="s">
        <v>7965</v>
      </c>
      <c r="G449" t="s">
        <v>15</v>
      </c>
      <c r="H449" t="s">
        <v>14</v>
      </c>
      <c r="I449" t="s">
        <v>7964</v>
      </c>
      <c r="J449">
        <v>60002286</v>
      </c>
      <c r="K449" t="s">
        <v>7963</v>
      </c>
      <c r="L449" t="s">
        <v>7962</v>
      </c>
      <c r="M449" t="s">
        <v>721</v>
      </c>
      <c r="N449">
        <v>1</v>
      </c>
      <c r="O449" t="s">
        <v>7961</v>
      </c>
      <c r="P449">
        <v>6602297603</v>
      </c>
      <c r="Q449">
        <v>60002286</v>
      </c>
      <c r="R449" s="7">
        <v>33970</v>
      </c>
      <c r="S449" s="8">
        <f t="shared" ref="S449:S512" si="56">YEAR(R449)</f>
        <v>1993</v>
      </c>
      <c r="T449" s="8">
        <v>1993</v>
      </c>
      <c r="U449" s="8">
        <f t="shared" ref="U449:U512" si="57">2022-T449</f>
        <v>29</v>
      </c>
      <c r="V449" s="7">
        <v>1993</v>
      </c>
      <c r="W449" t="s">
        <v>7960</v>
      </c>
      <c r="X449" s="2">
        <v>0.2</v>
      </c>
      <c r="Y449" s="6">
        <f t="shared" si="54"/>
        <v>5.3388857745388539E-3</v>
      </c>
      <c r="AA449">
        <v>161136</v>
      </c>
      <c r="AB449">
        <v>16718</v>
      </c>
      <c r="AC449">
        <v>21916349</v>
      </c>
      <c r="AD449" t="s">
        <v>5</v>
      </c>
      <c r="AE449">
        <v>47</v>
      </c>
      <c r="AF449" s="9">
        <v>44541</v>
      </c>
      <c r="AH449" t="s">
        <v>7959</v>
      </c>
      <c r="AI449" t="s">
        <v>7958</v>
      </c>
      <c r="AK449" t="s">
        <v>7957</v>
      </c>
      <c r="AL449">
        <v>0</v>
      </c>
      <c r="AM449" s="5">
        <f t="shared" ref="AM449:AM512" si="58">AL449/U449</f>
        <v>0</v>
      </c>
      <c r="AN449" s="4">
        <f t="shared" si="55"/>
        <v>0</v>
      </c>
      <c r="AO449" s="3"/>
      <c r="AP449">
        <v>0</v>
      </c>
      <c r="AR449" t="s">
        <v>1</v>
      </c>
      <c r="AT449" s="2">
        <v>0.72599999999999998</v>
      </c>
      <c r="AU449" s="1">
        <f t="shared" ref="AU449:AU512" si="59">(Y449*0.7+AN449*0.3)*100</f>
        <v>0.37372200421771973</v>
      </c>
      <c r="AV449" s="1">
        <f t="shared" ref="AV449:AV512" si="60">(Y449*0.5+AN449*0.5)*100</f>
        <v>0.2669442887269427</v>
      </c>
      <c r="AW449" s="1">
        <f t="shared" ref="AW449:AW512" si="61">(Y449*0.3+AN449*0.7)*100</f>
        <v>0.16016657323616562</v>
      </c>
    </row>
    <row r="450" spans="1:49" x14ac:dyDescent="0.2">
      <c r="A450">
        <v>448</v>
      </c>
      <c r="B450" t="s">
        <v>7956</v>
      </c>
      <c r="C450" t="s">
        <v>7955</v>
      </c>
      <c r="F450" t="s">
        <v>7954</v>
      </c>
      <c r="G450" t="s">
        <v>15</v>
      </c>
      <c r="H450" t="s">
        <v>14</v>
      </c>
      <c r="I450" t="s">
        <v>7953</v>
      </c>
      <c r="J450">
        <v>60009037</v>
      </c>
      <c r="K450" t="s">
        <v>647</v>
      </c>
      <c r="L450" t="s">
        <v>646</v>
      </c>
      <c r="M450" t="s">
        <v>10</v>
      </c>
      <c r="N450">
        <v>2</v>
      </c>
      <c r="O450" t="s">
        <v>7952</v>
      </c>
      <c r="P450" t="s">
        <v>7951</v>
      </c>
      <c r="Q450" t="s">
        <v>6954</v>
      </c>
      <c r="R450" s="7">
        <v>33970</v>
      </c>
      <c r="S450" s="8">
        <f t="shared" si="56"/>
        <v>1993</v>
      </c>
      <c r="T450" s="8">
        <v>1993</v>
      </c>
      <c r="U450" s="8">
        <f t="shared" si="57"/>
        <v>29</v>
      </c>
      <c r="V450" s="7">
        <v>34274</v>
      </c>
      <c r="W450" t="s">
        <v>2565</v>
      </c>
      <c r="X450" s="2">
        <v>1.365</v>
      </c>
      <c r="Y450" s="6">
        <f t="shared" ref="Y450:Y513" si="62">(X450-$Z$4)/($Z$3-$Z$4)</f>
        <v>3.6437895411227675E-2</v>
      </c>
      <c r="AA450">
        <v>189545</v>
      </c>
      <c r="AB450">
        <v>17393</v>
      </c>
      <c r="AC450">
        <v>19399359</v>
      </c>
      <c r="AD450" t="s">
        <v>5</v>
      </c>
      <c r="AE450">
        <v>42</v>
      </c>
      <c r="AF450">
        <v>4</v>
      </c>
      <c r="AH450" t="s">
        <v>7950</v>
      </c>
      <c r="AI450" t="s">
        <v>7949</v>
      </c>
      <c r="AK450" t="s">
        <v>7948</v>
      </c>
      <c r="AL450">
        <v>42</v>
      </c>
      <c r="AM450" s="5">
        <f t="shared" si="58"/>
        <v>1.4482758620689655</v>
      </c>
      <c r="AN450" s="4">
        <f t="shared" ref="AN450:AN513" si="63">(AM450-$AO$4)/($AO$3-$AO$4)</f>
        <v>2.1935264855266422E-3</v>
      </c>
      <c r="AO450" s="3"/>
      <c r="AP450">
        <v>0</v>
      </c>
      <c r="AQ450" t="s">
        <v>7947</v>
      </c>
      <c r="AR450" t="s">
        <v>1</v>
      </c>
      <c r="AS450" t="s">
        <v>638</v>
      </c>
      <c r="AT450" s="2" t="s">
        <v>0</v>
      </c>
      <c r="AU450" s="1">
        <f t="shared" si="59"/>
        <v>2.6164584733517362</v>
      </c>
      <c r="AV450" s="1">
        <f t="shared" si="60"/>
        <v>1.9315710948377158</v>
      </c>
      <c r="AW450" s="1">
        <f t="shared" si="61"/>
        <v>1.2466837163236952</v>
      </c>
    </row>
    <row r="451" spans="1:49" x14ac:dyDescent="0.2">
      <c r="A451">
        <v>449</v>
      </c>
      <c r="B451" t="s">
        <v>7946</v>
      </c>
      <c r="C451" t="s">
        <v>7945</v>
      </c>
      <c r="F451" t="s">
        <v>7944</v>
      </c>
      <c r="G451" t="s">
        <v>15</v>
      </c>
      <c r="H451" t="s">
        <v>14</v>
      </c>
      <c r="I451" t="s">
        <v>7943</v>
      </c>
      <c r="J451">
        <v>60029241</v>
      </c>
      <c r="K451" t="s">
        <v>3517</v>
      </c>
      <c r="L451" t="s">
        <v>3516</v>
      </c>
      <c r="M451" t="s">
        <v>10</v>
      </c>
      <c r="N451">
        <v>2</v>
      </c>
      <c r="O451" t="s">
        <v>7942</v>
      </c>
      <c r="P451" t="s">
        <v>7941</v>
      </c>
      <c r="Q451" t="s">
        <v>3513</v>
      </c>
      <c r="R451" s="7">
        <v>33970</v>
      </c>
      <c r="S451" s="8">
        <f t="shared" si="56"/>
        <v>1993</v>
      </c>
      <c r="T451" s="8">
        <v>1993</v>
      </c>
      <c r="U451" s="8">
        <f t="shared" si="57"/>
        <v>29</v>
      </c>
      <c r="V451" s="7">
        <v>34274</v>
      </c>
      <c r="W451" t="s">
        <v>868</v>
      </c>
      <c r="X451" s="2">
        <v>0.375</v>
      </c>
      <c r="Y451" s="6">
        <f t="shared" si="62"/>
        <v>1.0010410827260351E-2</v>
      </c>
      <c r="AA451">
        <v>135194</v>
      </c>
      <c r="AB451">
        <v>24918</v>
      </c>
      <c r="AD451" t="s">
        <v>5</v>
      </c>
      <c r="AE451">
        <v>29</v>
      </c>
      <c r="AF451">
        <v>24</v>
      </c>
      <c r="AH451" t="s">
        <v>7940</v>
      </c>
      <c r="AI451" t="s">
        <v>7939</v>
      </c>
      <c r="AJ451" t="s">
        <v>7938</v>
      </c>
      <c r="AK451" t="s">
        <v>7937</v>
      </c>
      <c r="AL451">
        <v>13</v>
      </c>
      <c r="AM451" s="5">
        <f t="shared" si="58"/>
        <v>0.44827586206896552</v>
      </c>
      <c r="AN451" s="4">
        <f t="shared" si="63"/>
        <v>6.7894867409157972E-4</v>
      </c>
      <c r="AO451" s="3"/>
      <c r="AP451">
        <v>0</v>
      </c>
      <c r="AR451" t="s">
        <v>1</v>
      </c>
      <c r="AT451" s="2">
        <v>1.3140000000000001</v>
      </c>
      <c r="AU451" s="1">
        <f t="shared" si="59"/>
        <v>0.72109721813097194</v>
      </c>
      <c r="AV451" s="1">
        <f t="shared" si="60"/>
        <v>0.53446797506759658</v>
      </c>
      <c r="AW451" s="1">
        <f t="shared" si="61"/>
        <v>0.34783873200422111</v>
      </c>
    </row>
    <row r="452" spans="1:49" x14ac:dyDescent="0.2">
      <c r="A452">
        <v>450</v>
      </c>
      <c r="B452" t="s">
        <v>7936</v>
      </c>
      <c r="C452" t="s">
        <v>7935</v>
      </c>
      <c r="F452" t="s">
        <v>7934</v>
      </c>
      <c r="G452" t="s">
        <v>15</v>
      </c>
      <c r="H452" t="s">
        <v>14</v>
      </c>
      <c r="I452" t="s">
        <v>7933</v>
      </c>
      <c r="J452" t="s">
        <v>7928</v>
      </c>
      <c r="K452" t="s">
        <v>7932</v>
      </c>
      <c r="L452" t="s">
        <v>7931</v>
      </c>
      <c r="M452" t="s">
        <v>26</v>
      </c>
      <c r="N452">
        <v>3</v>
      </c>
      <c r="O452" t="s">
        <v>7930</v>
      </c>
      <c r="P452" t="s">
        <v>7929</v>
      </c>
      <c r="Q452" t="s">
        <v>7928</v>
      </c>
      <c r="R452" s="7">
        <v>33970</v>
      </c>
      <c r="S452" s="8">
        <f t="shared" si="56"/>
        <v>1993</v>
      </c>
      <c r="T452" s="8">
        <v>1993</v>
      </c>
      <c r="U452" s="8">
        <f t="shared" si="57"/>
        <v>29</v>
      </c>
      <c r="V452" s="7">
        <v>34274</v>
      </c>
      <c r="W452" t="s">
        <v>814</v>
      </c>
      <c r="X452" s="2">
        <v>1.6519999999999999</v>
      </c>
      <c r="Y452" s="6">
        <f t="shared" si="62"/>
        <v>4.409919649769093E-2</v>
      </c>
      <c r="AA452" t="s">
        <v>813</v>
      </c>
      <c r="AB452">
        <v>17337</v>
      </c>
      <c r="AC452">
        <v>15582221</v>
      </c>
      <c r="AD452" t="s">
        <v>5</v>
      </c>
      <c r="AE452">
        <v>41</v>
      </c>
      <c r="AF452">
        <v>11</v>
      </c>
      <c r="AH452" t="s">
        <v>7927</v>
      </c>
      <c r="AI452" t="s">
        <v>7926</v>
      </c>
      <c r="AK452" t="s">
        <v>7925</v>
      </c>
      <c r="AL452">
        <v>44</v>
      </c>
      <c r="AM452" s="5">
        <f t="shared" si="58"/>
        <v>1.5172413793103448</v>
      </c>
      <c r="AN452" s="4">
        <f t="shared" si="63"/>
        <v>2.2979801276945774E-3</v>
      </c>
      <c r="AO452" s="3"/>
      <c r="AP452">
        <v>0</v>
      </c>
      <c r="AQ452" t="s">
        <v>7924</v>
      </c>
      <c r="AR452" t="s">
        <v>7923</v>
      </c>
      <c r="AS452" t="s">
        <v>7922</v>
      </c>
      <c r="AT452" s="2" t="s">
        <v>0</v>
      </c>
      <c r="AU452" s="1">
        <f t="shared" si="59"/>
        <v>3.1558831586692024</v>
      </c>
      <c r="AV452" s="1">
        <f t="shared" si="60"/>
        <v>2.3198588312692752</v>
      </c>
      <c r="AW452" s="1">
        <f t="shared" si="61"/>
        <v>1.4838345038693481</v>
      </c>
    </row>
    <row r="453" spans="1:49" x14ac:dyDescent="0.2">
      <c r="A453">
        <v>451</v>
      </c>
      <c r="B453" t="s">
        <v>7921</v>
      </c>
      <c r="C453" t="s">
        <v>7920</v>
      </c>
      <c r="F453" t="s">
        <v>7919</v>
      </c>
      <c r="G453" t="s">
        <v>15</v>
      </c>
      <c r="H453" t="s">
        <v>14</v>
      </c>
      <c r="I453" t="s">
        <v>7918</v>
      </c>
      <c r="N453">
        <v>3</v>
      </c>
      <c r="O453" t="s">
        <v>7917</v>
      </c>
      <c r="P453" t="s">
        <v>7916</v>
      </c>
      <c r="Q453" t="s">
        <v>2929</v>
      </c>
      <c r="R453" s="7">
        <v>33970</v>
      </c>
      <c r="S453" s="8">
        <f t="shared" si="56"/>
        <v>1993</v>
      </c>
      <c r="T453" s="8">
        <v>1993</v>
      </c>
      <c r="U453" s="8">
        <f t="shared" si="57"/>
        <v>29</v>
      </c>
      <c r="V453" s="7">
        <v>34274</v>
      </c>
      <c r="W453" t="s">
        <v>814</v>
      </c>
      <c r="X453" s="2">
        <v>1.6519999999999999</v>
      </c>
      <c r="Y453" s="6">
        <f t="shared" si="62"/>
        <v>4.409919649769093E-2</v>
      </c>
      <c r="AA453" t="s">
        <v>813</v>
      </c>
      <c r="AB453">
        <v>17337</v>
      </c>
      <c r="AC453">
        <v>15582221</v>
      </c>
      <c r="AD453" t="s">
        <v>5</v>
      </c>
      <c r="AE453">
        <v>41</v>
      </c>
      <c r="AF453">
        <v>11</v>
      </c>
      <c r="AH453" t="s">
        <v>7915</v>
      </c>
      <c r="AI453" t="s">
        <v>7914</v>
      </c>
      <c r="AK453" t="s">
        <v>7913</v>
      </c>
      <c r="AL453">
        <v>53</v>
      </c>
      <c r="AM453" s="5">
        <f t="shared" si="58"/>
        <v>1.8275862068965518</v>
      </c>
      <c r="AN453" s="4">
        <f t="shared" si="63"/>
        <v>2.7680215174502869E-3</v>
      </c>
      <c r="AO453" s="3"/>
      <c r="AP453">
        <v>0</v>
      </c>
      <c r="AR453" t="s">
        <v>1</v>
      </c>
      <c r="AT453" s="2" t="s">
        <v>0</v>
      </c>
      <c r="AU453" s="1">
        <f t="shared" si="59"/>
        <v>3.1699844003618733</v>
      </c>
      <c r="AV453" s="1">
        <f t="shared" si="60"/>
        <v>2.343360900757061</v>
      </c>
      <c r="AW453" s="1">
        <f t="shared" si="61"/>
        <v>1.5167374011522479</v>
      </c>
    </row>
    <row r="454" spans="1:49" x14ac:dyDescent="0.2">
      <c r="A454">
        <v>452</v>
      </c>
      <c r="B454" t="s">
        <v>7912</v>
      </c>
      <c r="C454" t="s">
        <v>7911</v>
      </c>
      <c r="F454" t="s">
        <v>7910</v>
      </c>
      <c r="G454" t="s">
        <v>15</v>
      </c>
      <c r="H454" t="s">
        <v>14</v>
      </c>
      <c r="I454" t="s">
        <v>7909</v>
      </c>
      <c r="J454" t="s">
        <v>2582</v>
      </c>
      <c r="K454" t="s">
        <v>2581</v>
      </c>
      <c r="L454" t="s">
        <v>2580</v>
      </c>
      <c r="M454" t="s">
        <v>2579</v>
      </c>
      <c r="N454">
        <v>5</v>
      </c>
      <c r="O454" t="s">
        <v>7908</v>
      </c>
      <c r="P454" t="s">
        <v>7907</v>
      </c>
      <c r="Q454" t="s">
        <v>7906</v>
      </c>
      <c r="R454" s="7">
        <v>33970</v>
      </c>
      <c r="S454" s="8">
        <f t="shared" si="56"/>
        <v>1993</v>
      </c>
      <c r="T454" s="8">
        <v>1993</v>
      </c>
      <c r="U454" s="8">
        <f t="shared" si="57"/>
        <v>29</v>
      </c>
      <c r="V454" s="7">
        <v>34274</v>
      </c>
      <c r="W454" t="s">
        <v>868</v>
      </c>
      <c r="X454" s="2">
        <v>0.375</v>
      </c>
      <c r="Y454" s="6">
        <f t="shared" si="62"/>
        <v>1.0010410827260351E-2</v>
      </c>
      <c r="AA454">
        <v>135194</v>
      </c>
      <c r="AB454">
        <v>24918</v>
      </c>
      <c r="AD454" t="s">
        <v>5</v>
      </c>
      <c r="AE454">
        <v>29</v>
      </c>
      <c r="AF454">
        <v>23</v>
      </c>
      <c r="AH454" t="s">
        <v>7905</v>
      </c>
      <c r="AI454" t="s">
        <v>7904</v>
      </c>
      <c r="AJ454" t="s">
        <v>7903</v>
      </c>
      <c r="AK454" t="s">
        <v>7902</v>
      </c>
      <c r="AL454">
        <v>71</v>
      </c>
      <c r="AM454" s="5">
        <f t="shared" si="58"/>
        <v>2.4482758620689653</v>
      </c>
      <c r="AN454" s="4">
        <f t="shared" si="63"/>
        <v>3.7081042969617042E-3</v>
      </c>
      <c r="AO454" s="3"/>
      <c r="AP454">
        <v>0</v>
      </c>
      <c r="AR454" t="s">
        <v>1</v>
      </c>
      <c r="AT454" s="2">
        <v>1.3140000000000001</v>
      </c>
      <c r="AU454" s="1">
        <f t="shared" si="59"/>
        <v>0.81197188681707577</v>
      </c>
      <c r="AV454" s="1">
        <f t="shared" si="60"/>
        <v>0.68592575621110274</v>
      </c>
      <c r="AW454" s="1">
        <f t="shared" si="61"/>
        <v>0.55987962560512983</v>
      </c>
    </row>
    <row r="455" spans="1:49" x14ac:dyDescent="0.2">
      <c r="A455">
        <v>453</v>
      </c>
      <c r="B455" t="s">
        <v>7901</v>
      </c>
      <c r="C455" t="s">
        <v>7900</v>
      </c>
      <c r="F455" t="s">
        <v>7899</v>
      </c>
      <c r="G455" t="s">
        <v>15</v>
      </c>
      <c r="H455" t="s">
        <v>14</v>
      </c>
      <c r="I455" t="s">
        <v>7898</v>
      </c>
      <c r="J455" t="s">
        <v>7897</v>
      </c>
      <c r="K455" t="s">
        <v>7896</v>
      </c>
      <c r="L455" t="s">
        <v>7895</v>
      </c>
      <c r="M455" t="s">
        <v>478</v>
      </c>
      <c r="N455">
        <v>3</v>
      </c>
      <c r="O455" t="s">
        <v>7894</v>
      </c>
      <c r="P455" t="s">
        <v>7893</v>
      </c>
      <c r="Q455" t="s">
        <v>7892</v>
      </c>
      <c r="R455" s="7">
        <v>33970</v>
      </c>
      <c r="S455" s="8">
        <f t="shared" si="56"/>
        <v>1993</v>
      </c>
      <c r="T455" s="8">
        <v>1993</v>
      </c>
      <c r="U455" s="8">
        <f t="shared" si="57"/>
        <v>29</v>
      </c>
      <c r="V455" s="7">
        <v>34274</v>
      </c>
      <c r="W455" t="s">
        <v>868</v>
      </c>
      <c r="X455" s="2">
        <v>0.375</v>
      </c>
      <c r="Y455" s="6">
        <f t="shared" si="62"/>
        <v>1.0010410827260351E-2</v>
      </c>
      <c r="AA455">
        <v>135194</v>
      </c>
      <c r="AB455">
        <v>24918</v>
      </c>
      <c r="AD455" t="s">
        <v>5</v>
      </c>
      <c r="AE455">
        <v>29</v>
      </c>
      <c r="AF455">
        <v>23</v>
      </c>
      <c r="AH455" t="s">
        <v>7891</v>
      </c>
      <c r="AI455" t="s">
        <v>7890</v>
      </c>
      <c r="AJ455" t="s">
        <v>7889</v>
      </c>
      <c r="AK455" t="s">
        <v>7888</v>
      </c>
      <c r="AL455">
        <v>146</v>
      </c>
      <c r="AM455" s="5">
        <f t="shared" si="58"/>
        <v>5.0344827586206895</v>
      </c>
      <c r="AN455" s="4">
        <f t="shared" si="63"/>
        <v>7.6251158782592796E-3</v>
      </c>
      <c r="AO455" s="3"/>
      <c r="AP455">
        <v>0</v>
      </c>
      <c r="AR455" t="s">
        <v>1</v>
      </c>
      <c r="AT455" s="2">
        <v>1.3140000000000001</v>
      </c>
      <c r="AU455" s="1">
        <f t="shared" si="59"/>
        <v>0.92948223425600296</v>
      </c>
      <c r="AV455" s="1">
        <f t="shared" si="60"/>
        <v>0.88177633527598154</v>
      </c>
      <c r="AW455" s="1">
        <f t="shared" si="61"/>
        <v>0.83407043629596012</v>
      </c>
    </row>
    <row r="456" spans="1:49" x14ac:dyDescent="0.2">
      <c r="A456">
        <v>454</v>
      </c>
      <c r="B456" t="s">
        <v>7887</v>
      </c>
      <c r="C456" t="s">
        <v>7886</v>
      </c>
      <c r="F456" t="s">
        <v>7885</v>
      </c>
      <c r="G456" t="s">
        <v>15</v>
      </c>
      <c r="H456" t="s">
        <v>14</v>
      </c>
      <c r="I456" t="s">
        <v>5440</v>
      </c>
      <c r="J456">
        <v>60011357</v>
      </c>
      <c r="K456" t="s">
        <v>2437</v>
      </c>
      <c r="L456" t="s">
        <v>2436</v>
      </c>
      <c r="M456" t="s">
        <v>1909</v>
      </c>
      <c r="N456">
        <v>2</v>
      </c>
      <c r="O456" t="s">
        <v>7884</v>
      </c>
      <c r="P456" t="s">
        <v>7883</v>
      </c>
      <c r="Q456" t="s">
        <v>2433</v>
      </c>
      <c r="R456" s="7">
        <v>33970</v>
      </c>
      <c r="S456" s="8">
        <f t="shared" si="56"/>
        <v>1993</v>
      </c>
      <c r="T456" s="8">
        <v>1993</v>
      </c>
      <c r="U456" s="8">
        <f t="shared" si="57"/>
        <v>29</v>
      </c>
      <c r="V456" s="7">
        <v>34274</v>
      </c>
      <c r="W456" t="s">
        <v>814</v>
      </c>
      <c r="X456" s="2">
        <v>1.6519999999999999</v>
      </c>
      <c r="Y456" s="6">
        <f t="shared" si="62"/>
        <v>4.409919649769093E-2</v>
      </c>
      <c r="AA456" t="s">
        <v>813</v>
      </c>
      <c r="AB456">
        <v>17337</v>
      </c>
      <c r="AC456">
        <v>15582221</v>
      </c>
      <c r="AD456" t="s">
        <v>5</v>
      </c>
      <c r="AE456">
        <v>41</v>
      </c>
      <c r="AF456">
        <v>11</v>
      </c>
      <c r="AH456" t="s">
        <v>7882</v>
      </c>
      <c r="AI456" t="s">
        <v>7881</v>
      </c>
      <c r="AK456" t="s">
        <v>7880</v>
      </c>
      <c r="AL456">
        <v>33</v>
      </c>
      <c r="AM456" s="5">
        <f t="shared" si="58"/>
        <v>1.1379310344827587</v>
      </c>
      <c r="AN456" s="4">
        <f t="shared" si="63"/>
        <v>1.7234850957709331E-3</v>
      </c>
      <c r="AO456" s="3"/>
      <c r="AP456">
        <v>0</v>
      </c>
      <c r="AR456" t="s">
        <v>1</v>
      </c>
      <c r="AT456" s="2" t="s">
        <v>0</v>
      </c>
      <c r="AU456" s="1">
        <f t="shared" si="59"/>
        <v>3.1386483077114931</v>
      </c>
      <c r="AV456" s="1">
        <f t="shared" si="60"/>
        <v>2.2911340796730935</v>
      </c>
      <c r="AW456" s="1">
        <f t="shared" si="61"/>
        <v>1.4436198516346932</v>
      </c>
    </row>
    <row r="457" spans="1:49" x14ac:dyDescent="0.2">
      <c r="A457">
        <v>455</v>
      </c>
      <c r="B457" t="s">
        <v>7879</v>
      </c>
      <c r="C457" t="s">
        <v>7878</v>
      </c>
      <c r="F457" t="s">
        <v>7877</v>
      </c>
      <c r="G457" t="s">
        <v>15</v>
      </c>
      <c r="H457" t="s">
        <v>14</v>
      </c>
      <c r="I457" t="s">
        <v>7012</v>
      </c>
      <c r="J457">
        <v>60030526</v>
      </c>
      <c r="K457" t="s">
        <v>7011</v>
      </c>
      <c r="L457" t="s">
        <v>151</v>
      </c>
      <c r="M457" t="s">
        <v>150</v>
      </c>
      <c r="N457">
        <v>5</v>
      </c>
      <c r="O457" t="s">
        <v>7876</v>
      </c>
      <c r="P457" t="s">
        <v>7875</v>
      </c>
      <c r="Q457" t="s">
        <v>7874</v>
      </c>
      <c r="R457" s="7">
        <v>33970</v>
      </c>
      <c r="S457" s="8">
        <f t="shared" si="56"/>
        <v>1993</v>
      </c>
      <c r="T457" s="8">
        <v>1993</v>
      </c>
      <c r="U457" s="8">
        <f t="shared" si="57"/>
        <v>29</v>
      </c>
      <c r="V457" s="7">
        <v>34274</v>
      </c>
      <c r="W457" t="s">
        <v>814</v>
      </c>
      <c r="X457" s="2">
        <v>1.6519999999999999</v>
      </c>
      <c r="Y457" s="6">
        <f t="shared" si="62"/>
        <v>4.409919649769093E-2</v>
      </c>
      <c r="AA457" t="s">
        <v>813</v>
      </c>
      <c r="AB457">
        <v>17337</v>
      </c>
      <c r="AC457">
        <v>15582221</v>
      </c>
      <c r="AD457" t="s">
        <v>5</v>
      </c>
      <c r="AE457">
        <v>41</v>
      </c>
      <c r="AF457">
        <v>11</v>
      </c>
      <c r="AH457" t="s">
        <v>7873</v>
      </c>
      <c r="AI457" t="s">
        <v>7872</v>
      </c>
      <c r="AK457" t="s">
        <v>7871</v>
      </c>
      <c r="AL457">
        <v>141</v>
      </c>
      <c r="AM457" s="5">
        <f t="shared" si="58"/>
        <v>4.8620689655172411</v>
      </c>
      <c r="AN457" s="4">
        <f t="shared" si="63"/>
        <v>7.3639817728394412E-3</v>
      </c>
      <c r="AO457" s="3"/>
      <c r="AP457">
        <v>0</v>
      </c>
      <c r="AR457" t="s">
        <v>1</v>
      </c>
      <c r="AT457" s="2" t="s">
        <v>0</v>
      </c>
      <c r="AU457" s="1">
        <f t="shared" si="59"/>
        <v>3.3078632080235479</v>
      </c>
      <c r="AV457" s="1">
        <f t="shared" si="60"/>
        <v>2.5731589135265187</v>
      </c>
      <c r="AW457" s="1">
        <f t="shared" si="61"/>
        <v>1.8384546190294886</v>
      </c>
    </row>
    <row r="458" spans="1:49" x14ac:dyDescent="0.2">
      <c r="A458">
        <v>456</v>
      </c>
      <c r="B458" t="s">
        <v>7870</v>
      </c>
      <c r="C458" t="s">
        <v>7869</v>
      </c>
      <c r="F458" t="s">
        <v>7868</v>
      </c>
      <c r="G458" t="s">
        <v>15</v>
      </c>
      <c r="H458" t="s">
        <v>14</v>
      </c>
      <c r="I458" t="s">
        <v>7867</v>
      </c>
      <c r="J458" t="s">
        <v>7866</v>
      </c>
      <c r="K458" t="s">
        <v>7865</v>
      </c>
      <c r="L458" t="s">
        <v>7864</v>
      </c>
      <c r="M458" t="s">
        <v>968</v>
      </c>
      <c r="N458">
        <v>3</v>
      </c>
      <c r="O458" t="s">
        <v>7863</v>
      </c>
      <c r="P458" t="s">
        <v>7862</v>
      </c>
      <c r="Q458" t="s">
        <v>7861</v>
      </c>
      <c r="R458" s="7">
        <v>33970</v>
      </c>
      <c r="S458" s="8">
        <f t="shared" si="56"/>
        <v>1993</v>
      </c>
      <c r="T458" s="8">
        <v>1993</v>
      </c>
      <c r="U458" s="8">
        <f t="shared" si="57"/>
        <v>29</v>
      </c>
      <c r="V458" s="7">
        <v>34274</v>
      </c>
      <c r="W458" t="s">
        <v>814</v>
      </c>
      <c r="X458" s="2">
        <v>1.6519999999999999</v>
      </c>
      <c r="Y458" s="6">
        <f t="shared" si="62"/>
        <v>4.409919649769093E-2</v>
      </c>
      <c r="AA458" t="s">
        <v>813</v>
      </c>
      <c r="AB458">
        <v>17337</v>
      </c>
      <c r="AC458">
        <v>15582221</v>
      </c>
      <c r="AD458" t="s">
        <v>5</v>
      </c>
      <c r="AE458">
        <v>41</v>
      </c>
      <c r="AF458">
        <v>11</v>
      </c>
      <c r="AH458" t="s">
        <v>7860</v>
      </c>
      <c r="AI458" t="s">
        <v>7859</v>
      </c>
      <c r="AK458" t="s">
        <v>7858</v>
      </c>
      <c r="AL458">
        <v>68</v>
      </c>
      <c r="AM458" s="5">
        <f t="shared" si="58"/>
        <v>2.3448275862068964</v>
      </c>
      <c r="AN458" s="4">
        <f t="shared" si="63"/>
        <v>3.5514238337098014E-3</v>
      </c>
      <c r="AO458" s="3"/>
      <c r="AP458">
        <v>0</v>
      </c>
      <c r="AR458" t="s">
        <v>1</v>
      </c>
      <c r="AT458" s="2" t="s">
        <v>0</v>
      </c>
      <c r="AU458" s="1">
        <f t="shared" si="59"/>
        <v>3.1934864698496592</v>
      </c>
      <c r="AV458" s="1">
        <f t="shared" si="60"/>
        <v>2.3825310165700366</v>
      </c>
      <c r="AW458" s="1">
        <f t="shared" si="61"/>
        <v>1.571575563290414</v>
      </c>
    </row>
    <row r="459" spans="1:49" x14ac:dyDescent="0.2">
      <c r="A459">
        <v>457</v>
      </c>
      <c r="B459" t="s">
        <v>7857</v>
      </c>
      <c r="C459" t="s">
        <v>7856</v>
      </c>
      <c r="F459" t="s">
        <v>7855</v>
      </c>
      <c r="G459" t="s">
        <v>15</v>
      </c>
      <c r="H459" t="s">
        <v>14</v>
      </c>
      <c r="I459" t="s">
        <v>7854</v>
      </c>
      <c r="J459">
        <v>60015331</v>
      </c>
      <c r="K459" t="s">
        <v>7853</v>
      </c>
      <c r="L459" t="s">
        <v>7852</v>
      </c>
      <c r="M459" t="s">
        <v>6402</v>
      </c>
      <c r="N459">
        <v>2</v>
      </c>
      <c r="O459" t="s">
        <v>7851</v>
      </c>
      <c r="P459" t="s">
        <v>7850</v>
      </c>
      <c r="Q459" t="s">
        <v>7849</v>
      </c>
      <c r="R459" s="7">
        <v>33970</v>
      </c>
      <c r="S459" s="8">
        <f t="shared" si="56"/>
        <v>1993</v>
      </c>
      <c r="T459" s="8">
        <v>1993</v>
      </c>
      <c r="U459" s="8">
        <f t="shared" si="57"/>
        <v>29</v>
      </c>
      <c r="V459" s="7">
        <v>34274</v>
      </c>
      <c r="W459" t="s">
        <v>814</v>
      </c>
      <c r="X459" s="2">
        <v>1.6519999999999999</v>
      </c>
      <c r="Y459" s="6">
        <f t="shared" si="62"/>
        <v>4.409919649769093E-2</v>
      </c>
      <c r="AA459" t="s">
        <v>813</v>
      </c>
      <c r="AB459">
        <v>17337</v>
      </c>
      <c r="AC459">
        <v>15582221</v>
      </c>
      <c r="AD459" t="s">
        <v>5</v>
      </c>
      <c r="AE459">
        <v>41</v>
      </c>
      <c r="AF459">
        <v>11</v>
      </c>
      <c r="AH459" t="s">
        <v>7848</v>
      </c>
      <c r="AI459" t="s">
        <v>7847</v>
      </c>
      <c r="AK459" t="s">
        <v>7846</v>
      </c>
      <c r="AL459">
        <v>10</v>
      </c>
      <c r="AM459" s="5">
        <f t="shared" si="58"/>
        <v>0.34482758620689657</v>
      </c>
      <c r="AN459" s="4">
        <f t="shared" si="63"/>
        <v>5.2226821083967677E-4</v>
      </c>
      <c r="AO459" s="3"/>
      <c r="AP459">
        <v>0</v>
      </c>
      <c r="AR459" t="s">
        <v>1</v>
      </c>
      <c r="AT459" s="2" t="s">
        <v>0</v>
      </c>
      <c r="AU459" s="1">
        <f t="shared" si="59"/>
        <v>3.1026118011635551</v>
      </c>
      <c r="AV459" s="1">
        <f t="shared" si="60"/>
        <v>2.2310732354265306</v>
      </c>
      <c r="AW459" s="1">
        <f t="shared" si="61"/>
        <v>1.3595346696895052</v>
      </c>
    </row>
    <row r="460" spans="1:49" x14ac:dyDescent="0.2">
      <c r="A460">
        <v>458</v>
      </c>
      <c r="B460" t="s">
        <v>7845</v>
      </c>
      <c r="C460" t="s">
        <v>7844</v>
      </c>
      <c r="F460" t="s">
        <v>7843</v>
      </c>
      <c r="G460" t="s">
        <v>15</v>
      </c>
      <c r="H460" t="s">
        <v>14</v>
      </c>
      <c r="I460" t="s">
        <v>7842</v>
      </c>
      <c r="J460">
        <v>60190690</v>
      </c>
      <c r="K460" t="s">
        <v>7841</v>
      </c>
      <c r="L460" t="s">
        <v>2239</v>
      </c>
      <c r="M460" t="s">
        <v>508</v>
      </c>
      <c r="N460">
        <v>1</v>
      </c>
      <c r="O460" t="s">
        <v>7840</v>
      </c>
      <c r="P460">
        <v>7006128443</v>
      </c>
      <c r="Q460">
        <v>60190690</v>
      </c>
      <c r="R460" s="7">
        <v>33970</v>
      </c>
      <c r="S460" s="8">
        <f t="shared" si="56"/>
        <v>1993</v>
      </c>
      <c r="T460" s="8">
        <v>1993</v>
      </c>
      <c r="U460" s="8">
        <f t="shared" si="57"/>
        <v>29</v>
      </c>
      <c r="V460" s="7">
        <v>34274</v>
      </c>
      <c r="W460" t="s">
        <v>814</v>
      </c>
      <c r="X460" s="2">
        <v>1.6519999999999999</v>
      </c>
      <c r="Y460" s="6">
        <f t="shared" si="62"/>
        <v>4.409919649769093E-2</v>
      </c>
      <c r="AA460" t="s">
        <v>813</v>
      </c>
      <c r="AB460">
        <v>17337</v>
      </c>
      <c r="AC460">
        <v>15582221</v>
      </c>
      <c r="AD460" t="s">
        <v>5</v>
      </c>
      <c r="AE460">
        <v>41</v>
      </c>
      <c r="AF460">
        <v>11</v>
      </c>
      <c r="AH460" t="s">
        <v>7839</v>
      </c>
      <c r="AI460" t="s">
        <v>7838</v>
      </c>
      <c r="AK460" t="s">
        <v>7837</v>
      </c>
      <c r="AL460">
        <v>29</v>
      </c>
      <c r="AM460" s="5">
        <f t="shared" si="58"/>
        <v>1</v>
      </c>
      <c r="AN460" s="4">
        <f t="shared" si="63"/>
        <v>1.5145778114350624E-3</v>
      </c>
      <c r="AO460" s="3"/>
      <c r="AP460">
        <v>0</v>
      </c>
      <c r="AR460" t="s">
        <v>1</v>
      </c>
      <c r="AT460" s="2" t="s">
        <v>0</v>
      </c>
      <c r="AU460" s="1">
        <f t="shared" si="59"/>
        <v>3.132381089181417</v>
      </c>
      <c r="AV460" s="1">
        <f t="shared" si="60"/>
        <v>2.2806887154562996</v>
      </c>
      <c r="AW460" s="1">
        <f t="shared" si="61"/>
        <v>1.4289963417311822</v>
      </c>
    </row>
    <row r="461" spans="1:49" x14ac:dyDescent="0.2">
      <c r="A461">
        <v>459</v>
      </c>
      <c r="B461" t="s">
        <v>7836</v>
      </c>
      <c r="C461" t="s">
        <v>7835</v>
      </c>
      <c r="F461" t="s">
        <v>7834</v>
      </c>
      <c r="G461" t="s">
        <v>15</v>
      </c>
      <c r="H461" t="s">
        <v>14</v>
      </c>
      <c r="I461" t="s">
        <v>7833</v>
      </c>
      <c r="J461">
        <v>60021378</v>
      </c>
      <c r="K461" t="s">
        <v>7832</v>
      </c>
      <c r="L461" t="s">
        <v>7831</v>
      </c>
      <c r="M461" t="s">
        <v>10</v>
      </c>
      <c r="N461">
        <v>1</v>
      </c>
      <c r="O461" t="s">
        <v>7830</v>
      </c>
      <c r="P461">
        <v>7402950803</v>
      </c>
      <c r="Q461">
        <v>60021378</v>
      </c>
      <c r="R461" s="7">
        <v>33970</v>
      </c>
      <c r="S461" s="8">
        <f t="shared" si="56"/>
        <v>1993</v>
      </c>
      <c r="T461" s="8">
        <v>1993</v>
      </c>
      <c r="U461" s="8">
        <f t="shared" si="57"/>
        <v>29</v>
      </c>
      <c r="V461" s="7">
        <v>34274</v>
      </c>
      <c r="W461" t="s">
        <v>7829</v>
      </c>
      <c r="X461" s="2">
        <v>1.218</v>
      </c>
      <c r="Y461" s="6">
        <f t="shared" si="62"/>
        <v>3.2513814366941618E-2</v>
      </c>
      <c r="AA461">
        <v>189448</v>
      </c>
      <c r="AB461">
        <v>15107</v>
      </c>
      <c r="AC461">
        <v>15579654</v>
      </c>
      <c r="AD461" t="s">
        <v>5</v>
      </c>
      <c r="AE461">
        <v>39</v>
      </c>
      <c r="AF461">
        <v>6</v>
      </c>
      <c r="AH461" t="s">
        <v>7828</v>
      </c>
      <c r="AI461" t="s">
        <v>7827</v>
      </c>
      <c r="AJ461" t="s">
        <v>7826</v>
      </c>
      <c r="AK461" t="s">
        <v>7825</v>
      </c>
      <c r="AL461">
        <v>31</v>
      </c>
      <c r="AM461" s="5">
        <f t="shared" si="58"/>
        <v>1.0689655172413792</v>
      </c>
      <c r="AN461" s="4">
        <f t="shared" si="63"/>
        <v>1.6190314536029978E-3</v>
      </c>
      <c r="AO461" s="3"/>
      <c r="AP461">
        <v>0</v>
      </c>
      <c r="AR461" t="s">
        <v>1</v>
      </c>
      <c r="AT461" s="2" t="s">
        <v>0</v>
      </c>
      <c r="AU461" s="1">
        <f t="shared" si="59"/>
        <v>2.3245379492940028</v>
      </c>
      <c r="AV461" s="1">
        <f t="shared" si="60"/>
        <v>1.7066422910272308</v>
      </c>
      <c r="AW461" s="1">
        <f t="shared" si="61"/>
        <v>1.0887466327604585</v>
      </c>
    </row>
    <row r="462" spans="1:49" x14ac:dyDescent="0.2">
      <c r="A462">
        <v>460</v>
      </c>
      <c r="B462" t="s">
        <v>7824</v>
      </c>
      <c r="C462" t="s">
        <v>7823</v>
      </c>
      <c r="F462" t="s">
        <v>7822</v>
      </c>
      <c r="G462" t="s">
        <v>15</v>
      </c>
      <c r="H462" t="s">
        <v>14</v>
      </c>
      <c r="I462" t="s">
        <v>7821</v>
      </c>
      <c r="N462">
        <v>3</v>
      </c>
      <c r="O462" t="s">
        <v>7820</v>
      </c>
      <c r="P462" t="s">
        <v>7819</v>
      </c>
      <c r="Q462" t="s">
        <v>2929</v>
      </c>
      <c r="R462" s="7">
        <v>33970</v>
      </c>
      <c r="S462" s="8">
        <f t="shared" si="56"/>
        <v>1993</v>
      </c>
      <c r="T462" s="8">
        <v>1993</v>
      </c>
      <c r="U462" s="8">
        <f t="shared" si="57"/>
        <v>29</v>
      </c>
      <c r="V462" s="7" t="s">
        <v>1646</v>
      </c>
      <c r="W462" t="s">
        <v>1555</v>
      </c>
      <c r="X462" s="2">
        <v>0.371</v>
      </c>
      <c r="Y462" s="6">
        <f t="shared" si="62"/>
        <v>9.9036331117695747E-3</v>
      </c>
      <c r="AA462">
        <v>486604</v>
      </c>
      <c r="AB462">
        <v>28580</v>
      </c>
      <c r="AC462" t="s">
        <v>1554</v>
      </c>
      <c r="AD462" t="s">
        <v>5</v>
      </c>
      <c r="AE462">
        <v>28</v>
      </c>
      <c r="AF462">
        <v>6</v>
      </c>
      <c r="AH462" t="s">
        <v>7818</v>
      </c>
      <c r="AI462" t="s">
        <v>7817</v>
      </c>
      <c r="AK462" t="s">
        <v>7816</v>
      </c>
      <c r="AL462">
        <v>26</v>
      </c>
      <c r="AM462" s="5">
        <f t="shared" si="58"/>
        <v>0.89655172413793105</v>
      </c>
      <c r="AN462" s="4">
        <f t="shared" si="63"/>
        <v>1.3578973481831594E-3</v>
      </c>
      <c r="AO462" s="3"/>
      <c r="AP462">
        <v>0</v>
      </c>
      <c r="AR462" t="s">
        <v>1</v>
      </c>
      <c r="AT462" s="2">
        <v>1.431</v>
      </c>
      <c r="AU462" s="1">
        <f t="shared" si="59"/>
        <v>0.73399123826936497</v>
      </c>
      <c r="AV462" s="1">
        <f t="shared" si="60"/>
        <v>0.56307652299763666</v>
      </c>
      <c r="AW462" s="1">
        <f t="shared" si="61"/>
        <v>0.39216180772590847</v>
      </c>
    </row>
    <row r="463" spans="1:49" x14ac:dyDescent="0.2">
      <c r="A463">
        <v>461</v>
      </c>
      <c r="B463" t="s">
        <v>7815</v>
      </c>
      <c r="C463" t="s">
        <v>7814</v>
      </c>
      <c r="F463" t="s">
        <v>7813</v>
      </c>
      <c r="G463" t="s">
        <v>15</v>
      </c>
      <c r="H463" t="s">
        <v>14</v>
      </c>
      <c r="I463" t="s">
        <v>7812</v>
      </c>
      <c r="N463">
        <v>3</v>
      </c>
      <c r="O463" t="s">
        <v>7811</v>
      </c>
      <c r="P463" t="s">
        <v>7810</v>
      </c>
      <c r="Q463" t="s">
        <v>2929</v>
      </c>
      <c r="R463" s="7">
        <v>33970</v>
      </c>
      <c r="S463" s="8">
        <f t="shared" si="56"/>
        <v>1993</v>
      </c>
      <c r="T463" s="8">
        <v>1993</v>
      </c>
      <c r="U463" s="8">
        <f t="shared" si="57"/>
        <v>29</v>
      </c>
      <c r="V463" s="7" t="s">
        <v>1646</v>
      </c>
      <c r="W463" t="s">
        <v>1555</v>
      </c>
      <c r="X463" s="2">
        <v>0.371</v>
      </c>
      <c r="Y463" s="6">
        <f t="shared" si="62"/>
        <v>9.9036331117695747E-3</v>
      </c>
      <c r="AA463">
        <v>486604</v>
      </c>
      <c r="AB463">
        <v>28580</v>
      </c>
      <c r="AC463" t="s">
        <v>1554</v>
      </c>
      <c r="AD463" t="s">
        <v>5</v>
      </c>
      <c r="AE463">
        <v>28</v>
      </c>
      <c r="AF463">
        <v>6</v>
      </c>
      <c r="AH463" t="s">
        <v>7809</v>
      </c>
      <c r="AI463" t="s">
        <v>7808</v>
      </c>
      <c r="AK463" t="s">
        <v>7807</v>
      </c>
      <c r="AL463">
        <v>6</v>
      </c>
      <c r="AM463" s="5">
        <f t="shared" si="58"/>
        <v>0.20689655172413793</v>
      </c>
      <c r="AN463" s="4">
        <f t="shared" si="63"/>
        <v>3.1336092650380602E-4</v>
      </c>
      <c r="AO463" s="3"/>
      <c r="AP463">
        <v>0</v>
      </c>
      <c r="AR463" t="s">
        <v>1</v>
      </c>
      <c r="AT463" s="2">
        <v>1.431</v>
      </c>
      <c r="AU463" s="1">
        <f t="shared" si="59"/>
        <v>0.70265514561898434</v>
      </c>
      <c r="AV463" s="1">
        <f t="shared" si="60"/>
        <v>0.51084970191366907</v>
      </c>
      <c r="AW463" s="1">
        <f t="shared" si="61"/>
        <v>0.31904425820835369</v>
      </c>
    </row>
    <row r="464" spans="1:49" x14ac:dyDescent="0.2">
      <c r="A464">
        <v>462</v>
      </c>
      <c r="B464" t="s">
        <v>7806</v>
      </c>
      <c r="C464" t="s">
        <v>7805</v>
      </c>
      <c r="F464" t="s">
        <v>7804</v>
      </c>
      <c r="G464" t="s">
        <v>15</v>
      </c>
      <c r="H464" t="s">
        <v>14</v>
      </c>
      <c r="I464" t="s">
        <v>7803</v>
      </c>
      <c r="J464">
        <v>60101699</v>
      </c>
      <c r="K464" t="s">
        <v>3302</v>
      </c>
      <c r="L464" t="s">
        <v>151</v>
      </c>
      <c r="M464" t="s">
        <v>150</v>
      </c>
      <c r="N464">
        <v>2</v>
      </c>
      <c r="O464" t="s">
        <v>7802</v>
      </c>
      <c r="P464" t="s">
        <v>7801</v>
      </c>
      <c r="Q464" t="s">
        <v>5053</v>
      </c>
      <c r="R464" s="7">
        <v>33970</v>
      </c>
      <c r="S464" s="8">
        <f t="shared" si="56"/>
        <v>1993</v>
      </c>
      <c r="T464" s="8">
        <v>1993</v>
      </c>
      <c r="U464" s="8">
        <f t="shared" si="57"/>
        <v>29</v>
      </c>
      <c r="V464" s="7">
        <v>1993</v>
      </c>
      <c r="W464" t="s">
        <v>1720</v>
      </c>
      <c r="X464" s="2">
        <v>0.111</v>
      </c>
      <c r="Y464" s="6">
        <f t="shared" si="62"/>
        <v>2.9630816048690639E-3</v>
      </c>
      <c r="AA464">
        <v>87566621</v>
      </c>
      <c r="AB464">
        <v>24890</v>
      </c>
      <c r="AC464">
        <v>15206424</v>
      </c>
      <c r="AD464" t="s">
        <v>5</v>
      </c>
      <c r="AE464">
        <v>76</v>
      </c>
      <c r="AF464">
        <v>11</v>
      </c>
      <c r="AH464" t="s">
        <v>7800</v>
      </c>
      <c r="AI464" t="s">
        <v>7799</v>
      </c>
      <c r="AJ464" t="s">
        <v>7798</v>
      </c>
      <c r="AK464" t="s">
        <v>7797</v>
      </c>
      <c r="AL464">
        <v>0</v>
      </c>
      <c r="AM464" s="5">
        <f t="shared" si="58"/>
        <v>0</v>
      </c>
      <c r="AN464" s="4">
        <f t="shared" si="63"/>
        <v>0</v>
      </c>
      <c r="AO464" s="3"/>
      <c r="AP464">
        <v>0</v>
      </c>
      <c r="AR464" t="s">
        <v>1</v>
      </c>
      <c r="AT464" s="2" t="s">
        <v>0</v>
      </c>
      <c r="AU464" s="1">
        <f t="shared" si="59"/>
        <v>0.20741571234083445</v>
      </c>
      <c r="AV464" s="1">
        <f t="shared" si="60"/>
        <v>0.1481540802434532</v>
      </c>
      <c r="AW464" s="1">
        <f t="shared" si="61"/>
        <v>8.8892448146071903E-2</v>
      </c>
    </row>
    <row r="465" spans="1:49" x14ac:dyDescent="0.2">
      <c r="A465">
        <v>463</v>
      </c>
      <c r="B465" t="s">
        <v>7796</v>
      </c>
      <c r="C465" t="s">
        <v>7795</v>
      </c>
      <c r="F465" t="s">
        <v>7794</v>
      </c>
      <c r="G465" t="s">
        <v>15</v>
      </c>
      <c r="H465" t="s">
        <v>14</v>
      </c>
      <c r="I465" t="s">
        <v>7793</v>
      </c>
      <c r="J465" t="s">
        <v>7792</v>
      </c>
      <c r="K465" t="s">
        <v>7791</v>
      </c>
      <c r="L465" t="s">
        <v>7790</v>
      </c>
      <c r="M465" t="s">
        <v>235</v>
      </c>
      <c r="N465">
        <v>3</v>
      </c>
      <c r="O465" t="s">
        <v>7789</v>
      </c>
      <c r="P465" t="s">
        <v>7788</v>
      </c>
      <c r="Q465" t="s">
        <v>7787</v>
      </c>
      <c r="R465" s="7">
        <v>33970</v>
      </c>
      <c r="S465" s="8">
        <f t="shared" si="56"/>
        <v>1993</v>
      </c>
      <c r="T465" s="8">
        <v>1993</v>
      </c>
      <c r="U465" s="8">
        <f t="shared" si="57"/>
        <v>29</v>
      </c>
      <c r="V465" s="7" t="s">
        <v>7786</v>
      </c>
      <c r="W465" t="s">
        <v>6753</v>
      </c>
      <c r="X465" s="2">
        <v>1.19</v>
      </c>
      <c r="Y465" s="6">
        <f t="shared" si="62"/>
        <v>3.1766370358506178E-2</v>
      </c>
      <c r="AA465">
        <v>939994</v>
      </c>
      <c r="AB465">
        <v>17361</v>
      </c>
      <c r="AC465">
        <v>19399367</v>
      </c>
      <c r="AD465" t="s">
        <v>5</v>
      </c>
      <c r="AE465">
        <v>29</v>
      </c>
      <c r="AF465">
        <v>6</v>
      </c>
      <c r="AH465" t="s">
        <v>7785</v>
      </c>
      <c r="AI465" t="s">
        <v>7784</v>
      </c>
      <c r="AK465" t="s">
        <v>7783</v>
      </c>
      <c r="AL465">
        <v>18</v>
      </c>
      <c r="AM465" s="5">
        <f t="shared" si="58"/>
        <v>0.62068965517241381</v>
      </c>
      <c r="AN465" s="4">
        <f t="shared" si="63"/>
        <v>9.4008277951141816E-4</v>
      </c>
      <c r="AO465" s="3"/>
      <c r="AP465">
        <v>0</v>
      </c>
      <c r="AR465" t="s">
        <v>1</v>
      </c>
      <c r="AT465" s="2" t="s">
        <v>0</v>
      </c>
      <c r="AU465" s="1">
        <f t="shared" si="59"/>
        <v>2.2518484084807748</v>
      </c>
      <c r="AV465" s="1">
        <f t="shared" si="60"/>
        <v>1.6353226569008796</v>
      </c>
      <c r="AW465" s="1">
        <f t="shared" si="61"/>
        <v>1.0187969053209847</v>
      </c>
    </row>
    <row r="466" spans="1:49" x14ac:dyDescent="0.2">
      <c r="A466">
        <v>464</v>
      </c>
      <c r="B466" t="s">
        <v>7782</v>
      </c>
      <c r="C466" t="s">
        <v>7781</v>
      </c>
      <c r="F466" t="s">
        <v>7780</v>
      </c>
      <c r="G466" t="s">
        <v>15</v>
      </c>
      <c r="H466" t="s">
        <v>14</v>
      </c>
      <c r="I466" t="s">
        <v>7779</v>
      </c>
      <c r="J466" t="s">
        <v>7778</v>
      </c>
      <c r="K466" t="s">
        <v>7777</v>
      </c>
      <c r="L466" t="s">
        <v>7776</v>
      </c>
      <c r="M466" t="s">
        <v>235</v>
      </c>
      <c r="N466">
        <v>10</v>
      </c>
      <c r="O466" t="s">
        <v>7775</v>
      </c>
      <c r="P466" t="s">
        <v>7774</v>
      </c>
      <c r="Q466" t="s">
        <v>7773</v>
      </c>
      <c r="R466" s="7">
        <v>33970</v>
      </c>
      <c r="S466" s="8">
        <f t="shared" si="56"/>
        <v>1993</v>
      </c>
      <c r="T466" s="8">
        <v>1993</v>
      </c>
      <c r="U466" s="8">
        <f t="shared" si="57"/>
        <v>29</v>
      </c>
      <c r="V466" s="7">
        <v>34274</v>
      </c>
      <c r="W466" t="s">
        <v>1272</v>
      </c>
      <c r="X466" s="2">
        <v>0.94</v>
      </c>
      <c r="Y466" s="6">
        <f t="shared" si="62"/>
        <v>2.5092763140332611E-2</v>
      </c>
      <c r="AA466">
        <v>10518207</v>
      </c>
      <c r="AB466">
        <v>63372</v>
      </c>
      <c r="AD466" t="s">
        <v>5</v>
      </c>
      <c r="AE466">
        <v>3</v>
      </c>
      <c r="AF466">
        <v>11</v>
      </c>
      <c r="AH466" t="s">
        <v>7772</v>
      </c>
      <c r="AI466" t="s">
        <v>7771</v>
      </c>
      <c r="AK466" t="s">
        <v>7770</v>
      </c>
      <c r="AL466">
        <v>5</v>
      </c>
      <c r="AM466" s="5">
        <f t="shared" si="58"/>
        <v>0.17241379310344829</v>
      </c>
      <c r="AN466" s="4">
        <f t="shared" si="63"/>
        <v>2.6113410541983838E-4</v>
      </c>
      <c r="AO466" s="3"/>
      <c r="AP466">
        <v>0</v>
      </c>
      <c r="AR466" t="s">
        <v>1</v>
      </c>
      <c r="AT466" s="2" t="s">
        <v>0</v>
      </c>
      <c r="AU466" s="1">
        <f t="shared" si="59"/>
        <v>1.7643274429858777</v>
      </c>
      <c r="AV466" s="1">
        <f t="shared" si="60"/>
        <v>1.2676948622876225</v>
      </c>
      <c r="AW466" s="1">
        <f t="shared" si="61"/>
        <v>0.77106228158936696</v>
      </c>
    </row>
    <row r="467" spans="1:49" x14ac:dyDescent="0.2">
      <c r="A467">
        <v>465</v>
      </c>
      <c r="B467" t="s">
        <v>7769</v>
      </c>
      <c r="C467" t="s">
        <v>7768</v>
      </c>
      <c r="F467" t="s">
        <v>7767</v>
      </c>
      <c r="G467" t="s">
        <v>15</v>
      </c>
      <c r="H467" t="s">
        <v>14</v>
      </c>
      <c r="I467" t="s">
        <v>7766</v>
      </c>
      <c r="J467">
        <v>60007776</v>
      </c>
      <c r="K467" t="s">
        <v>165</v>
      </c>
      <c r="L467" t="s">
        <v>164</v>
      </c>
      <c r="M467" t="s">
        <v>10</v>
      </c>
      <c r="N467">
        <v>3</v>
      </c>
      <c r="O467" t="s">
        <v>7765</v>
      </c>
      <c r="P467" t="s">
        <v>7764</v>
      </c>
      <c r="Q467" t="s">
        <v>7763</v>
      </c>
      <c r="R467" s="7">
        <v>33970</v>
      </c>
      <c r="S467" s="8">
        <f t="shared" si="56"/>
        <v>1993</v>
      </c>
      <c r="T467" s="8">
        <v>1993</v>
      </c>
      <c r="U467" s="8">
        <f t="shared" si="57"/>
        <v>29</v>
      </c>
      <c r="V467" s="7">
        <v>34243</v>
      </c>
      <c r="W467" t="s">
        <v>548</v>
      </c>
      <c r="X467" s="2">
        <v>1.3720000000000001</v>
      </c>
      <c r="Y467" s="6">
        <f t="shared" si="62"/>
        <v>3.662475641333654E-2</v>
      </c>
      <c r="AA467">
        <v>189480</v>
      </c>
      <c r="AB467">
        <v>17366</v>
      </c>
      <c r="AC467">
        <v>15579670</v>
      </c>
      <c r="AD467" t="s">
        <v>5</v>
      </c>
      <c r="AE467">
        <v>41</v>
      </c>
      <c r="AF467">
        <v>10</v>
      </c>
      <c r="AH467" t="s">
        <v>7762</v>
      </c>
      <c r="AI467" t="s">
        <v>7761</v>
      </c>
      <c r="AK467" t="s">
        <v>7760</v>
      </c>
      <c r="AL467">
        <v>2</v>
      </c>
      <c r="AM467" s="5">
        <f t="shared" si="58"/>
        <v>6.8965517241379309E-2</v>
      </c>
      <c r="AN467" s="4">
        <f t="shared" si="63"/>
        <v>1.0445364216793535E-4</v>
      </c>
      <c r="AO467" s="3"/>
      <c r="AP467">
        <v>0</v>
      </c>
      <c r="AR467" t="s">
        <v>1</v>
      </c>
      <c r="AT467" s="2" t="s">
        <v>0</v>
      </c>
      <c r="AU467" s="1">
        <f t="shared" si="59"/>
        <v>2.5668665581985954</v>
      </c>
      <c r="AV467" s="1">
        <f t="shared" si="60"/>
        <v>1.8364605027752237</v>
      </c>
      <c r="AW467" s="1">
        <f t="shared" si="61"/>
        <v>1.1060544473518517</v>
      </c>
    </row>
    <row r="468" spans="1:49" x14ac:dyDescent="0.2">
      <c r="A468">
        <v>466</v>
      </c>
      <c r="B468" t="s">
        <v>7759</v>
      </c>
      <c r="C468" t="s">
        <v>7758</v>
      </c>
      <c r="F468" t="s">
        <v>7757</v>
      </c>
      <c r="G468" t="s">
        <v>15</v>
      </c>
      <c r="H468" t="s">
        <v>14</v>
      </c>
      <c r="I468" t="s">
        <v>3771</v>
      </c>
      <c r="J468">
        <v>60012704</v>
      </c>
      <c r="K468" t="s">
        <v>3770</v>
      </c>
      <c r="L468" t="s">
        <v>3769</v>
      </c>
      <c r="M468" t="s">
        <v>1988</v>
      </c>
      <c r="N468">
        <v>5</v>
      </c>
      <c r="O468" t="s">
        <v>7756</v>
      </c>
      <c r="P468" t="s">
        <v>7755</v>
      </c>
      <c r="Q468" t="s">
        <v>7754</v>
      </c>
      <c r="R468" s="7">
        <v>33970</v>
      </c>
      <c r="S468" s="8">
        <f t="shared" si="56"/>
        <v>1993</v>
      </c>
      <c r="T468" s="8">
        <v>1993</v>
      </c>
      <c r="U468" s="8">
        <f t="shared" si="57"/>
        <v>29</v>
      </c>
      <c r="V468" s="7">
        <v>34243</v>
      </c>
      <c r="W468" t="s">
        <v>868</v>
      </c>
      <c r="X468" s="2">
        <v>0.375</v>
      </c>
      <c r="Y468" s="6">
        <f t="shared" si="62"/>
        <v>1.0010410827260351E-2</v>
      </c>
      <c r="AA468">
        <v>135194</v>
      </c>
      <c r="AB468">
        <v>24918</v>
      </c>
      <c r="AD468" t="s">
        <v>5</v>
      </c>
      <c r="AE468">
        <v>29</v>
      </c>
      <c r="AF468">
        <v>22</v>
      </c>
      <c r="AH468" t="s">
        <v>7753</v>
      </c>
      <c r="AI468" t="s">
        <v>7752</v>
      </c>
      <c r="AJ468" t="s">
        <v>7751</v>
      </c>
      <c r="AK468" t="s">
        <v>7750</v>
      </c>
      <c r="AL468">
        <v>5</v>
      </c>
      <c r="AM468" s="5">
        <f t="shared" si="58"/>
        <v>0.17241379310344829</v>
      </c>
      <c r="AN468" s="4">
        <f t="shared" si="63"/>
        <v>2.6113410541983838E-4</v>
      </c>
      <c r="AO468" s="3"/>
      <c r="AP468">
        <v>0</v>
      </c>
      <c r="AR468" t="s">
        <v>1</v>
      </c>
      <c r="AT468" s="2">
        <v>1.3140000000000001</v>
      </c>
      <c r="AU468" s="1">
        <f t="shared" si="59"/>
        <v>0.70856278107081971</v>
      </c>
      <c r="AV468" s="1">
        <f t="shared" si="60"/>
        <v>0.5135772466340095</v>
      </c>
      <c r="AW468" s="1">
        <f t="shared" si="61"/>
        <v>0.31859171219719917</v>
      </c>
    </row>
    <row r="469" spans="1:49" x14ac:dyDescent="0.2">
      <c r="A469">
        <v>467</v>
      </c>
      <c r="B469" t="s">
        <v>7749</v>
      </c>
      <c r="C469" t="s">
        <v>7748</v>
      </c>
      <c r="F469" t="s">
        <v>7747</v>
      </c>
      <c r="G469" t="s">
        <v>15</v>
      </c>
      <c r="H469" t="s">
        <v>14</v>
      </c>
      <c r="I469" t="s">
        <v>7746</v>
      </c>
      <c r="J469">
        <v>60007798</v>
      </c>
      <c r="K469" t="s">
        <v>6184</v>
      </c>
      <c r="L469" t="s">
        <v>6183</v>
      </c>
      <c r="M469" t="s">
        <v>59</v>
      </c>
      <c r="N469">
        <v>1</v>
      </c>
      <c r="O469" t="s">
        <v>7745</v>
      </c>
      <c r="P469">
        <v>6508348792</v>
      </c>
      <c r="Q469">
        <v>60007798</v>
      </c>
      <c r="R469" s="7">
        <v>33970</v>
      </c>
      <c r="S469" s="8">
        <f t="shared" si="56"/>
        <v>1993</v>
      </c>
      <c r="T469" s="8">
        <v>1993</v>
      </c>
      <c r="U469" s="8">
        <f t="shared" si="57"/>
        <v>29</v>
      </c>
      <c r="V469" s="7">
        <v>34243</v>
      </c>
      <c r="W469" t="s">
        <v>868</v>
      </c>
      <c r="X469" s="2">
        <v>0.375</v>
      </c>
      <c r="Y469" s="6">
        <f t="shared" si="62"/>
        <v>1.0010410827260351E-2</v>
      </c>
      <c r="AA469">
        <v>135194</v>
      </c>
      <c r="AB469">
        <v>24918</v>
      </c>
      <c r="AD469" t="s">
        <v>5</v>
      </c>
      <c r="AE469">
        <v>29</v>
      </c>
      <c r="AF469">
        <v>21</v>
      </c>
      <c r="AH469" t="s">
        <v>7744</v>
      </c>
      <c r="AI469" t="s">
        <v>7743</v>
      </c>
      <c r="AJ469" t="s">
        <v>7742</v>
      </c>
      <c r="AK469" t="s">
        <v>7741</v>
      </c>
      <c r="AL469">
        <v>10</v>
      </c>
      <c r="AM469" s="5">
        <f t="shared" si="58"/>
        <v>0.34482758620689657</v>
      </c>
      <c r="AN469" s="4">
        <f t="shared" si="63"/>
        <v>5.2226821083967677E-4</v>
      </c>
      <c r="AO469" s="3"/>
      <c r="AP469">
        <v>0</v>
      </c>
      <c r="AR469" t="s">
        <v>1</v>
      </c>
      <c r="AT469" s="2">
        <v>1.3140000000000001</v>
      </c>
      <c r="AU469" s="1">
        <f t="shared" si="59"/>
        <v>0.7163968042334149</v>
      </c>
      <c r="AV469" s="1">
        <f t="shared" si="60"/>
        <v>0.5266339519050014</v>
      </c>
      <c r="AW469" s="1">
        <f t="shared" si="61"/>
        <v>0.3368710995765879</v>
      </c>
    </row>
    <row r="470" spans="1:49" x14ac:dyDescent="0.2">
      <c r="A470">
        <v>468</v>
      </c>
      <c r="B470" t="s">
        <v>7740</v>
      </c>
      <c r="C470" t="s">
        <v>7739</v>
      </c>
      <c r="F470" t="s">
        <v>7738</v>
      </c>
      <c r="G470" t="s">
        <v>15</v>
      </c>
      <c r="H470" t="s">
        <v>14</v>
      </c>
      <c r="I470" t="s">
        <v>7737</v>
      </c>
      <c r="J470">
        <v>60014313</v>
      </c>
      <c r="K470" t="s">
        <v>2652</v>
      </c>
      <c r="L470" t="s">
        <v>2651</v>
      </c>
      <c r="M470" t="s">
        <v>10</v>
      </c>
      <c r="N470">
        <v>2</v>
      </c>
      <c r="O470" t="s">
        <v>7736</v>
      </c>
      <c r="P470" t="s">
        <v>7735</v>
      </c>
      <c r="Q470" t="s">
        <v>2648</v>
      </c>
      <c r="R470" s="7">
        <v>33970</v>
      </c>
      <c r="S470" s="8">
        <f t="shared" si="56"/>
        <v>1993</v>
      </c>
      <c r="T470" s="8">
        <v>1993</v>
      </c>
      <c r="U470" s="8">
        <f t="shared" si="57"/>
        <v>29</v>
      </c>
      <c r="V470" s="7">
        <v>34243</v>
      </c>
      <c r="W470" t="s">
        <v>814</v>
      </c>
      <c r="X470" s="2">
        <v>1.6519999999999999</v>
      </c>
      <c r="Y470" s="6">
        <f t="shared" si="62"/>
        <v>4.409919649769093E-2</v>
      </c>
      <c r="AA470" t="s">
        <v>813</v>
      </c>
      <c r="AB470">
        <v>17337</v>
      </c>
      <c r="AC470">
        <v>15582221</v>
      </c>
      <c r="AD470" t="s">
        <v>5</v>
      </c>
      <c r="AE470">
        <v>41</v>
      </c>
      <c r="AF470">
        <v>10</v>
      </c>
      <c r="AH470" t="s">
        <v>7734</v>
      </c>
      <c r="AI470" t="s">
        <v>7733</v>
      </c>
      <c r="AK470" t="s">
        <v>7732</v>
      </c>
      <c r="AL470">
        <v>10</v>
      </c>
      <c r="AM470" s="5">
        <f t="shared" si="58"/>
        <v>0.34482758620689657</v>
      </c>
      <c r="AN470" s="4">
        <f t="shared" si="63"/>
        <v>5.2226821083967677E-4</v>
      </c>
      <c r="AO470" s="3"/>
      <c r="AP470">
        <v>0</v>
      </c>
      <c r="AR470" t="s">
        <v>1</v>
      </c>
      <c r="AT470" s="2" t="s">
        <v>0</v>
      </c>
      <c r="AU470" s="1">
        <f t="shared" si="59"/>
        <v>3.1026118011635551</v>
      </c>
      <c r="AV470" s="1">
        <f t="shared" si="60"/>
        <v>2.2310732354265306</v>
      </c>
      <c r="AW470" s="1">
        <f t="shared" si="61"/>
        <v>1.3595346696895052</v>
      </c>
    </row>
    <row r="471" spans="1:49" x14ac:dyDescent="0.2">
      <c r="A471">
        <v>469</v>
      </c>
      <c r="B471" t="s">
        <v>7731</v>
      </c>
      <c r="C471" t="s">
        <v>7730</v>
      </c>
      <c r="F471" t="s">
        <v>7729</v>
      </c>
      <c r="G471" t="s">
        <v>15</v>
      </c>
      <c r="H471" t="s">
        <v>14</v>
      </c>
      <c r="I471" t="s">
        <v>7728</v>
      </c>
      <c r="J471">
        <v>60005304</v>
      </c>
      <c r="K471" t="s">
        <v>592</v>
      </c>
      <c r="L471" t="s">
        <v>591</v>
      </c>
      <c r="M471" t="s">
        <v>10</v>
      </c>
      <c r="N471">
        <v>2</v>
      </c>
      <c r="O471" t="s">
        <v>7727</v>
      </c>
      <c r="P471" t="s">
        <v>7726</v>
      </c>
      <c r="Q471" t="s">
        <v>4190</v>
      </c>
      <c r="R471" s="7">
        <v>33970</v>
      </c>
      <c r="S471" s="8">
        <f t="shared" si="56"/>
        <v>1993</v>
      </c>
      <c r="T471" s="8">
        <v>1993</v>
      </c>
      <c r="U471" s="8">
        <f t="shared" si="57"/>
        <v>29</v>
      </c>
      <c r="V471" s="7">
        <v>34243</v>
      </c>
      <c r="W471" t="s">
        <v>814</v>
      </c>
      <c r="X471" s="2">
        <v>1.6519999999999999</v>
      </c>
      <c r="Y471" s="6">
        <f t="shared" si="62"/>
        <v>4.409919649769093E-2</v>
      </c>
      <c r="AA471" t="s">
        <v>813</v>
      </c>
      <c r="AB471">
        <v>17337</v>
      </c>
      <c r="AC471">
        <v>15582221</v>
      </c>
      <c r="AD471" t="s">
        <v>5</v>
      </c>
      <c r="AE471">
        <v>41</v>
      </c>
      <c r="AF471">
        <v>10</v>
      </c>
      <c r="AH471" t="s">
        <v>7725</v>
      </c>
      <c r="AI471" t="s">
        <v>7724</v>
      </c>
      <c r="AK471" t="s">
        <v>7723</v>
      </c>
      <c r="AL471">
        <v>1</v>
      </c>
      <c r="AM471" s="5">
        <f t="shared" si="58"/>
        <v>3.4482758620689655E-2</v>
      </c>
      <c r="AN471" s="4">
        <f t="shared" si="63"/>
        <v>5.2226821083967674E-5</v>
      </c>
      <c r="AO471" s="3"/>
      <c r="AP471">
        <v>0</v>
      </c>
      <c r="AR471" t="s">
        <v>1</v>
      </c>
      <c r="AT471" s="2" t="s">
        <v>0</v>
      </c>
      <c r="AU471" s="1">
        <f t="shared" si="59"/>
        <v>3.0885105594708842</v>
      </c>
      <c r="AV471" s="1">
        <f t="shared" si="60"/>
        <v>2.2075711659387447</v>
      </c>
      <c r="AW471" s="1">
        <f t="shared" si="61"/>
        <v>1.3266317724066055</v>
      </c>
    </row>
    <row r="472" spans="1:49" x14ac:dyDescent="0.2">
      <c r="A472">
        <v>470</v>
      </c>
      <c r="B472" t="s">
        <v>7722</v>
      </c>
      <c r="C472" t="s">
        <v>7721</v>
      </c>
      <c r="F472" t="s">
        <v>7720</v>
      </c>
      <c r="G472" t="s">
        <v>15</v>
      </c>
      <c r="H472" t="s">
        <v>14</v>
      </c>
      <c r="I472" t="s">
        <v>7719</v>
      </c>
      <c r="J472">
        <v>60020304</v>
      </c>
      <c r="K472" t="s">
        <v>7718</v>
      </c>
      <c r="L472" t="s">
        <v>7717</v>
      </c>
      <c r="M472" t="s">
        <v>10</v>
      </c>
      <c r="N472">
        <v>1</v>
      </c>
      <c r="O472" t="s">
        <v>7716</v>
      </c>
      <c r="P472">
        <v>55471741700</v>
      </c>
      <c r="Q472">
        <v>60020304</v>
      </c>
      <c r="R472" s="7">
        <v>33970</v>
      </c>
      <c r="S472" s="8">
        <f t="shared" si="56"/>
        <v>1993</v>
      </c>
      <c r="T472" s="8">
        <v>1993</v>
      </c>
      <c r="U472" s="8">
        <f t="shared" si="57"/>
        <v>29</v>
      </c>
      <c r="V472" s="7">
        <v>34243</v>
      </c>
      <c r="W472" t="s">
        <v>814</v>
      </c>
      <c r="X472" s="2">
        <v>1.6519999999999999</v>
      </c>
      <c r="Y472" s="6">
        <f t="shared" si="62"/>
        <v>4.409919649769093E-2</v>
      </c>
      <c r="AA472" t="s">
        <v>813</v>
      </c>
      <c r="AB472">
        <v>17337</v>
      </c>
      <c r="AC472">
        <v>15582221</v>
      </c>
      <c r="AD472" t="s">
        <v>5</v>
      </c>
      <c r="AE472">
        <v>41</v>
      </c>
      <c r="AF472">
        <v>10</v>
      </c>
      <c r="AH472" t="s">
        <v>7715</v>
      </c>
      <c r="AI472" t="s">
        <v>7714</v>
      </c>
      <c r="AK472" t="s">
        <v>7713</v>
      </c>
      <c r="AL472">
        <v>28</v>
      </c>
      <c r="AM472" s="5">
        <f t="shared" si="58"/>
        <v>0.96551724137931039</v>
      </c>
      <c r="AN472" s="4">
        <f t="shared" si="63"/>
        <v>1.4623509903510948E-3</v>
      </c>
      <c r="AO472" s="3"/>
      <c r="AP472">
        <v>0</v>
      </c>
      <c r="AR472" t="s">
        <v>1</v>
      </c>
      <c r="AT472" s="2" t="s">
        <v>0</v>
      </c>
      <c r="AU472" s="1">
        <f t="shared" si="59"/>
        <v>3.1308142845488982</v>
      </c>
      <c r="AV472" s="1">
        <f t="shared" si="60"/>
        <v>2.278077374402101</v>
      </c>
      <c r="AW472" s="1">
        <f t="shared" si="61"/>
        <v>1.4253404642553045</v>
      </c>
    </row>
    <row r="473" spans="1:49" x14ac:dyDescent="0.2">
      <c r="A473">
        <v>471</v>
      </c>
      <c r="B473" t="s">
        <v>7712</v>
      </c>
      <c r="C473" t="s">
        <v>7711</v>
      </c>
      <c r="F473" t="s">
        <v>7710</v>
      </c>
      <c r="G473" t="s">
        <v>15</v>
      </c>
      <c r="H473" t="s">
        <v>14</v>
      </c>
      <c r="I473" t="s">
        <v>7709</v>
      </c>
      <c r="J473" t="s">
        <v>7708</v>
      </c>
      <c r="K473" t="s">
        <v>7707</v>
      </c>
      <c r="L473" t="s">
        <v>7706</v>
      </c>
      <c r="M473" t="s">
        <v>235</v>
      </c>
      <c r="N473">
        <v>3</v>
      </c>
      <c r="O473" t="s">
        <v>7705</v>
      </c>
      <c r="P473" t="s">
        <v>7704</v>
      </c>
      <c r="Q473" t="s">
        <v>7703</v>
      </c>
      <c r="R473" s="7">
        <v>33970</v>
      </c>
      <c r="S473" s="8">
        <f t="shared" si="56"/>
        <v>1993</v>
      </c>
      <c r="T473" s="8">
        <v>1993</v>
      </c>
      <c r="U473" s="8">
        <f t="shared" si="57"/>
        <v>29</v>
      </c>
      <c r="V473" s="7">
        <v>34243</v>
      </c>
      <c r="W473" t="s">
        <v>2382</v>
      </c>
      <c r="X473" s="2">
        <v>0.30399999999999999</v>
      </c>
      <c r="Y473" s="6">
        <f t="shared" si="62"/>
        <v>8.115106377299057E-3</v>
      </c>
      <c r="AA473">
        <v>8952477</v>
      </c>
      <c r="AB473">
        <v>12250</v>
      </c>
      <c r="AC473">
        <v>10982760</v>
      </c>
      <c r="AD473" t="s">
        <v>5</v>
      </c>
      <c r="AE473">
        <v>6</v>
      </c>
      <c r="AF473">
        <v>13</v>
      </c>
      <c r="AH473" t="s">
        <v>7702</v>
      </c>
      <c r="AI473" t="s">
        <v>7701</v>
      </c>
      <c r="AJ473" t="s">
        <v>7700</v>
      </c>
      <c r="AK473" t="s">
        <v>7699</v>
      </c>
      <c r="AL473">
        <v>1</v>
      </c>
      <c r="AM473" s="5">
        <f t="shared" si="58"/>
        <v>3.4482758620689655E-2</v>
      </c>
      <c r="AN473" s="4">
        <f t="shared" si="63"/>
        <v>5.2226821083967674E-5</v>
      </c>
      <c r="AO473" s="3"/>
      <c r="AP473">
        <v>0</v>
      </c>
      <c r="AR473" t="s">
        <v>1</v>
      </c>
      <c r="AT473" s="2" t="s">
        <v>0</v>
      </c>
      <c r="AU473" s="1">
        <f t="shared" si="59"/>
        <v>0.56962425104345293</v>
      </c>
      <c r="AV473" s="1">
        <f t="shared" si="60"/>
        <v>0.40836665991915122</v>
      </c>
      <c r="AW473" s="1">
        <f t="shared" si="61"/>
        <v>0.24710906879484945</v>
      </c>
    </row>
    <row r="474" spans="1:49" x14ac:dyDescent="0.2">
      <c r="A474">
        <v>472</v>
      </c>
      <c r="B474" t="s">
        <v>7698</v>
      </c>
      <c r="C474" t="s">
        <v>7697</v>
      </c>
      <c r="F474" t="s">
        <v>7696</v>
      </c>
      <c r="G474" t="s">
        <v>15</v>
      </c>
      <c r="H474" t="s">
        <v>14</v>
      </c>
      <c r="I474" t="s">
        <v>7695</v>
      </c>
      <c r="J474">
        <v>60031707</v>
      </c>
      <c r="K474" t="s">
        <v>2804</v>
      </c>
      <c r="L474" t="s">
        <v>2803</v>
      </c>
      <c r="M474" t="s">
        <v>10</v>
      </c>
      <c r="N474">
        <v>2</v>
      </c>
      <c r="O474" t="s">
        <v>7694</v>
      </c>
      <c r="P474" t="s">
        <v>7693</v>
      </c>
      <c r="Q474" t="s">
        <v>7692</v>
      </c>
      <c r="R474" s="7">
        <v>33970</v>
      </c>
      <c r="S474" s="8">
        <f t="shared" si="56"/>
        <v>1993</v>
      </c>
      <c r="T474" s="8">
        <v>1993</v>
      </c>
      <c r="U474" s="8">
        <f t="shared" si="57"/>
        <v>29</v>
      </c>
      <c r="V474" s="7">
        <v>34243</v>
      </c>
      <c r="W474" t="s">
        <v>814</v>
      </c>
      <c r="X474" s="2">
        <v>1.6519999999999999</v>
      </c>
      <c r="Y474" s="6">
        <f t="shared" si="62"/>
        <v>4.409919649769093E-2</v>
      </c>
      <c r="AA474" t="s">
        <v>813</v>
      </c>
      <c r="AB474">
        <v>17337</v>
      </c>
      <c r="AC474">
        <v>15582221</v>
      </c>
      <c r="AD474" t="s">
        <v>5</v>
      </c>
      <c r="AE474">
        <v>41</v>
      </c>
      <c r="AF474">
        <v>10</v>
      </c>
      <c r="AH474" t="s">
        <v>7691</v>
      </c>
      <c r="AI474" t="s">
        <v>7690</v>
      </c>
      <c r="AK474" t="s">
        <v>7689</v>
      </c>
      <c r="AL474">
        <v>29</v>
      </c>
      <c r="AM474" s="5">
        <f t="shared" si="58"/>
        <v>1</v>
      </c>
      <c r="AN474" s="4">
        <f t="shared" si="63"/>
        <v>1.5145778114350624E-3</v>
      </c>
      <c r="AO474" s="3"/>
      <c r="AP474">
        <v>0</v>
      </c>
      <c r="AR474" t="s">
        <v>7688</v>
      </c>
      <c r="AT474" s="2" t="s">
        <v>0</v>
      </c>
      <c r="AU474" s="1">
        <f t="shared" si="59"/>
        <v>3.132381089181417</v>
      </c>
      <c r="AV474" s="1">
        <f t="shared" si="60"/>
        <v>2.2806887154562996</v>
      </c>
      <c r="AW474" s="1">
        <f t="shared" si="61"/>
        <v>1.4289963417311822</v>
      </c>
    </row>
    <row r="475" spans="1:49" x14ac:dyDescent="0.2">
      <c r="A475">
        <v>473</v>
      </c>
      <c r="B475" t="s">
        <v>7687</v>
      </c>
      <c r="C475" t="s">
        <v>7686</v>
      </c>
      <c r="F475" t="s">
        <v>7685</v>
      </c>
      <c r="G475" t="s">
        <v>15</v>
      </c>
      <c r="H475" t="s">
        <v>14</v>
      </c>
      <c r="I475" t="s">
        <v>7684</v>
      </c>
      <c r="J475" t="s">
        <v>7683</v>
      </c>
      <c r="K475" t="s">
        <v>7682</v>
      </c>
      <c r="L475" t="s">
        <v>3755</v>
      </c>
      <c r="M475" t="s">
        <v>3754</v>
      </c>
      <c r="N475">
        <v>4</v>
      </c>
      <c r="O475" t="s">
        <v>3753</v>
      </c>
      <c r="P475" t="s">
        <v>3752</v>
      </c>
      <c r="Q475" t="s">
        <v>7681</v>
      </c>
      <c r="R475" s="7">
        <v>33970</v>
      </c>
      <c r="S475" s="8">
        <f t="shared" si="56"/>
        <v>1993</v>
      </c>
      <c r="T475" s="8">
        <v>1993</v>
      </c>
      <c r="U475" s="8">
        <f t="shared" si="57"/>
        <v>29</v>
      </c>
      <c r="V475" s="7">
        <v>34243</v>
      </c>
      <c r="W475" t="s">
        <v>814</v>
      </c>
      <c r="X475" s="2">
        <v>1.6519999999999999</v>
      </c>
      <c r="Y475" s="6">
        <f t="shared" si="62"/>
        <v>4.409919649769093E-2</v>
      </c>
      <c r="AA475" t="s">
        <v>813</v>
      </c>
      <c r="AB475">
        <v>17337</v>
      </c>
      <c r="AC475">
        <v>15582221</v>
      </c>
      <c r="AD475" t="s">
        <v>5</v>
      </c>
      <c r="AE475">
        <v>41</v>
      </c>
      <c r="AF475">
        <v>10</v>
      </c>
      <c r="AH475" t="s">
        <v>7680</v>
      </c>
      <c r="AI475" t="s">
        <v>7679</v>
      </c>
      <c r="AK475" t="s">
        <v>7678</v>
      </c>
      <c r="AL475">
        <v>145</v>
      </c>
      <c r="AM475" s="5">
        <f t="shared" si="58"/>
        <v>5</v>
      </c>
      <c r="AN475" s="4">
        <f t="shared" si="63"/>
        <v>7.5728890571753124E-3</v>
      </c>
      <c r="AO475" s="3"/>
      <c r="AP475">
        <v>0</v>
      </c>
      <c r="AR475" t="s">
        <v>1</v>
      </c>
      <c r="AT475" s="2" t="s">
        <v>0</v>
      </c>
      <c r="AU475" s="1">
        <f t="shared" si="59"/>
        <v>3.314130426553624</v>
      </c>
      <c r="AV475" s="1">
        <f t="shared" si="60"/>
        <v>2.5836042777433121</v>
      </c>
      <c r="AW475" s="1">
        <f t="shared" si="61"/>
        <v>1.8530781289329996</v>
      </c>
    </row>
    <row r="476" spans="1:49" x14ac:dyDescent="0.2">
      <c r="A476">
        <v>474</v>
      </c>
      <c r="B476" t="s">
        <v>7677</v>
      </c>
      <c r="C476" t="s">
        <v>7676</v>
      </c>
      <c r="F476" t="s">
        <v>7675</v>
      </c>
      <c r="G476" t="s">
        <v>15</v>
      </c>
      <c r="H476" t="s">
        <v>14</v>
      </c>
      <c r="I476" t="s">
        <v>7674</v>
      </c>
      <c r="J476">
        <v>60068535</v>
      </c>
      <c r="K476" t="s">
        <v>1452</v>
      </c>
      <c r="L476" t="s">
        <v>1451</v>
      </c>
      <c r="M476" t="s">
        <v>1450</v>
      </c>
      <c r="N476">
        <v>1</v>
      </c>
      <c r="O476" t="s">
        <v>7673</v>
      </c>
      <c r="P476">
        <v>6505995652</v>
      </c>
      <c r="Q476">
        <v>60068535</v>
      </c>
      <c r="R476" s="7">
        <v>33970</v>
      </c>
      <c r="S476" s="8">
        <f t="shared" si="56"/>
        <v>1993</v>
      </c>
      <c r="T476" s="8">
        <v>1993</v>
      </c>
      <c r="U476" s="8">
        <f t="shared" si="57"/>
        <v>29</v>
      </c>
      <c r="V476" s="7">
        <v>33970</v>
      </c>
      <c r="W476" t="s">
        <v>1446</v>
      </c>
      <c r="X476" s="2">
        <v>0.22500000000000001</v>
      </c>
      <c r="Y476" s="6">
        <f t="shared" si="62"/>
        <v>6.0062464963562111E-3</v>
      </c>
      <c r="AA476">
        <v>2726343</v>
      </c>
      <c r="AB476">
        <v>16128</v>
      </c>
      <c r="AC476" t="s">
        <v>1445</v>
      </c>
      <c r="AD476" t="s">
        <v>5</v>
      </c>
      <c r="AE476">
        <v>13</v>
      </c>
      <c r="AF476">
        <v>4</v>
      </c>
      <c r="AH476" t="s">
        <v>7672</v>
      </c>
      <c r="AI476" t="s">
        <v>7671</v>
      </c>
      <c r="AK476" t="s">
        <v>7670</v>
      </c>
      <c r="AL476">
        <v>0</v>
      </c>
      <c r="AM476" s="5">
        <f t="shared" si="58"/>
        <v>0</v>
      </c>
      <c r="AN476" s="4">
        <f t="shared" si="63"/>
        <v>0</v>
      </c>
      <c r="AO476" s="3"/>
      <c r="AP476">
        <v>0</v>
      </c>
      <c r="AR476" t="s">
        <v>1</v>
      </c>
      <c r="AT476" s="2">
        <v>1.099</v>
      </c>
      <c r="AU476" s="1">
        <f t="shared" si="59"/>
        <v>0.42043725474493476</v>
      </c>
      <c r="AV476" s="1">
        <f t="shared" si="60"/>
        <v>0.30031232481781056</v>
      </c>
      <c r="AW476" s="1">
        <f t="shared" si="61"/>
        <v>0.18018739489068633</v>
      </c>
    </row>
    <row r="477" spans="1:49" x14ac:dyDescent="0.2">
      <c r="A477">
        <v>475</v>
      </c>
      <c r="B477" t="s">
        <v>7669</v>
      </c>
      <c r="C477" t="s">
        <v>7668</v>
      </c>
      <c r="F477" t="s">
        <v>7667</v>
      </c>
      <c r="G477" t="s">
        <v>15</v>
      </c>
      <c r="H477" t="s">
        <v>14</v>
      </c>
      <c r="I477" t="s">
        <v>7666</v>
      </c>
      <c r="J477">
        <v>60019656</v>
      </c>
      <c r="K477" t="s">
        <v>7665</v>
      </c>
      <c r="L477" t="s">
        <v>7664</v>
      </c>
      <c r="M477" t="s">
        <v>493</v>
      </c>
      <c r="N477">
        <v>1</v>
      </c>
      <c r="O477" t="s">
        <v>7663</v>
      </c>
      <c r="P477">
        <v>35605547500</v>
      </c>
      <c r="Q477">
        <v>60019656</v>
      </c>
      <c r="R477" s="7">
        <v>33970</v>
      </c>
      <c r="S477" s="8">
        <f t="shared" si="56"/>
        <v>1993</v>
      </c>
      <c r="T477" s="8">
        <v>1993</v>
      </c>
      <c r="U477" s="8">
        <f t="shared" si="57"/>
        <v>29</v>
      </c>
      <c r="V477" s="7">
        <v>34243</v>
      </c>
      <c r="W477" t="s">
        <v>2382</v>
      </c>
      <c r="X477" s="2">
        <v>0.30399999999999999</v>
      </c>
      <c r="Y477" s="6">
        <f t="shared" si="62"/>
        <v>8.115106377299057E-3</v>
      </c>
      <c r="AA477">
        <v>8952477</v>
      </c>
      <c r="AB477">
        <v>12250</v>
      </c>
      <c r="AC477">
        <v>10982760</v>
      </c>
      <c r="AD477" t="s">
        <v>5</v>
      </c>
      <c r="AE477">
        <v>6</v>
      </c>
      <c r="AF477">
        <v>13</v>
      </c>
      <c r="AH477" t="s">
        <v>7662</v>
      </c>
      <c r="AI477" t="s">
        <v>7661</v>
      </c>
      <c r="AJ477" t="s">
        <v>7660</v>
      </c>
      <c r="AK477" t="s">
        <v>7659</v>
      </c>
      <c r="AL477">
        <v>0</v>
      </c>
      <c r="AM477" s="5">
        <f t="shared" si="58"/>
        <v>0</v>
      </c>
      <c r="AN477" s="4">
        <f t="shared" si="63"/>
        <v>0</v>
      </c>
      <c r="AO477" s="3"/>
      <c r="AP477">
        <v>0</v>
      </c>
      <c r="AR477" t="s">
        <v>1</v>
      </c>
      <c r="AT477" s="2" t="s">
        <v>0</v>
      </c>
      <c r="AU477" s="1">
        <f t="shared" si="59"/>
        <v>0.56805744641093392</v>
      </c>
      <c r="AV477" s="1">
        <f t="shared" si="60"/>
        <v>0.40575531886495286</v>
      </c>
      <c r="AW477" s="1">
        <f t="shared" si="61"/>
        <v>0.24345319131897172</v>
      </c>
    </row>
    <row r="478" spans="1:49" x14ac:dyDescent="0.2">
      <c r="A478">
        <v>476</v>
      </c>
      <c r="B478" t="s">
        <v>7658</v>
      </c>
      <c r="C478" t="s">
        <v>7657</v>
      </c>
      <c r="F478" t="s">
        <v>7656</v>
      </c>
      <c r="G478" t="s">
        <v>15</v>
      </c>
      <c r="H478" t="s">
        <v>14</v>
      </c>
      <c r="I478" t="s">
        <v>7655</v>
      </c>
      <c r="J478" t="s">
        <v>7654</v>
      </c>
      <c r="K478" t="s">
        <v>7653</v>
      </c>
      <c r="L478" t="s">
        <v>7652</v>
      </c>
      <c r="M478" t="s">
        <v>7651</v>
      </c>
      <c r="N478">
        <v>3</v>
      </c>
      <c r="O478" t="s">
        <v>7650</v>
      </c>
      <c r="P478" t="s">
        <v>7649</v>
      </c>
      <c r="Q478" t="s">
        <v>7648</v>
      </c>
      <c r="R478" s="7">
        <v>33970</v>
      </c>
      <c r="S478" s="8">
        <f t="shared" si="56"/>
        <v>1993</v>
      </c>
      <c r="T478" s="8">
        <v>1993</v>
      </c>
      <c r="U478" s="8">
        <f t="shared" si="57"/>
        <v>29</v>
      </c>
      <c r="V478" s="7">
        <v>34243</v>
      </c>
      <c r="W478" t="s">
        <v>1284</v>
      </c>
      <c r="X478" s="2">
        <v>0.33500000000000002</v>
      </c>
      <c r="Y478" s="6">
        <f t="shared" si="62"/>
        <v>8.94263367235258E-3</v>
      </c>
      <c r="AA478">
        <v>10501827</v>
      </c>
      <c r="AB478">
        <v>78233</v>
      </c>
      <c r="AC478">
        <v>15226301</v>
      </c>
      <c r="AD478" t="s">
        <v>5</v>
      </c>
      <c r="AE478">
        <v>3</v>
      </c>
      <c r="AF478">
        <v>4</v>
      </c>
      <c r="AH478" t="s">
        <v>7647</v>
      </c>
      <c r="AI478" t="s">
        <v>7646</v>
      </c>
      <c r="AK478" t="s">
        <v>7645</v>
      </c>
      <c r="AL478">
        <v>2</v>
      </c>
      <c r="AM478" s="5">
        <f t="shared" si="58"/>
        <v>6.8965517241379309E-2</v>
      </c>
      <c r="AN478" s="4">
        <f t="shared" si="63"/>
        <v>1.0445364216793535E-4</v>
      </c>
      <c r="AO478" s="3"/>
      <c r="AP478">
        <v>0</v>
      </c>
      <c r="AR478" t="s">
        <v>1</v>
      </c>
      <c r="AT478" s="2" t="s">
        <v>0</v>
      </c>
      <c r="AU478" s="1">
        <f t="shared" si="59"/>
        <v>0.62911796632971861</v>
      </c>
      <c r="AV478" s="1">
        <f t="shared" si="60"/>
        <v>0.45235436572602583</v>
      </c>
      <c r="AW478" s="1">
        <f t="shared" si="61"/>
        <v>0.27559076512233288</v>
      </c>
    </row>
    <row r="479" spans="1:49" x14ac:dyDescent="0.2">
      <c r="A479">
        <v>477</v>
      </c>
      <c r="B479" t="s">
        <v>7644</v>
      </c>
      <c r="C479" t="s">
        <v>7643</v>
      </c>
      <c r="F479" t="s">
        <v>7642</v>
      </c>
      <c r="G479" t="s">
        <v>15</v>
      </c>
      <c r="H479" t="s">
        <v>14</v>
      </c>
      <c r="I479" t="s">
        <v>7641</v>
      </c>
      <c r="J479">
        <v>106628186</v>
      </c>
      <c r="K479" t="s">
        <v>7640</v>
      </c>
      <c r="L479" t="s">
        <v>1545</v>
      </c>
      <c r="M479" t="s">
        <v>493</v>
      </c>
      <c r="N479">
        <v>3</v>
      </c>
      <c r="O479" t="s">
        <v>7639</v>
      </c>
      <c r="P479" t="s">
        <v>7638</v>
      </c>
      <c r="Q479" t="s">
        <v>7637</v>
      </c>
      <c r="R479" s="7">
        <v>33970</v>
      </c>
      <c r="S479" s="8">
        <f t="shared" si="56"/>
        <v>1993</v>
      </c>
      <c r="T479" s="8">
        <v>1993</v>
      </c>
      <c r="U479" s="8">
        <f t="shared" si="57"/>
        <v>29</v>
      </c>
      <c r="V479" s="7" t="s">
        <v>6929</v>
      </c>
      <c r="W479" s="11" t="s">
        <v>2393</v>
      </c>
      <c r="X479" s="2">
        <v>2.383</v>
      </c>
      <c r="Y479" s="6">
        <f t="shared" si="62"/>
        <v>6.3612824003630442E-2</v>
      </c>
      <c r="AA479" t="s">
        <v>2392</v>
      </c>
      <c r="AB479">
        <v>101151</v>
      </c>
      <c r="AD479" t="s">
        <v>5</v>
      </c>
      <c r="AE479">
        <v>140</v>
      </c>
      <c r="AF479">
        <v>5</v>
      </c>
      <c r="AH479" t="s">
        <v>7636</v>
      </c>
      <c r="AI479" t="s">
        <v>7635</v>
      </c>
      <c r="AK479" t="s">
        <v>7634</v>
      </c>
      <c r="AL479">
        <v>44</v>
      </c>
      <c r="AM479" s="5">
        <f t="shared" si="58"/>
        <v>1.5172413793103448</v>
      </c>
      <c r="AN479" s="4">
        <f t="shared" si="63"/>
        <v>2.2979801276945774E-3</v>
      </c>
      <c r="AO479" s="3"/>
      <c r="AP479">
        <v>0</v>
      </c>
      <c r="AR479" t="s">
        <v>1</v>
      </c>
      <c r="AT479" s="2" t="s">
        <v>0</v>
      </c>
      <c r="AU479" s="1">
        <f t="shared" si="59"/>
        <v>4.521837084084968</v>
      </c>
      <c r="AV479" s="1">
        <f t="shared" si="60"/>
        <v>3.2955402065662511</v>
      </c>
      <c r="AW479" s="1">
        <f t="shared" si="61"/>
        <v>2.0692433290475338</v>
      </c>
    </row>
    <row r="480" spans="1:49" x14ac:dyDescent="0.2">
      <c r="A480">
        <v>478</v>
      </c>
      <c r="B480" t="s">
        <v>7633</v>
      </c>
      <c r="C480" t="s">
        <v>7632</v>
      </c>
      <c r="F480" t="s">
        <v>7631</v>
      </c>
      <c r="G480" t="s">
        <v>15</v>
      </c>
      <c r="H480" t="s">
        <v>14</v>
      </c>
      <c r="I480" t="s">
        <v>7630</v>
      </c>
      <c r="J480">
        <v>60005248</v>
      </c>
      <c r="K480" t="s">
        <v>7629</v>
      </c>
      <c r="L480" t="s">
        <v>7628</v>
      </c>
      <c r="M480" t="s">
        <v>10</v>
      </c>
      <c r="N480">
        <v>2</v>
      </c>
      <c r="O480" t="s">
        <v>7627</v>
      </c>
      <c r="P480" t="s">
        <v>7626</v>
      </c>
      <c r="Q480" t="s">
        <v>7625</v>
      </c>
      <c r="R480" s="7">
        <v>33970</v>
      </c>
      <c r="S480" s="8">
        <f t="shared" si="56"/>
        <v>1993</v>
      </c>
      <c r="T480" s="8">
        <v>1993</v>
      </c>
      <c r="U480" s="8">
        <f t="shared" si="57"/>
        <v>29</v>
      </c>
      <c r="V480" s="7" t="s">
        <v>6929</v>
      </c>
      <c r="W480" s="11" t="s">
        <v>2407</v>
      </c>
      <c r="X480" s="2">
        <v>2.383</v>
      </c>
      <c r="Y480" s="6">
        <f t="shared" si="62"/>
        <v>6.3612824003630442E-2</v>
      </c>
      <c r="AA480" t="s">
        <v>2406</v>
      </c>
      <c r="AB480">
        <v>96433</v>
      </c>
      <c r="AD480" t="s">
        <v>5</v>
      </c>
      <c r="AE480">
        <v>140</v>
      </c>
      <c r="AF480">
        <v>5</v>
      </c>
      <c r="AH480" t="s">
        <v>7624</v>
      </c>
      <c r="AI480" t="s">
        <v>7623</v>
      </c>
      <c r="AK480" t="s">
        <v>7622</v>
      </c>
      <c r="AL480">
        <v>0</v>
      </c>
      <c r="AM480" s="5">
        <f t="shared" si="58"/>
        <v>0</v>
      </c>
      <c r="AN480" s="4">
        <f t="shared" si="63"/>
        <v>0</v>
      </c>
      <c r="AO480" s="3"/>
      <c r="AP480">
        <v>0</v>
      </c>
      <c r="AR480" t="s">
        <v>1</v>
      </c>
      <c r="AT480" s="2" t="s">
        <v>0</v>
      </c>
      <c r="AU480" s="1">
        <f t="shared" si="59"/>
        <v>4.4528976802541305</v>
      </c>
      <c r="AV480" s="1">
        <f t="shared" si="60"/>
        <v>3.1806412001815221</v>
      </c>
      <c r="AW480" s="1">
        <f t="shared" si="61"/>
        <v>1.9083847201089132</v>
      </c>
    </row>
    <row r="481" spans="1:49" x14ac:dyDescent="0.2">
      <c r="A481">
        <v>479</v>
      </c>
      <c r="B481" t="s">
        <v>7621</v>
      </c>
      <c r="C481" t="s">
        <v>7620</v>
      </c>
      <c r="D481" t="s">
        <v>7619</v>
      </c>
      <c r="F481" t="s">
        <v>7618</v>
      </c>
      <c r="G481" t="s">
        <v>15</v>
      </c>
      <c r="H481" t="s">
        <v>14</v>
      </c>
      <c r="I481" t="s">
        <v>7617</v>
      </c>
      <c r="J481">
        <v>60078489</v>
      </c>
      <c r="K481" t="s">
        <v>7616</v>
      </c>
      <c r="L481" t="s">
        <v>7615</v>
      </c>
      <c r="M481" t="s">
        <v>7614</v>
      </c>
      <c r="N481">
        <v>3</v>
      </c>
      <c r="O481" t="s">
        <v>7613</v>
      </c>
      <c r="P481" t="s">
        <v>7612</v>
      </c>
      <c r="Q481" t="s">
        <v>7611</v>
      </c>
      <c r="R481" s="7">
        <v>33970</v>
      </c>
      <c r="S481" s="8">
        <f t="shared" si="56"/>
        <v>1993</v>
      </c>
      <c r="T481" s="8">
        <v>1993</v>
      </c>
      <c r="U481" s="8">
        <f t="shared" si="57"/>
        <v>29</v>
      </c>
      <c r="V481" s="7">
        <v>34243</v>
      </c>
      <c r="W481" t="s">
        <v>7610</v>
      </c>
      <c r="X481" s="2">
        <v>0.66900000000000004</v>
      </c>
      <c r="Y481" s="6">
        <f t="shared" si="62"/>
        <v>1.7858572915832469E-2</v>
      </c>
      <c r="AA481">
        <v>112275</v>
      </c>
      <c r="AB481">
        <v>13713</v>
      </c>
      <c r="AD481" t="s">
        <v>5</v>
      </c>
      <c r="AE481">
        <v>33</v>
      </c>
      <c r="AF481">
        <v>10</v>
      </c>
      <c r="AH481" t="s">
        <v>7609</v>
      </c>
      <c r="AI481" t="s">
        <v>7608</v>
      </c>
      <c r="AJ481" t="s">
        <v>7607</v>
      </c>
      <c r="AK481" t="s">
        <v>7606</v>
      </c>
      <c r="AL481">
        <v>0</v>
      </c>
      <c r="AM481" s="5">
        <f t="shared" si="58"/>
        <v>0</v>
      </c>
      <c r="AN481" s="4">
        <f t="shared" si="63"/>
        <v>0</v>
      </c>
      <c r="AO481" s="3"/>
      <c r="AP481">
        <v>0</v>
      </c>
      <c r="AR481" t="s">
        <v>1</v>
      </c>
      <c r="AT481" s="2">
        <v>2.226</v>
      </c>
      <c r="AU481" s="1">
        <f t="shared" si="59"/>
        <v>1.2501001041082727</v>
      </c>
      <c r="AV481" s="1">
        <f t="shared" si="60"/>
        <v>0.89292864579162345</v>
      </c>
      <c r="AW481" s="1">
        <f t="shared" si="61"/>
        <v>0.53575718747497403</v>
      </c>
    </row>
    <row r="482" spans="1:49" x14ac:dyDescent="0.2">
      <c r="A482">
        <v>480</v>
      </c>
      <c r="B482" t="s">
        <v>7605</v>
      </c>
      <c r="C482" t="s">
        <v>7604</v>
      </c>
      <c r="F482" t="s">
        <v>7603</v>
      </c>
      <c r="G482" t="s">
        <v>15</v>
      </c>
      <c r="H482" t="s">
        <v>14</v>
      </c>
      <c r="I482" t="s">
        <v>7602</v>
      </c>
      <c r="J482">
        <v>60000221</v>
      </c>
      <c r="K482" t="s">
        <v>6568</v>
      </c>
      <c r="L482" t="s">
        <v>6567</v>
      </c>
      <c r="M482" t="s">
        <v>10</v>
      </c>
      <c r="N482">
        <v>2</v>
      </c>
      <c r="O482" t="s">
        <v>7601</v>
      </c>
      <c r="P482" t="s">
        <v>7600</v>
      </c>
      <c r="Q482" t="s">
        <v>7599</v>
      </c>
      <c r="R482" s="7">
        <v>33970</v>
      </c>
      <c r="S482" s="8">
        <f t="shared" si="56"/>
        <v>1993</v>
      </c>
      <c r="T482" s="8">
        <v>1993</v>
      </c>
      <c r="U482" s="8">
        <f t="shared" si="57"/>
        <v>29</v>
      </c>
      <c r="V482" s="7">
        <v>34243</v>
      </c>
      <c r="W482" t="s">
        <v>1284</v>
      </c>
      <c r="X482" s="2">
        <v>0.33500000000000002</v>
      </c>
      <c r="Y482" s="6">
        <f t="shared" si="62"/>
        <v>8.94263367235258E-3</v>
      </c>
      <c r="AA482">
        <v>10501827</v>
      </c>
      <c r="AB482">
        <v>78233</v>
      </c>
      <c r="AC482">
        <v>15226301</v>
      </c>
      <c r="AD482" t="s">
        <v>5</v>
      </c>
      <c r="AE482">
        <v>3</v>
      </c>
      <c r="AF482">
        <v>4</v>
      </c>
      <c r="AH482" t="s">
        <v>7598</v>
      </c>
      <c r="AI482" t="s">
        <v>7597</v>
      </c>
      <c r="AK482" t="s">
        <v>7596</v>
      </c>
      <c r="AL482">
        <v>1</v>
      </c>
      <c r="AM482" s="5">
        <f t="shared" si="58"/>
        <v>3.4482758620689655E-2</v>
      </c>
      <c r="AN482" s="4">
        <f t="shared" si="63"/>
        <v>5.2226821083967674E-5</v>
      </c>
      <c r="AO482" s="3"/>
      <c r="AP482">
        <v>0</v>
      </c>
      <c r="AR482" t="s">
        <v>1</v>
      </c>
      <c r="AT482" s="2" t="s">
        <v>0</v>
      </c>
      <c r="AU482" s="1">
        <f t="shared" si="59"/>
        <v>0.6275511616971996</v>
      </c>
      <c r="AV482" s="1">
        <f t="shared" si="60"/>
        <v>0.44974302467182736</v>
      </c>
      <c r="AW482" s="1">
        <f t="shared" si="61"/>
        <v>0.27193488764645513</v>
      </c>
    </row>
    <row r="483" spans="1:49" x14ac:dyDescent="0.2">
      <c r="A483">
        <v>481</v>
      </c>
      <c r="B483" t="s">
        <v>7595</v>
      </c>
      <c r="C483" t="s">
        <v>7594</v>
      </c>
      <c r="F483" t="s">
        <v>7593</v>
      </c>
      <c r="G483" t="s">
        <v>15</v>
      </c>
      <c r="H483" t="s">
        <v>14</v>
      </c>
      <c r="I483" t="s">
        <v>7592</v>
      </c>
      <c r="J483" t="s">
        <v>7591</v>
      </c>
      <c r="K483" t="s">
        <v>7590</v>
      </c>
      <c r="L483" t="s">
        <v>7589</v>
      </c>
      <c r="M483" t="s">
        <v>7588</v>
      </c>
      <c r="N483">
        <v>3</v>
      </c>
      <c r="O483" t="s">
        <v>7587</v>
      </c>
      <c r="P483" t="s">
        <v>7586</v>
      </c>
      <c r="Q483" t="s">
        <v>7585</v>
      </c>
      <c r="R483" s="7">
        <v>33970</v>
      </c>
      <c r="S483" s="8">
        <f t="shared" si="56"/>
        <v>1993</v>
      </c>
      <c r="T483" s="8">
        <v>1993</v>
      </c>
      <c r="U483" s="8">
        <f t="shared" si="57"/>
        <v>29</v>
      </c>
      <c r="V483" s="7">
        <v>34243</v>
      </c>
      <c r="W483" t="s">
        <v>814</v>
      </c>
      <c r="X483" s="2">
        <v>1.6519999999999999</v>
      </c>
      <c r="Y483" s="6">
        <f t="shared" si="62"/>
        <v>4.409919649769093E-2</v>
      </c>
      <c r="AA483" t="s">
        <v>813</v>
      </c>
      <c r="AB483">
        <v>17337</v>
      </c>
      <c r="AC483">
        <v>15582221</v>
      </c>
      <c r="AD483" t="s">
        <v>5</v>
      </c>
      <c r="AE483">
        <v>41</v>
      </c>
      <c r="AF483">
        <v>10</v>
      </c>
      <c r="AH483" t="s">
        <v>7584</v>
      </c>
      <c r="AI483" t="s">
        <v>7583</v>
      </c>
      <c r="AK483" t="s">
        <v>7582</v>
      </c>
      <c r="AL483">
        <v>22</v>
      </c>
      <c r="AM483" s="5">
        <f t="shared" si="58"/>
        <v>0.75862068965517238</v>
      </c>
      <c r="AN483" s="4">
        <f t="shared" si="63"/>
        <v>1.1489900638472887E-3</v>
      </c>
      <c r="AO483" s="3"/>
      <c r="AP483">
        <v>0</v>
      </c>
      <c r="AR483" t="s">
        <v>1</v>
      </c>
      <c r="AT483" s="2" t="s">
        <v>0</v>
      </c>
      <c r="AU483" s="1">
        <f t="shared" si="59"/>
        <v>3.1214134567537837</v>
      </c>
      <c r="AV483" s="1">
        <f t="shared" si="60"/>
        <v>2.2624093280769109</v>
      </c>
      <c r="AW483" s="1">
        <f t="shared" si="61"/>
        <v>1.4034051994000381</v>
      </c>
    </row>
    <row r="484" spans="1:49" x14ac:dyDescent="0.2">
      <c r="A484">
        <v>482</v>
      </c>
      <c r="B484" t="s">
        <v>7581</v>
      </c>
      <c r="C484" t="s">
        <v>7580</v>
      </c>
      <c r="F484" t="s">
        <v>7579</v>
      </c>
      <c r="G484" t="s">
        <v>15</v>
      </c>
      <c r="H484" t="s">
        <v>14</v>
      </c>
      <c r="I484" t="s">
        <v>7578</v>
      </c>
      <c r="J484" t="s">
        <v>7577</v>
      </c>
      <c r="K484" t="s">
        <v>7576</v>
      </c>
      <c r="L484" t="s">
        <v>7575</v>
      </c>
      <c r="M484" t="s">
        <v>7574</v>
      </c>
      <c r="N484">
        <v>3</v>
      </c>
      <c r="O484" t="s">
        <v>7573</v>
      </c>
      <c r="P484" t="s">
        <v>7572</v>
      </c>
      <c r="Q484" t="s">
        <v>7571</v>
      </c>
      <c r="R484" s="7">
        <v>33970</v>
      </c>
      <c r="S484" s="8">
        <f t="shared" si="56"/>
        <v>1993</v>
      </c>
      <c r="T484" s="8">
        <v>1993</v>
      </c>
      <c r="U484" s="8">
        <f t="shared" si="57"/>
        <v>29</v>
      </c>
      <c r="V484" s="7">
        <v>34243</v>
      </c>
      <c r="W484" t="s">
        <v>1284</v>
      </c>
      <c r="X484" s="2">
        <v>0.33500000000000002</v>
      </c>
      <c r="Y484" s="6">
        <f t="shared" si="62"/>
        <v>8.94263367235258E-3</v>
      </c>
      <c r="AA484">
        <v>10501827</v>
      </c>
      <c r="AB484">
        <v>78233</v>
      </c>
      <c r="AC484">
        <v>15226301</v>
      </c>
      <c r="AD484" t="s">
        <v>5</v>
      </c>
      <c r="AE484">
        <v>3</v>
      </c>
      <c r="AF484">
        <v>4</v>
      </c>
      <c r="AH484" t="s">
        <v>7570</v>
      </c>
      <c r="AI484" t="s">
        <v>7569</v>
      </c>
      <c r="AK484" t="s">
        <v>7568</v>
      </c>
      <c r="AL484">
        <v>0</v>
      </c>
      <c r="AM484" s="5">
        <f t="shared" si="58"/>
        <v>0</v>
      </c>
      <c r="AN484" s="4">
        <f t="shared" si="63"/>
        <v>0</v>
      </c>
      <c r="AO484" s="3"/>
      <c r="AP484">
        <v>0</v>
      </c>
      <c r="AR484" t="s">
        <v>1</v>
      </c>
      <c r="AT484" s="2" t="s">
        <v>0</v>
      </c>
      <c r="AU484" s="1">
        <f t="shared" si="59"/>
        <v>0.62598435706468059</v>
      </c>
      <c r="AV484" s="1">
        <f t="shared" si="60"/>
        <v>0.44713168361762901</v>
      </c>
      <c r="AW484" s="1">
        <f t="shared" si="61"/>
        <v>0.26827901017057743</v>
      </c>
    </row>
    <row r="485" spans="1:49" x14ac:dyDescent="0.2">
      <c r="A485">
        <v>483</v>
      </c>
      <c r="B485" t="s">
        <v>7567</v>
      </c>
      <c r="C485" t="s">
        <v>7566</v>
      </c>
      <c r="F485" t="s">
        <v>7565</v>
      </c>
      <c r="G485" t="s">
        <v>15</v>
      </c>
      <c r="H485" t="s">
        <v>14</v>
      </c>
      <c r="I485" t="s">
        <v>7564</v>
      </c>
      <c r="J485">
        <v>60027021</v>
      </c>
      <c r="K485" t="s">
        <v>7563</v>
      </c>
      <c r="L485" t="s">
        <v>659</v>
      </c>
      <c r="M485" t="s">
        <v>463</v>
      </c>
      <c r="N485">
        <v>2</v>
      </c>
      <c r="O485" t="s">
        <v>7562</v>
      </c>
      <c r="P485" t="s">
        <v>7561</v>
      </c>
      <c r="Q485" t="s">
        <v>7560</v>
      </c>
      <c r="R485" s="7">
        <v>33970</v>
      </c>
      <c r="S485" s="8">
        <f t="shared" si="56"/>
        <v>1993</v>
      </c>
      <c r="T485" s="8">
        <v>1993</v>
      </c>
      <c r="U485" s="8">
        <f t="shared" si="57"/>
        <v>29</v>
      </c>
      <c r="V485" s="7">
        <v>34243</v>
      </c>
      <c r="W485" t="s">
        <v>3890</v>
      </c>
      <c r="X485" s="2">
        <v>0.251</v>
      </c>
      <c r="Y485" s="6">
        <f t="shared" si="62"/>
        <v>6.7003016470462617E-3</v>
      </c>
      <c r="AA485">
        <v>207217</v>
      </c>
      <c r="AB485">
        <v>26145</v>
      </c>
      <c r="AC485">
        <v>13623060</v>
      </c>
      <c r="AD485" t="s">
        <v>5</v>
      </c>
      <c r="AE485">
        <v>75</v>
      </c>
      <c r="AF485">
        <v>4</v>
      </c>
      <c r="AH485" t="s">
        <v>7559</v>
      </c>
      <c r="AI485" t="s">
        <v>7558</v>
      </c>
      <c r="AK485" t="s">
        <v>7557</v>
      </c>
      <c r="AL485">
        <v>0</v>
      </c>
      <c r="AM485" s="5">
        <f t="shared" si="58"/>
        <v>0</v>
      </c>
      <c r="AN485" s="4">
        <f t="shared" si="63"/>
        <v>0</v>
      </c>
      <c r="AO485" s="3"/>
      <c r="AP485">
        <v>0</v>
      </c>
      <c r="AQ485" t="s">
        <v>7556</v>
      </c>
      <c r="AR485" t="s">
        <v>1</v>
      </c>
      <c r="AS485" t="s">
        <v>7555</v>
      </c>
      <c r="AT485" s="2">
        <v>1.3360000000000001</v>
      </c>
      <c r="AU485" s="1">
        <f t="shared" si="59"/>
        <v>0.46902111529323826</v>
      </c>
      <c r="AV485" s="1">
        <f t="shared" si="60"/>
        <v>0.33501508235231309</v>
      </c>
      <c r="AW485" s="1">
        <f t="shared" si="61"/>
        <v>0.20100904941138784</v>
      </c>
    </row>
    <row r="486" spans="1:49" x14ac:dyDescent="0.2">
      <c r="A486">
        <v>484</v>
      </c>
      <c r="B486" t="s">
        <v>7554</v>
      </c>
      <c r="C486" t="s">
        <v>7553</v>
      </c>
      <c r="F486" t="s">
        <v>7552</v>
      </c>
      <c r="G486" t="s">
        <v>15</v>
      </c>
      <c r="H486" t="s">
        <v>14</v>
      </c>
      <c r="I486" t="s">
        <v>7551</v>
      </c>
      <c r="J486">
        <v>60004305</v>
      </c>
      <c r="K486" t="s">
        <v>7550</v>
      </c>
      <c r="L486" t="s">
        <v>7549</v>
      </c>
      <c r="M486" t="s">
        <v>3993</v>
      </c>
      <c r="N486">
        <v>2</v>
      </c>
      <c r="O486" t="s">
        <v>7548</v>
      </c>
      <c r="P486" t="s">
        <v>7547</v>
      </c>
      <c r="Q486" t="s">
        <v>7546</v>
      </c>
      <c r="R486" s="7">
        <v>33970</v>
      </c>
      <c r="S486" s="8">
        <f t="shared" si="56"/>
        <v>1993</v>
      </c>
      <c r="T486" s="8">
        <v>1993</v>
      </c>
      <c r="U486" s="8">
        <f t="shared" si="57"/>
        <v>29</v>
      </c>
      <c r="V486" s="7">
        <v>34243</v>
      </c>
      <c r="W486" t="s">
        <v>1284</v>
      </c>
      <c r="X486" s="2">
        <v>0.33500000000000002</v>
      </c>
      <c r="Y486" s="6">
        <f t="shared" si="62"/>
        <v>8.94263367235258E-3</v>
      </c>
      <c r="AA486">
        <v>10501827</v>
      </c>
      <c r="AB486">
        <v>78233</v>
      </c>
      <c r="AC486">
        <v>15226301</v>
      </c>
      <c r="AD486" t="s">
        <v>5</v>
      </c>
      <c r="AE486">
        <v>3</v>
      </c>
      <c r="AF486">
        <v>4</v>
      </c>
      <c r="AH486" t="s">
        <v>7545</v>
      </c>
      <c r="AI486" t="s">
        <v>7544</v>
      </c>
      <c r="AK486" t="s">
        <v>7543</v>
      </c>
      <c r="AL486">
        <v>1</v>
      </c>
      <c r="AM486" s="5">
        <f t="shared" si="58"/>
        <v>3.4482758620689655E-2</v>
      </c>
      <c r="AN486" s="4">
        <f t="shared" si="63"/>
        <v>5.2226821083967674E-5</v>
      </c>
      <c r="AO486" s="3"/>
      <c r="AP486">
        <v>0</v>
      </c>
      <c r="AR486" t="s">
        <v>1</v>
      </c>
      <c r="AT486" s="2" t="s">
        <v>0</v>
      </c>
      <c r="AU486" s="1">
        <f t="shared" si="59"/>
        <v>0.6275511616971996</v>
      </c>
      <c r="AV486" s="1">
        <f t="shared" si="60"/>
        <v>0.44974302467182736</v>
      </c>
      <c r="AW486" s="1">
        <f t="shared" si="61"/>
        <v>0.27193488764645513</v>
      </c>
    </row>
    <row r="487" spans="1:49" x14ac:dyDescent="0.2">
      <c r="A487">
        <v>485</v>
      </c>
      <c r="B487" t="s">
        <v>7542</v>
      </c>
      <c r="C487" t="s">
        <v>7541</v>
      </c>
      <c r="F487" t="s">
        <v>7540</v>
      </c>
      <c r="G487" t="s">
        <v>15</v>
      </c>
      <c r="H487" t="s">
        <v>14</v>
      </c>
      <c r="I487" t="s">
        <v>7539</v>
      </c>
      <c r="J487">
        <v>60104123</v>
      </c>
      <c r="K487" t="s">
        <v>7538</v>
      </c>
      <c r="L487" t="s">
        <v>7537</v>
      </c>
      <c r="M487" t="s">
        <v>150</v>
      </c>
      <c r="N487">
        <v>1</v>
      </c>
      <c r="O487" t="s">
        <v>7536</v>
      </c>
      <c r="P487">
        <v>7006960378</v>
      </c>
      <c r="Q487">
        <v>60104123</v>
      </c>
      <c r="R487" s="7">
        <v>33970</v>
      </c>
      <c r="S487" s="8">
        <f t="shared" si="56"/>
        <v>1993</v>
      </c>
      <c r="T487" s="8">
        <v>1993</v>
      </c>
      <c r="U487" s="8">
        <f t="shared" si="57"/>
        <v>29</v>
      </c>
      <c r="V487" s="7" t="s">
        <v>6929</v>
      </c>
      <c r="W487" s="11" t="s">
        <v>2393</v>
      </c>
      <c r="X487" s="2">
        <v>2.383</v>
      </c>
      <c r="Y487" s="6">
        <f t="shared" si="62"/>
        <v>6.3612824003630442E-2</v>
      </c>
      <c r="AA487" t="s">
        <v>2392</v>
      </c>
      <c r="AB487">
        <v>101151</v>
      </c>
      <c r="AD487" t="s">
        <v>5</v>
      </c>
      <c r="AE487">
        <v>140</v>
      </c>
      <c r="AF487">
        <v>5</v>
      </c>
      <c r="AH487" t="s">
        <v>7535</v>
      </c>
      <c r="AI487" t="s">
        <v>7534</v>
      </c>
      <c r="AK487" t="s">
        <v>7533</v>
      </c>
      <c r="AL487">
        <v>10</v>
      </c>
      <c r="AM487" s="5">
        <f t="shared" si="58"/>
        <v>0.34482758620689657</v>
      </c>
      <c r="AN487" s="4">
        <f t="shared" si="63"/>
        <v>5.2226821083967677E-4</v>
      </c>
      <c r="AO487" s="3"/>
      <c r="AP487">
        <v>0</v>
      </c>
      <c r="AR487" t="s">
        <v>1</v>
      </c>
      <c r="AT487" s="2" t="s">
        <v>0</v>
      </c>
      <c r="AU487" s="1">
        <f t="shared" si="59"/>
        <v>4.4685657265793211</v>
      </c>
      <c r="AV487" s="1">
        <f t="shared" si="60"/>
        <v>3.2067546107235056</v>
      </c>
      <c r="AW487" s="1">
        <f t="shared" si="61"/>
        <v>1.9449434948676907</v>
      </c>
    </row>
    <row r="488" spans="1:49" x14ac:dyDescent="0.2">
      <c r="A488">
        <v>486</v>
      </c>
      <c r="B488" t="s">
        <v>7532</v>
      </c>
      <c r="C488" t="s">
        <v>7531</v>
      </c>
      <c r="F488" t="s">
        <v>7530</v>
      </c>
      <c r="G488" t="s">
        <v>15</v>
      </c>
      <c r="H488" t="s">
        <v>14</v>
      </c>
      <c r="I488" t="s">
        <v>7529</v>
      </c>
      <c r="J488">
        <v>60031581</v>
      </c>
      <c r="K488" t="s">
        <v>7528</v>
      </c>
      <c r="L488" t="s">
        <v>646</v>
      </c>
      <c r="M488" t="s">
        <v>10</v>
      </c>
      <c r="N488">
        <v>1</v>
      </c>
      <c r="O488" t="s">
        <v>7527</v>
      </c>
      <c r="P488">
        <v>56841719100</v>
      </c>
      <c r="Q488">
        <v>60031581</v>
      </c>
      <c r="R488" s="7">
        <v>33970</v>
      </c>
      <c r="S488" s="8">
        <f t="shared" si="56"/>
        <v>1993</v>
      </c>
      <c r="T488" s="8">
        <v>1993</v>
      </c>
      <c r="U488" s="8">
        <f t="shared" si="57"/>
        <v>29</v>
      </c>
      <c r="V488" s="7">
        <v>34243</v>
      </c>
      <c r="W488" t="s">
        <v>548</v>
      </c>
      <c r="X488" s="2">
        <v>1.3720000000000001</v>
      </c>
      <c r="Y488" s="6">
        <f t="shared" si="62"/>
        <v>3.662475641333654E-2</v>
      </c>
      <c r="AA488">
        <v>189480</v>
      </c>
      <c r="AB488">
        <v>17366</v>
      </c>
      <c r="AC488">
        <v>15579670</v>
      </c>
      <c r="AD488" t="s">
        <v>5</v>
      </c>
      <c r="AE488">
        <v>41</v>
      </c>
      <c r="AF488">
        <v>10</v>
      </c>
      <c r="AH488" t="s">
        <v>7526</v>
      </c>
      <c r="AI488" t="s">
        <v>7525</v>
      </c>
      <c r="AK488" t="s">
        <v>7524</v>
      </c>
      <c r="AL488">
        <v>73</v>
      </c>
      <c r="AM488" s="5">
        <f t="shared" si="58"/>
        <v>2.5172413793103448</v>
      </c>
      <c r="AN488" s="4">
        <f t="shared" si="63"/>
        <v>3.8125579391296398E-3</v>
      </c>
      <c r="AO488" s="3"/>
      <c r="AP488">
        <v>0</v>
      </c>
      <c r="AQ488" t="s">
        <v>761</v>
      </c>
      <c r="AR488" t="s">
        <v>7523</v>
      </c>
      <c r="AS488" t="s">
        <v>759</v>
      </c>
      <c r="AT488" s="2" t="s">
        <v>0</v>
      </c>
      <c r="AU488" s="1">
        <f t="shared" si="59"/>
        <v>2.6781096871074466</v>
      </c>
      <c r="AV488" s="1">
        <f t="shared" si="60"/>
        <v>2.0218657176233092</v>
      </c>
      <c r="AW488" s="1">
        <f t="shared" si="61"/>
        <v>1.365621748139171</v>
      </c>
    </row>
    <row r="489" spans="1:49" x14ac:dyDescent="0.2">
      <c r="A489">
        <v>487</v>
      </c>
      <c r="B489" t="s">
        <v>7522</v>
      </c>
      <c r="C489" t="s">
        <v>7521</v>
      </c>
      <c r="F489" t="s">
        <v>7520</v>
      </c>
      <c r="G489" t="s">
        <v>15</v>
      </c>
      <c r="H489" t="s">
        <v>14</v>
      </c>
      <c r="I489" t="s">
        <v>7519</v>
      </c>
      <c r="J489">
        <v>60000874</v>
      </c>
      <c r="K489" t="s">
        <v>7518</v>
      </c>
      <c r="L489" t="s">
        <v>7517</v>
      </c>
      <c r="M489" t="s">
        <v>2519</v>
      </c>
      <c r="N489">
        <v>4</v>
      </c>
      <c r="O489" t="s">
        <v>7516</v>
      </c>
      <c r="P489" t="s">
        <v>7515</v>
      </c>
      <c r="Q489" t="s">
        <v>7514</v>
      </c>
      <c r="R489" s="7">
        <v>33970</v>
      </c>
      <c r="S489" s="8">
        <f t="shared" si="56"/>
        <v>1993</v>
      </c>
      <c r="T489" s="8">
        <v>1993</v>
      </c>
      <c r="U489" s="8">
        <f t="shared" si="57"/>
        <v>29</v>
      </c>
      <c r="V489" s="7">
        <v>34243</v>
      </c>
      <c r="W489" t="s">
        <v>800</v>
      </c>
      <c r="X489" s="2">
        <v>1.468</v>
      </c>
      <c r="Y489" s="6">
        <f t="shared" si="62"/>
        <v>3.9187421585115186E-2</v>
      </c>
      <c r="AA489">
        <v>906778</v>
      </c>
      <c r="AB489">
        <v>18931</v>
      </c>
      <c r="AD489" t="s">
        <v>5</v>
      </c>
      <c r="AE489">
        <v>41</v>
      </c>
      <c r="AF489">
        <v>10</v>
      </c>
      <c r="AH489" t="s">
        <v>7513</v>
      </c>
      <c r="AI489" t="s">
        <v>7512</v>
      </c>
      <c r="AK489" t="s">
        <v>7511</v>
      </c>
      <c r="AL489">
        <v>12</v>
      </c>
      <c r="AM489" s="5">
        <f t="shared" si="58"/>
        <v>0.41379310344827586</v>
      </c>
      <c r="AN489" s="4">
        <f t="shared" si="63"/>
        <v>6.2672185300761203E-4</v>
      </c>
      <c r="AO489" s="3"/>
      <c r="AP489">
        <v>0</v>
      </c>
      <c r="AQ489" t="s">
        <v>1141</v>
      </c>
      <c r="AR489" t="s">
        <v>1</v>
      </c>
      <c r="AS489" t="s">
        <v>1140</v>
      </c>
      <c r="AT489" s="2">
        <v>5.0830000000000002</v>
      </c>
      <c r="AU489" s="1">
        <f t="shared" si="59"/>
        <v>2.7619211665482912</v>
      </c>
      <c r="AV489" s="1">
        <f t="shared" si="60"/>
        <v>1.99070717190614</v>
      </c>
      <c r="AW489" s="1">
        <f t="shared" si="61"/>
        <v>1.2194931772639885</v>
      </c>
    </row>
    <row r="490" spans="1:49" x14ac:dyDescent="0.2">
      <c r="A490">
        <v>488</v>
      </c>
      <c r="B490" t="s">
        <v>7510</v>
      </c>
      <c r="C490" t="s">
        <v>7509</v>
      </c>
      <c r="F490" t="s">
        <v>7508</v>
      </c>
      <c r="G490" t="s">
        <v>15</v>
      </c>
      <c r="H490" t="s">
        <v>14</v>
      </c>
      <c r="I490" t="s">
        <v>7507</v>
      </c>
      <c r="J490">
        <v>60025063</v>
      </c>
      <c r="K490" t="s">
        <v>4415</v>
      </c>
      <c r="L490" t="s">
        <v>4414</v>
      </c>
      <c r="M490" t="s">
        <v>2519</v>
      </c>
      <c r="N490">
        <v>3</v>
      </c>
      <c r="O490" t="s">
        <v>7506</v>
      </c>
      <c r="P490" t="s">
        <v>7505</v>
      </c>
      <c r="Q490" t="s">
        <v>7504</v>
      </c>
      <c r="R490" s="7">
        <v>33970</v>
      </c>
      <c r="S490" s="8">
        <f t="shared" si="56"/>
        <v>1993</v>
      </c>
      <c r="T490" s="8">
        <v>1993</v>
      </c>
      <c r="U490" s="8">
        <f t="shared" si="57"/>
        <v>29</v>
      </c>
      <c r="V490" s="7">
        <v>34243</v>
      </c>
      <c r="W490" t="s">
        <v>1284</v>
      </c>
      <c r="X490" s="2">
        <v>0.33500000000000002</v>
      </c>
      <c r="Y490" s="6">
        <f t="shared" si="62"/>
        <v>8.94263367235258E-3</v>
      </c>
      <c r="AA490">
        <v>10501827</v>
      </c>
      <c r="AB490">
        <v>78233</v>
      </c>
      <c r="AC490">
        <v>15226301</v>
      </c>
      <c r="AD490" t="s">
        <v>5</v>
      </c>
      <c r="AE490">
        <v>3</v>
      </c>
      <c r="AF490">
        <v>4</v>
      </c>
      <c r="AH490" t="s">
        <v>7503</v>
      </c>
      <c r="AI490" t="s">
        <v>7502</v>
      </c>
      <c r="AK490" t="s">
        <v>7501</v>
      </c>
      <c r="AL490">
        <v>1</v>
      </c>
      <c r="AM490" s="5">
        <f t="shared" si="58"/>
        <v>3.4482758620689655E-2</v>
      </c>
      <c r="AN490" s="4">
        <f t="shared" si="63"/>
        <v>5.2226821083967674E-5</v>
      </c>
      <c r="AO490" s="3"/>
      <c r="AP490">
        <v>0</v>
      </c>
      <c r="AR490" t="s">
        <v>1</v>
      </c>
      <c r="AT490" s="2" t="s">
        <v>0</v>
      </c>
      <c r="AU490" s="1">
        <f t="shared" si="59"/>
        <v>0.6275511616971996</v>
      </c>
      <c r="AV490" s="1">
        <f t="shared" si="60"/>
        <v>0.44974302467182736</v>
      </c>
      <c r="AW490" s="1">
        <f t="shared" si="61"/>
        <v>0.27193488764645513</v>
      </c>
    </row>
    <row r="491" spans="1:49" x14ac:dyDescent="0.2">
      <c r="A491">
        <v>489</v>
      </c>
      <c r="B491" t="s">
        <v>7500</v>
      </c>
      <c r="C491" t="s">
        <v>7499</v>
      </c>
      <c r="F491" t="s">
        <v>7498</v>
      </c>
      <c r="G491" t="s">
        <v>15</v>
      </c>
      <c r="H491" t="s">
        <v>14</v>
      </c>
      <c r="I491" t="s">
        <v>7497</v>
      </c>
      <c r="J491">
        <v>60017293</v>
      </c>
      <c r="K491" t="s">
        <v>7496</v>
      </c>
      <c r="L491" t="s">
        <v>7495</v>
      </c>
      <c r="M491" t="s">
        <v>2423</v>
      </c>
      <c r="N491">
        <v>3</v>
      </c>
      <c r="O491" t="s">
        <v>7494</v>
      </c>
      <c r="P491" t="s">
        <v>7493</v>
      </c>
      <c r="Q491" t="s">
        <v>7492</v>
      </c>
      <c r="R491" s="7">
        <v>33970</v>
      </c>
      <c r="S491" s="8">
        <f t="shared" si="56"/>
        <v>1993</v>
      </c>
      <c r="T491" s="8">
        <v>1993</v>
      </c>
      <c r="U491" s="8">
        <f t="shared" si="57"/>
        <v>29</v>
      </c>
      <c r="V491" s="7" t="s">
        <v>6929</v>
      </c>
      <c r="W491" s="11" t="s">
        <v>2393</v>
      </c>
      <c r="X491" s="2">
        <v>2.383</v>
      </c>
      <c r="Y491" s="6">
        <f t="shared" si="62"/>
        <v>6.3612824003630442E-2</v>
      </c>
      <c r="AA491" t="s">
        <v>2392</v>
      </c>
      <c r="AB491">
        <v>101151</v>
      </c>
      <c r="AD491" t="s">
        <v>5</v>
      </c>
      <c r="AE491">
        <v>140</v>
      </c>
      <c r="AF491">
        <v>5</v>
      </c>
      <c r="AH491" t="s">
        <v>7491</v>
      </c>
      <c r="AI491" t="s">
        <v>7490</v>
      </c>
      <c r="AK491" t="s">
        <v>7489</v>
      </c>
      <c r="AL491">
        <v>8</v>
      </c>
      <c r="AM491" s="5">
        <f t="shared" si="58"/>
        <v>0.27586206896551724</v>
      </c>
      <c r="AN491" s="4">
        <f t="shared" si="63"/>
        <v>4.1781456867174139E-4</v>
      </c>
      <c r="AO491" s="3"/>
      <c r="AP491">
        <v>0</v>
      </c>
      <c r="AR491" t="s">
        <v>1</v>
      </c>
      <c r="AT491" s="2" t="s">
        <v>0</v>
      </c>
      <c r="AU491" s="1">
        <f t="shared" si="59"/>
        <v>4.4654321173142826</v>
      </c>
      <c r="AV491" s="1">
        <f t="shared" si="60"/>
        <v>3.2015319286151089</v>
      </c>
      <c r="AW491" s="1">
        <f t="shared" si="61"/>
        <v>1.9376317399159353</v>
      </c>
    </row>
    <row r="492" spans="1:49" x14ac:dyDescent="0.2">
      <c r="A492">
        <v>490</v>
      </c>
      <c r="B492" t="s">
        <v>7488</v>
      </c>
      <c r="C492" t="s">
        <v>7487</v>
      </c>
      <c r="F492" t="s">
        <v>7486</v>
      </c>
      <c r="G492" t="s">
        <v>15</v>
      </c>
      <c r="H492" t="s">
        <v>14</v>
      </c>
      <c r="I492" t="s">
        <v>3100</v>
      </c>
      <c r="J492">
        <v>60026717</v>
      </c>
      <c r="K492" t="s">
        <v>7485</v>
      </c>
      <c r="L492" t="s">
        <v>7484</v>
      </c>
      <c r="M492" t="s">
        <v>10</v>
      </c>
      <c r="N492">
        <v>2</v>
      </c>
      <c r="O492" t="s">
        <v>7483</v>
      </c>
      <c r="P492" t="s">
        <v>7482</v>
      </c>
      <c r="Q492" t="s">
        <v>7481</v>
      </c>
      <c r="R492" s="7">
        <v>33970</v>
      </c>
      <c r="S492" s="8">
        <f t="shared" si="56"/>
        <v>1993</v>
      </c>
      <c r="T492" s="8">
        <v>1993</v>
      </c>
      <c r="U492" s="8">
        <f t="shared" si="57"/>
        <v>29</v>
      </c>
      <c r="V492" s="7" t="s">
        <v>6929</v>
      </c>
      <c r="W492" s="11" t="s">
        <v>2393</v>
      </c>
      <c r="X492" s="2">
        <v>2.383</v>
      </c>
      <c r="Y492" s="6">
        <f t="shared" si="62"/>
        <v>6.3612824003630442E-2</v>
      </c>
      <c r="AA492" t="s">
        <v>2392</v>
      </c>
      <c r="AB492">
        <v>101151</v>
      </c>
      <c r="AD492" t="s">
        <v>5</v>
      </c>
      <c r="AE492">
        <v>140</v>
      </c>
      <c r="AF492">
        <v>5</v>
      </c>
      <c r="AH492" t="s">
        <v>7480</v>
      </c>
      <c r="AI492" t="s">
        <v>7479</v>
      </c>
      <c r="AK492" t="s">
        <v>7478</v>
      </c>
      <c r="AL492">
        <v>63</v>
      </c>
      <c r="AM492" s="5">
        <f t="shared" si="58"/>
        <v>2.1724137931034484</v>
      </c>
      <c r="AN492" s="4">
        <f t="shared" si="63"/>
        <v>3.2902897282899636E-3</v>
      </c>
      <c r="AO492" s="3"/>
      <c r="AP492">
        <v>0</v>
      </c>
      <c r="AR492" t="s">
        <v>1</v>
      </c>
      <c r="AT492" s="2" t="s">
        <v>0</v>
      </c>
      <c r="AU492" s="1">
        <f t="shared" si="59"/>
        <v>4.5516063721028299</v>
      </c>
      <c r="AV492" s="1">
        <f t="shared" si="60"/>
        <v>3.3451556865960201</v>
      </c>
      <c r="AW492" s="1">
        <f t="shared" si="61"/>
        <v>2.1387050010892108</v>
      </c>
    </row>
    <row r="493" spans="1:49" x14ac:dyDescent="0.2">
      <c r="A493">
        <v>491</v>
      </c>
      <c r="B493" t="s">
        <v>7477</v>
      </c>
      <c r="C493" t="s">
        <v>7476</v>
      </c>
      <c r="D493" t="s">
        <v>7475</v>
      </c>
      <c r="E493">
        <v>8227618</v>
      </c>
      <c r="F493" t="s">
        <v>7474</v>
      </c>
      <c r="G493" t="s">
        <v>15</v>
      </c>
      <c r="H493" t="s">
        <v>14</v>
      </c>
      <c r="I493" t="s">
        <v>7473</v>
      </c>
      <c r="J493">
        <v>60000745</v>
      </c>
      <c r="K493" t="s">
        <v>769</v>
      </c>
      <c r="L493" t="s">
        <v>768</v>
      </c>
      <c r="M493" t="s">
        <v>10</v>
      </c>
      <c r="N493">
        <v>2</v>
      </c>
      <c r="O493" t="s">
        <v>7472</v>
      </c>
      <c r="P493" t="s">
        <v>7471</v>
      </c>
      <c r="Q493" t="s">
        <v>765</v>
      </c>
      <c r="R493" s="7">
        <v>33970</v>
      </c>
      <c r="S493" s="8">
        <f t="shared" si="56"/>
        <v>1993</v>
      </c>
      <c r="T493" s="8">
        <v>1993</v>
      </c>
      <c r="U493" s="8">
        <f t="shared" si="57"/>
        <v>29</v>
      </c>
      <c r="V493" s="7">
        <v>1993</v>
      </c>
      <c r="W493" t="s">
        <v>7470</v>
      </c>
      <c r="X493" s="2">
        <v>1.4830000000000001</v>
      </c>
      <c r="Y493" s="6">
        <f t="shared" si="62"/>
        <v>3.9587838018205604E-2</v>
      </c>
      <c r="AA493">
        <v>220302</v>
      </c>
      <c r="AB493">
        <v>32795</v>
      </c>
      <c r="AD493" t="s">
        <v>5</v>
      </c>
      <c r="AE493">
        <v>76</v>
      </c>
      <c r="AF493">
        <v>10</v>
      </c>
      <c r="AH493" t="s">
        <v>7469</v>
      </c>
      <c r="AI493" t="s">
        <v>7468</v>
      </c>
      <c r="AJ493" t="s">
        <v>7467</v>
      </c>
      <c r="AK493" t="s">
        <v>7466</v>
      </c>
      <c r="AL493">
        <v>35</v>
      </c>
      <c r="AM493" s="5">
        <f t="shared" si="58"/>
        <v>1.2068965517241379</v>
      </c>
      <c r="AN493" s="4">
        <f t="shared" si="63"/>
        <v>1.8279387379388685E-3</v>
      </c>
      <c r="AO493" s="3"/>
      <c r="AP493">
        <v>1</v>
      </c>
      <c r="AR493" t="s">
        <v>1</v>
      </c>
      <c r="AT493" s="2">
        <v>4.0339999999999998</v>
      </c>
      <c r="AU493" s="1">
        <f t="shared" si="59"/>
        <v>2.8259868234125585</v>
      </c>
      <c r="AV493" s="1">
        <f t="shared" si="60"/>
        <v>2.0707888378072239</v>
      </c>
      <c r="AW493" s="1">
        <f t="shared" si="61"/>
        <v>1.3155908522018886</v>
      </c>
    </row>
    <row r="494" spans="1:49" x14ac:dyDescent="0.2">
      <c r="A494">
        <v>492</v>
      </c>
      <c r="B494" t="s">
        <v>7465</v>
      </c>
      <c r="C494" t="s">
        <v>7464</v>
      </c>
      <c r="F494" t="s">
        <v>7463</v>
      </c>
      <c r="G494" t="s">
        <v>15</v>
      </c>
      <c r="H494" t="s">
        <v>14</v>
      </c>
      <c r="I494" t="s">
        <v>7462</v>
      </c>
      <c r="J494">
        <v>60010491</v>
      </c>
      <c r="K494" t="s">
        <v>4696</v>
      </c>
      <c r="L494" t="s">
        <v>4695</v>
      </c>
      <c r="M494" t="s">
        <v>10</v>
      </c>
      <c r="N494">
        <v>3</v>
      </c>
      <c r="O494" t="s">
        <v>7461</v>
      </c>
      <c r="P494" t="s">
        <v>7460</v>
      </c>
      <c r="Q494" t="s">
        <v>4692</v>
      </c>
      <c r="R494" s="7">
        <v>33970</v>
      </c>
      <c r="S494" s="8">
        <f t="shared" si="56"/>
        <v>1993</v>
      </c>
      <c r="T494" s="8">
        <v>1993</v>
      </c>
      <c r="U494" s="8">
        <f t="shared" si="57"/>
        <v>29</v>
      </c>
      <c r="V494" s="7">
        <v>34243</v>
      </c>
      <c r="W494" t="s">
        <v>868</v>
      </c>
      <c r="X494" s="2">
        <v>0.375</v>
      </c>
      <c r="Y494" s="6">
        <f t="shared" si="62"/>
        <v>1.0010410827260351E-2</v>
      </c>
      <c r="AA494">
        <v>135194</v>
      </c>
      <c r="AB494">
        <v>24918</v>
      </c>
      <c r="AD494" t="s">
        <v>5</v>
      </c>
      <c r="AE494">
        <v>29</v>
      </c>
      <c r="AF494">
        <v>21</v>
      </c>
      <c r="AH494" t="s">
        <v>7459</v>
      </c>
      <c r="AI494" t="s">
        <v>7458</v>
      </c>
      <c r="AJ494" t="s">
        <v>7457</v>
      </c>
      <c r="AK494" t="s">
        <v>7456</v>
      </c>
      <c r="AL494">
        <v>7</v>
      </c>
      <c r="AM494" s="5">
        <f t="shared" si="58"/>
        <v>0.2413793103448276</v>
      </c>
      <c r="AN494" s="4">
        <f t="shared" si="63"/>
        <v>3.655877475877737E-4</v>
      </c>
      <c r="AO494" s="3"/>
      <c r="AP494">
        <v>0</v>
      </c>
      <c r="AR494" t="s">
        <v>1</v>
      </c>
      <c r="AT494" s="2">
        <v>1.3140000000000001</v>
      </c>
      <c r="AU494" s="1">
        <f t="shared" si="59"/>
        <v>0.71169639033585774</v>
      </c>
      <c r="AV494" s="1">
        <f t="shared" si="60"/>
        <v>0.51879992874240621</v>
      </c>
      <c r="AW494" s="1">
        <f t="shared" si="61"/>
        <v>0.32590346714895468</v>
      </c>
    </row>
    <row r="495" spans="1:49" x14ac:dyDescent="0.2">
      <c r="A495">
        <v>493</v>
      </c>
      <c r="B495" t="s">
        <v>7455</v>
      </c>
      <c r="C495" t="s">
        <v>7454</v>
      </c>
      <c r="F495" t="s">
        <v>7453</v>
      </c>
      <c r="G495" t="s">
        <v>15</v>
      </c>
      <c r="H495" t="s">
        <v>14</v>
      </c>
      <c r="I495" t="s">
        <v>7452</v>
      </c>
      <c r="J495">
        <v>60009037</v>
      </c>
      <c r="K495" t="s">
        <v>647</v>
      </c>
      <c r="L495" t="s">
        <v>646</v>
      </c>
      <c r="M495" t="s">
        <v>10</v>
      </c>
      <c r="N495">
        <v>1</v>
      </c>
      <c r="O495" t="s">
        <v>7451</v>
      </c>
      <c r="P495">
        <v>7004706857</v>
      </c>
      <c r="Q495">
        <v>60009037</v>
      </c>
      <c r="R495" s="7">
        <v>33970</v>
      </c>
      <c r="S495" s="8">
        <f t="shared" si="56"/>
        <v>1993</v>
      </c>
      <c r="T495" s="8">
        <v>1993</v>
      </c>
      <c r="U495" s="8">
        <f t="shared" si="57"/>
        <v>29</v>
      </c>
      <c r="V495" s="7">
        <v>1993</v>
      </c>
      <c r="W495" t="s">
        <v>299</v>
      </c>
      <c r="X495" s="2">
        <v>0.88100000000000001</v>
      </c>
      <c r="Y495" s="6">
        <f t="shared" si="62"/>
        <v>2.3517791836843653E-2</v>
      </c>
      <c r="AA495">
        <v>10459243</v>
      </c>
      <c r="AB495">
        <v>17248</v>
      </c>
      <c r="AD495" t="s">
        <v>5</v>
      </c>
      <c r="AE495">
        <v>35</v>
      </c>
      <c r="AF495">
        <v>5</v>
      </c>
      <c r="AH495" t="s">
        <v>7450</v>
      </c>
      <c r="AI495" t="s">
        <v>7449</v>
      </c>
      <c r="AK495" t="s">
        <v>7448</v>
      </c>
      <c r="AL495">
        <v>2</v>
      </c>
      <c r="AM495" s="5">
        <f t="shared" si="58"/>
        <v>6.8965517241379309E-2</v>
      </c>
      <c r="AN495" s="4">
        <f t="shared" si="63"/>
        <v>1.0445364216793535E-4</v>
      </c>
      <c r="AO495" s="3"/>
      <c r="AP495">
        <v>0</v>
      </c>
      <c r="AR495" t="s">
        <v>1</v>
      </c>
      <c r="AT495" s="2" t="s">
        <v>0</v>
      </c>
      <c r="AU495" s="1">
        <f t="shared" si="59"/>
        <v>1.6493790378440936</v>
      </c>
      <c r="AV495" s="1">
        <f t="shared" si="60"/>
        <v>1.1811122739505793</v>
      </c>
      <c r="AW495" s="1">
        <f t="shared" si="61"/>
        <v>0.71284551005706509</v>
      </c>
    </row>
    <row r="496" spans="1:49" x14ac:dyDescent="0.2">
      <c r="A496">
        <v>494</v>
      </c>
      <c r="B496" t="s">
        <v>7447</v>
      </c>
      <c r="C496" t="s">
        <v>7446</v>
      </c>
      <c r="F496" t="s">
        <v>7445</v>
      </c>
      <c r="G496" t="s">
        <v>15</v>
      </c>
      <c r="H496" t="s">
        <v>14</v>
      </c>
      <c r="I496" t="s">
        <v>7444</v>
      </c>
      <c r="J496">
        <v>60012059</v>
      </c>
      <c r="K496" t="s">
        <v>7443</v>
      </c>
      <c r="L496" t="s">
        <v>7442</v>
      </c>
      <c r="M496" t="s">
        <v>521</v>
      </c>
      <c r="N496">
        <v>4</v>
      </c>
      <c r="O496" t="s">
        <v>7441</v>
      </c>
      <c r="P496" t="s">
        <v>7440</v>
      </c>
      <c r="Q496" t="s">
        <v>7439</v>
      </c>
      <c r="R496" s="7">
        <v>33970</v>
      </c>
      <c r="S496" s="8">
        <f t="shared" si="56"/>
        <v>1993</v>
      </c>
      <c r="T496" s="8">
        <v>1993</v>
      </c>
      <c r="U496" s="8">
        <f t="shared" si="57"/>
        <v>29</v>
      </c>
      <c r="V496" s="7">
        <v>1993</v>
      </c>
      <c r="W496" t="s">
        <v>299</v>
      </c>
      <c r="X496" s="2">
        <v>0.88100000000000001</v>
      </c>
      <c r="Y496" s="6">
        <f t="shared" si="62"/>
        <v>2.3517791836843653E-2</v>
      </c>
      <c r="AA496">
        <v>10459243</v>
      </c>
      <c r="AB496">
        <v>17248</v>
      </c>
      <c r="AD496" t="s">
        <v>5</v>
      </c>
      <c r="AE496">
        <v>35</v>
      </c>
      <c r="AF496">
        <v>5</v>
      </c>
      <c r="AH496" t="s">
        <v>7438</v>
      </c>
      <c r="AI496" t="s">
        <v>7437</v>
      </c>
      <c r="AK496" t="s">
        <v>7436</v>
      </c>
      <c r="AL496">
        <v>4</v>
      </c>
      <c r="AM496" s="5">
        <f t="shared" si="58"/>
        <v>0.13793103448275862</v>
      </c>
      <c r="AN496" s="4">
        <f t="shared" si="63"/>
        <v>2.089072843358707E-4</v>
      </c>
      <c r="AO496" s="3"/>
      <c r="AP496">
        <v>0</v>
      </c>
      <c r="AR496" t="s">
        <v>1</v>
      </c>
      <c r="AT496" s="2" t="s">
        <v>0</v>
      </c>
      <c r="AU496" s="1">
        <f t="shared" si="59"/>
        <v>1.6525126471091316</v>
      </c>
      <c r="AV496" s="1">
        <f t="shared" si="60"/>
        <v>1.1863349560589762</v>
      </c>
      <c r="AW496" s="1">
        <f t="shared" si="61"/>
        <v>0.72015726500882049</v>
      </c>
    </row>
    <row r="497" spans="1:49" x14ac:dyDescent="0.2">
      <c r="A497">
        <v>495</v>
      </c>
      <c r="B497" t="s">
        <v>7435</v>
      </c>
      <c r="C497" t="s">
        <v>7434</v>
      </c>
      <c r="F497" t="s">
        <v>7433</v>
      </c>
      <c r="G497" t="s">
        <v>15</v>
      </c>
      <c r="H497" t="s">
        <v>14</v>
      </c>
      <c r="I497" t="s">
        <v>7432</v>
      </c>
      <c r="J497" t="s">
        <v>5618</v>
      </c>
      <c r="K497" t="s">
        <v>5617</v>
      </c>
      <c r="L497" t="s">
        <v>5616</v>
      </c>
      <c r="M497" t="s">
        <v>219</v>
      </c>
      <c r="N497">
        <v>5</v>
      </c>
      <c r="O497" t="s">
        <v>7431</v>
      </c>
      <c r="P497" t="s">
        <v>7430</v>
      </c>
      <c r="Q497" t="s">
        <v>7429</v>
      </c>
      <c r="R497" s="7">
        <v>33970</v>
      </c>
      <c r="S497" s="8">
        <f t="shared" si="56"/>
        <v>1993</v>
      </c>
      <c r="T497" s="8">
        <v>1993</v>
      </c>
      <c r="U497" s="8">
        <f t="shared" si="57"/>
        <v>29</v>
      </c>
      <c r="V497" s="7">
        <v>34243</v>
      </c>
      <c r="W497" t="s">
        <v>548</v>
      </c>
      <c r="X497" s="2">
        <v>1.3720000000000001</v>
      </c>
      <c r="Y497" s="6">
        <f t="shared" si="62"/>
        <v>3.662475641333654E-2</v>
      </c>
      <c r="AA497">
        <v>189480</v>
      </c>
      <c r="AB497">
        <v>17366</v>
      </c>
      <c r="AC497">
        <v>15579670</v>
      </c>
      <c r="AD497" t="s">
        <v>5</v>
      </c>
      <c r="AE497">
        <v>41</v>
      </c>
      <c r="AF497">
        <v>10</v>
      </c>
      <c r="AH497" t="s">
        <v>7428</v>
      </c>
      <c r="AI497" t="s">
        <v>7427</v>
      </c>
      <c r="AK497" t="s">
        <v>7426</v>
      </c>
      <c r="AL497">
        <v>8</v>
      </c>
      <c r="AM497" s="5">
        <f t="shared" si="58"/>
        <v>0.27586206896551724</v>
      </c>
      <c r="AN497" s="4">
        <f t="shared" si="63"/>
        <v>4.1781456867174139E-4</v>
      </c>
      <c r="AO497" s="3"/>
      <c r="AP497">
        <v>0</v>
      </c>
      <c r="AQ497" t="s">
        <v>2475</v>
      </c>
      <c r="AR497" t="s">
        <v>7425</v>
      </c>
      <c r="AS497" t="s">
        <v>2473</v>
      </c>
      <c r="AT497" s="2" t="s">
        <v>0</v>
      </c>
      <c r="AU497" s="1">
        <f t="shared" si="59"/>
        <v>2.5762673859937095</v>
      </c>
      <c r="AV497" s="1">
        <f t="shared" si="60"/>
        <v>1.8521285491004142</v>
      </c>
      <c r="AW497" s="1">
        <f t="shared" si="61"/>
        <v>1.1279897122071181</v>
      </c>
    </row>
    <row r="498" spans="1:49" x14ac:dyDescent="0.2">
      <c r="A498">
        <v>496</v>
      </c>
      <c r="B498" t="s">
        <v>7424</v>
      </c>
      <c r="C498" t="s">
        <v>7423</v>
      </c>
      <c r="F498" t="s">
        <v>7422</v>
      </c>
      <c r="G498" t="s">
        <v>15</v>
      </c>
      <c r="H498" t="s">
        <v>14</v>
      </c>
      <c r="I498" t="s">
        <v>7421</v>
      </c>
      <c r="J498">
        <v>60029241</v>
      </c>
      <c r="K498" t="s">
        <v>3517</v>
      </c>
      <c r="L498" t="s">
        <v>3516</v>
      </c>
      <c r="M498" t="s">
        <v>10</v>
      </c>
      <c r="N498">
        <v>2</v>
      </c>
      <c r="O498" t="s">
        <v>7420</v>
      </c>
      <c r="P498" t="s">
        <v>7419</v>
      </c>
      <c r="Q498" t="s">
        <v>3513</v>
      </c>
      <c r="R498" s="7">
        <v>33970</v>
      </c>
      <c r="S498" s="8">
        <f t="shared" si="56"/>
        <v>1993</v>
      </c>
      <c r="T498" s="8">
        <v>1993</v>
      </c>
      <c r="U498" s="8">
        <f t="shared" si="57"/>
        <v>29</v>
      </c>
      <c r="V498" s="7">
        <v>34243</v>
      </c>
      <c r="W498" t="s">
        <v>548</v>
      </c>
      <c r="X498" s="2">
        <v>1.3720000000000001</v>
      </c>
      <c r="Y498" s="6">
        <f t="shared" si="62"/>
        <v>3.662475641333654E-2</v>
      </c>
      <c r="AA498">
        <v>189480</v>
      </c>
      <c r="AB498">
        <v>17366</v>
      </c>
      <c r="AC498">
        <v>15579670</v>
      </c>
      <c r="AD498" t="s">
        <v>5</v>
      </c>
      <c r="AE498">
        <v>41</v>
      </c>
      <c r="AF498">
        <v>10</v>
      </c>
      <c r="AH498" t="s">
        <v>7418</v>
      </c>
      <c r="AI498" t="s">
        <v>7417</v>
      </c>
      <c r="AK498" t="s">
        <v>7416</v>
      </c>
      <c r="AL498">
        <v>239</v>
      </c>
      <c r="AM498" s="5">
        <f t="shared" si="58"/>
        <v>8.2413793103448274</v>
      </c>
      <c r="AN498" s="4">
        <f t="shared" si="63"/>
        <v>1.2482210239068273E-2</v>
      </c>
      <c r="AO498" s="3"/>
      <c r="AP498">
        <v>0</v>
      </c>
      <c r="AR498" t="s">
        <v>1</v>
      </c>
      <c r="AT498" s="2" t="s">
        <v>0</v>
      </c>
      <c r="AU498" s="1">
        <f t="shared" si="59"/>
        <v>2.9381992561056061</v>
      </c>
      <c r="AV498" s="1">
        <f t="shared" si="60"/>
        <v>2.4553483326202405</v>
      </c>
      <c r="AW498" s="1">
        <f t="shared" si="61"/>
        <v>1.9724974091348755</v>
      </c>
    </row>
    <row r="499" spans="1:49" x14ac:dyDescent="0.2">
      <c r="A499">
        <v>497</v>
      </c>
      <c r="B499" t="s">
        <v>7415</v>
      </c>
      <c r="C499" t="s">
        <v>7414</v>
      </c>
      <c r="F499" t="s">
        <v>7413</v>
      </c>
      <c r="G499" t="s">
        <v>15</v>
      </c>
      <c r="H499" t="s">
        <v>14</v>
      </c>
      <c r="I499" t="s">
        <v>7412</v>
      </c>
      <c r="J499">
        <v>60108318</v>
      </c>
      <c r="K499" t="s">
        <v>2709</v>
      </c>
      <c r="L499" t="s">
        <v>997</v>
      </c>
      <c r="M499" t="s">
        <v>10</v>
      </c>
      <c r="N499">
        <v>5</v>
      </c>
      <c r="O499" t="s">
        <v>7411</v>
      </c>
      <c r="P499" t="s">
        <v>7410</v>
      </c>
      <c r="Q499" t="s">
        <v>7409</v>
      </c>
      <c r="R499" s="7">
        <v>33970</v>
      </c>
      <c r="S499" s="8">
        <f t="shared" si="56"/>
        <v>1993</v>
      </c>
      <c r="T499" s="8">
        <v>1993</v>
      </c>
      <c r="U499" s="8">
        <f t="shared" si="57"/>
        <v>29</v>
      </c>
      <c r="V499" s="7">
        <v>34243</v>
      </c>
      <c r="W499" t="s">
        <v>814</v>
      </c>
      <c r="X499" s="2">
        <v>1.6519999999999999</v>
      </c>
      <c r="Y499" s="6">
        <f t="shared" si="62"/>
        <v>4.409919649769093E-2</v>
      </c>
      <c r="AA499" t="s">
        <v>813</v>
      </c>
      <c r="AB499">
        <v>17337</v>
      </c>
      <c r="AC499">
        <v>15582221</v>
      </c>
      <c r="AD499" t="s">
        <v>5</v>
      </c>
      <c r="AE499">
        <v>41</v>
      </c>
      <c r="AF499">
        <v>10</v>
      </c>
      <c r="AH499" t="s">
        <v>7408</v>
      </c>
      <c r="AI499" t="s">
        <v>7407</v>
      </c>
      <c r="AK499" t="s">
        <v>7406</v>
      </c>
      <c r="AL499">
        <v>198</v>
      </c>
      <c r="AM499" s="5">
        <f t="shared" si="58"/>
        <v>6.8275862068965516</v>
      </c>
      <c r="AN499" s="4">
        <f t="shared" si="63"/>
        <v>1.0340910574625599E-2</v>
      </c>
      <c r="AO499" s="3"/>
      <c r="AP499">
        <v>0</v>
      </c>
      <c r="AR499" t="s">
        <v>1</v>
      </c>
      <c r="AT499" s="2" t="s">
        <v>0</v>
      </c>
      <c r="AU499" s="1">
        <f t="shared" si="59"/>
        <v>3.3971710720771333</v>
      </c>
      <c r="AV499" s="1">
        <f t="shared" si="60"/>
        <v>2.7220053536158266</v>
      </c>
      <c r="AW499" s="1">
        <f t="shared" si="61"/>
        <v>2.0468396351545195</v>
      </c>
    </row>
    <row r="500" spans="1:49" x14ac:dyDescent="0.2">
      <c r="A500">
        <v>498</v>
      </c>
      <c r="B500" t="s">
        <v>7405</v>
      </c>
      <c r="C500" t="s">
        <v>7404</v>
      </c>
      <c r="F500" t="s">
        <v>7403</v>
      </c>
      <c r="G500" t="s">
        <v>15</v>
      </c>
      <c r="H500" t="s">
        <v>14</v>
      </c>
      <c r="I500" t="s">
        <v>7402</v>
      </c>
      <c r="J500">
        <v>115937963</v>
      </c>
      <c r="K500" t="s">
        <v>7401</v>
      </c>
      <c r="L500" t="s">
        <v>7400</v>
      </c>
      <c r="M500" t="s">
        <v>521</v>
      </c>
      <c r="N500">
        <v>2</v>
      </c>
      <c r="O500" t="s">
        <v>7399</v>
      </c>
      <c r="P500" t="s">
        <v>7398</v>
      </c>
      <c r="Q500" t="s">
        <v>7397</v>
      </c>
      <c r="R500" s="7">
        <v>33970</v>
      </c>
      <c r="S500" s="8">
        <f t="shared" si="56"/>
        <v>1993</v>
      </c>
      <c r="T500" s="8">
        <v>1993</v>
      </c>
      <c r="U500" s="8">
        <f t="shared" si="57"/>
        <v>29</v>
      </c>
      <c r="V500" s="7">
        <v>34243</v>
      </c>
      <c r="W500" t="s">
        <v>3890</v>
      </c>
      <c r="X500" s="2">
        <v>0.251</v>
      </c>
      <c r="Y500" s="6">
        <f t="shared" si="62"/>
        <v>6.7003016470462617E-3</v>
      </c>
      <c r="AA500">
        <v>207217</v>
      </c>
      <c r="AB500">
        <v>26145</v>
      </c>
      <c r="AC500">
        <v>13623060</v>
      </c>
      <c r="AD500" t="s">
        <v>5</v>
      </c>
      <c r="AE500">
        <v>75</v>
      </c>
      <c r="AF500">
        <v>4</v>
      </c>
      <c r="AH500" t="s">
        <v>7396</v>
      </c>
      <c r="AI500" t="s">
        <v>7395</v>
      </c>
      <c r="AK500" t="s">
        <v>7394</v>
      </c>
      <c r="AL500">
        <v>13</v>
      </c>
      <c r="AM500" s="5">
        <f t="shared" si="58"/>
        <v>0.44827586206896552</v>
      </c>
      <c r="AN500" s="4">
        <f t="shared" si="63"/>
        <v>6.7894867409157972E-4</v>
      </c>
      <c r="AO500" s="3"/>
      <c r="AP500">
        <v>0</v>
      </c>
      <c r="AR500" t="s">
        <v>1</v>
      </c>
      <c r="AT500" s="2">
        <v>1.3360000000000001</v>
      </c>
      <c r="AU500" s="1">
        <f t="shared" si="59"/>
        <v>0.48938957551598561</v>
      </c>
      <c r="AV500" s="1">
        <f t="shared" si="60"/>
        <v>0.36896251605689206</v>
      </c>
      <c r="AW500" s="1">
        <f t="shared" si="61"/>
        <v>0.24853545659779841</v>
      </c>
    </row>
    <row r="501" spans="1:49" x14ac:dyDescent="0.2">
      <c r="A501">
        <v>499</v>
      </c>
      <c r="B501" t="s">
        <v>7393</v>
      </c>
      <c r="C501" t="s">
        <v>7392</v>
      </c>
      <c r="F501" t="s">
        <v>7391</v>
      </c>
      <c r="G501" t="s">
        <v>15</v>
      </c>
      <c r="H501" t="s">
        <v>14</v>
      </c>
      <c r="I501" t="s">
        <v>7390</v>
      </c>
      <c r="J501">
        <v>60011373</v>
      </c>
      <c r="K501" t="s">
        <v>7389</v>
      </c>
      <c r="L501" t="s">
        <v>7388</v>
      </c>
      <c r="M501" t="s">
        <v>361</v>
      </c>
      <c r="N501">
        <v>3</v>
      </c>
      <c r="O501" t="s">
        <v>7387</v>
      </c>
      <c r="P501" t="s">
        <v>7386</v>
      </c>
      <c r="Q501" t="s">
        <v>7385</v>
      </c>
      <c r="R501" s="7">
        <v>33970</v>
      </c>
      <c r="S501" s="8">
        <f t="shared" si="56"/>
        <v>1993</v>
      </c>
      <c r="T501" s="8">
        <v>1993</v>
      </c>
      <c r="U501" s="8">
        <f t="shared" si="57"/>
        <v>29</v>
      </c>
      <c r="V501" s="7">
        <v>34243</v>
      </c>
      <c r="W501" t="s">
        <v>1284</v>
      </c>
      <c r="X501" s="2">
        <v>0.33500000000000002</v>
      </c>
      <c r="Y501" s="6">
        <f t="shared" si="62"/>
        <v>8.94263367235258E-3</v>
      </c>
      <c r="AA501">
        <v>10501827</v>
      </c>
      <c r="AB501">
        <v>78233</v>
      </c>
      <c r="AC501">
        <v>15226301</v>
      </c>
      <c r="AD501" t="s">
        <v>5</v>
      </c>
      <c r="AE501">
        <v>3</v>
      </c>
      <c r="AF501">
        <v>4</v>
      </c>
      <c r="AH501" t="s">
        <v>7384</v>
      </c>
      <c r="AI501" t="s">
        <v>7383</v>
      </c>
      <c r="AK501" t="s">
        <v>7382</v>
      </c>
      <c r="AL501">
        <v>2</v>
      </c>
      <c r="AM501" s="5">
        <f t="shared" si="58"/>
        <v>6.8965517241379309E-2</v>
      </c>
      <c r="AN501" s="4">
        <f t="shared" si="63"/>
        <v>1.0445364216793535E-4</v>
      </c>
      <c r="AO501" s="3"/>
      <c r="AP501">
        <v>0</v>
      </c>
      <c r="AR501" t="s">
        <v>1</v>
      </c>
      <c r="AT501" s="2" t="s">
        <v>0</v>
      </c>
      <c r="AU501" s="1">
        <f t="shared" si="59"/>
        <v>0.62911796632971861</v>
      </c>
      <c r="AV501" s="1">
        <f t="shared" si="60"/>
        <v>0.45235436572602583</v>
      </c>
      <c r="AW501" s="1">
        <f t="shared" si="61"/>
        <v>0.27559076512233288</v>
      </c>
    </row>
    <row r="502" spans="1:49" x14ac:dyDescent="0.2">
      <c r="A502">
        <v>500</v>
      </c>
      <c r="B502" t="s">
        <v>7381</v>
      </c>
      <c r="C502" t="s">
        <v>7380</v>
      </c>
      <c r="F502" t="s">
        <v>7379</v>
      </c>
      <c r="G502" t="s">
        <v>15</v>
      </c>
      <c r="H502" t="s">
        <v>14</v>
      </c>
      <c r="I502" t="s">
        <v>7378</v>
      </c>
      <c r="J502">
        <v>60020547</v>
      </c>
      <c r="K502" t="s">
        <v>3199</v>
      </c>
      <c r="L502" t="s">
        <v>3198</v>
      </c>
      <c r="M502" t="s">
        <v>10</v>
      </c>
      <c r="N502">
        <v>3</v>
      </c>
      <c r="O502" t="s">
        <v>7377</v>
      </c>
      <c r="P502" t="s">
        <v>7376</v>
      </c>
      <c r="Q502" t="s">
        <v>3195</v>
      </c>
      <c r="R502" s="7">
        <v>33970</v>
      </c>
      <c r="S502" s="8">
        <f t="shared" si="56"/>
        <v>1993</v>
      </c>
      <c r="T502" s="8">
        <v>1993</v>
      </c>
      <c r="U502" s="8">
        <f t="shared" si="57"/>
        <v>29</v>
      </c>
      <c r="V502" s="7">
        <v>34243</v>
      </c>
      <c r="W502" t="s">
        <v>548</v>
      </c>
      <c r="X502" s="2">
        <v>1.3720000000000001</v>
      </c>
      <c r="Y502" s="6">
        <f t="shared" si="62"/>
        <v>3.662475641333654E-2</v>
      </c>
      <c r="AA502">
        <v>189480</v>
      </c>
      <c r="AB502">
        <v>17366</v>
      </c>
      <c r="AC502">
        <v>15579670</v>
      </c>
      <c r="AD502" t="s">
        <v>5</v>
      </c>
      <c r="AE502">
        <v>41</v>
      </c>
      <c r="AF502">
        <v>10</v>
      </c>
      <c r="AH502" t="s">
        <v>7375</v>
      </c>
      <c r="AI502" t="s">
        <v>7374</v>
      </c>
      <c r="AK502" t="s">
        <v>7373</v>
      </c>
      <c r="AL502">
        <v>8</v>
      </c>
      <c r="AM502" s="5">
        <f t="shared" si="58"/>
        <v>0.27586206896551724</v>
      </c>
      <c r="AN502" s="4">
        <f t="shared" si="63"/>
        <v>4.1781456867174139E-4</v>
      </c>
      <c r="AO502" s="3"/>
      <c r="AP502">
        <v>0</v>
      </c>
      <c r="AQ502" t="s">
        <v>3442</v>
      </c>
      <c r="AR502" t="s">
        <v>1</v>
      </c>
      <c r="AS502" t="s">
        <v>3441</v>
      </c>
      <c r="AT502" s="2" t="s">
        <v>0</v>
      </c>
      <c r="AU502" s="1">
        <f t="shared" si="59"/>
        <v>2.5762673859937095</v>
      </c>
      <c r="AV502" s="1">
        <f t="shared" si="60"/>
        <v>1.8521285491004142</v>
      </c>
      <c r="AW502" s="1">
        <f t="shared" si="61"/>
        <v>1.1279897122071181</v>
      </c>
    </row>
    <row r="503" spans="1:49" x14ac:dyDescent="0.2">
      <c r="A503">
        <v>501</v>
      </c>
      <c r="B503" t="s">
        <v>7372</v>
      </c>
      <c r="C503" t="s">
        <v>7371</v>
      </c>
      <c r="F503" t="s">
        <v>7370</v>
      </c>
      <c r="G503" t="s">
        <v>15</v>
      </c>
      <c r="H503" t="s">
        <v>14</v>
      </c>
      <c r="I503" t="s">
        <v>2438</v>
      </c>
      <c r="J503">
        <v>60011357</v>
      </c>
      <c r="K503" t="s">
        <v>2437</v>
      </c>
      <c r="L503" t="s">
        <v>2436</v>
      </c>
      <c r="M503" t="s">
        <v>1909</v>
      </c>
      <c r="N503">
        <v>3</v>
      </c>
      <c r="O503" t="s">
        <v>7369</v>
      </c>
      <c r="P503" t="s">
        <v>7368</v>
      </c>
      <c r="Q503" t="s">
        <v>4130</v>
      </c>
      <c r="R503" s="7">
        <v>33970</v>
      </c>
      <c r="S503" s="8">
        <f t="shared" si="56"/>
        <v>1993</v>
      </c>
      <c r="T503" s="8">
        <v>1993</v>
      </c>
      <c r="U503" s="8">
        <f t="shared" si="57"/>
        <v>29</v>
      </c>
      <c r="V503" s="7">
        <v>34243</v>
      </c>
      <c r="W503" t="s">
        <v>1272</v>
      </c>
      <c r="X503" s="2">
        <v>0.94</v>
      </c>
      <c r="Y503" s="6">
        <f t="shared" si="62"/>
        <v>2.5092763140332611E-2</v>
      </c>
      <c r="AA503">
        <v>10518207</v>
      </c>
      <c r="AB503">
        <v>63372</v>
      </c>
      <c r="AD503" t="s">
        <v>5</v>
      </c>
      <c r="AE503">
        <v>3</v>
      </c>
      <c r="AF503">
        <v>10</v>
      </c>
      <c r="AH503" t="s">
        <v>7367</v>
      </c>
      <c r="AI503" t="s">
        <v>7366</v>
      </c>
      <c r="AK503" t="s">
        <v>7365</v>
      </c>
      <c r="AL503">
        <v>66</v>
      </c>
      <c r="AM503" s="5">
        <f t="shared" si="58"/>
        <v>2.2758620689655173</v>
      </c>
      <c r="AN503" s="4">
        <f t="shared" si="63"/>
        <v>3.4469701915418663E-3</v>
      </c>
      <c r="AO503" s="3"/>
      <c r="AP503">
        <v>0</v>
      </c>
      <c r="AQ503" t="s">
        <v>4772</v>
      </c>
      <c r="AR503" t="s">
        <v>7364</v>
      </c>
      <c r="AS503" t="s">
        <v>4770</v>
      </c>
      <c r="AT503" s="2" t="s">
        <v>0</v>
      </c>
      <c r="AU503" s="1">
        <f t="shared" si="59"/>
        <v>1.8599025255695387</v>
      </c>
      <c r="AV503" s="1">
        <f t="shared" si="60"/>
        <v>1.4269866665937239</v>
      </c>
      <c r="AW503" s="1">
        <f t="shared" si="61"/>
        <v>0.994070807617909</v>
      </c>
    </row>
    <row r="504" spans="1:49" x14ac:dyDescent="0.2">
      <c r="A504">
        <v>502</v>
      </c>
      <c r="B504" t="s">
        <v>7363</v>
      </c>
      <c r="C504" t="s">
        <v>7362</v>
      </c>
      <c r="F504" t="s">
        <v>7361</v>
      </c>
      <c r="G504" t="s">
        <v>15</v>
      </c>
      <c r="H504" t="s">
        <v>14</v>
      </c>
      <c r="I504" t="s">
        <v>7360</v>
      </c>
      <c r="J504">
        <v>60025778</v>
      </c>
      <c r="K504" t="s">
        <v>3404</v>
      </c>
      <c r="L504" t="s">
        <v>1317</v>
      </c>
      <c r="M504" t="s">
        <v>10</v>
      </c>
      <c r="N504">
        <v>2</v>
      </c>
      <c r="O504" t="s">
        <v>7359</v>
      </c>
      <c r="P504" t="s">
        <v>7358</v>
      </c>
      <c r="Q504" t="s">
        <v>4730</v>
      </c>
      <c r="R504" s="7">
        <v>33970</v>
      </c>
      <c r="S504" s="8">
        <f t="shared" si="56"/>
        <v>1993</v>
      </c>
      <c r="T504" s="8">
        <v>1993</v>
      </c>
      <c r="U504" s="8">
        <f t="shared" si="57"/>
        <v>29</v>
      </c>
      <c r="V504" s="7">
        <v>34243</v>
      </c>
      <c r="W504" t="s">
        <v>1272</v>
      </c>
      <c r="X504" s="2">
        <v>0.94</v>
      </c>
      <c r="Y504" s="6">
        <f t="shared" si="62"/>
        <v>2.5092763140332611E-2</v>
      </c>
      <c r="AA504">
        <v>10518207</v>
      </c>
      <c r="AB504">
        <v>63372</v>
      </c>
      <c r="AD504" t="s">
        <v>5</v>
      </c>
      <c r="AE504">
        <v>3</v>
      </c>
      <c r="AF504">
        <v>10</v>
      </c>
      <c r="AH504" t="s">
        <v>7357</v>
      </c>
      <c r="AI504" t="s">
        <v>7356</v>
      </c>
      <c r="AK504" t="s">
        <v>7355</v>
      </c>
      <c r="AL504">
        <v>4</v>
      </c>
      <c r="AM504" s="5">
        <f t="shared" si="58"/>
        <v>0.13793103448275862</v>
      </c>
      <c r="AN504" s="4">
        <f t="shared" si="63"/>
        <v>2.089072843358707E-4</v>
      </c>
      <c r="AO504" s="3"/>
      <c r="AP504">
        <v>0</v>
      </c>
      <c r="AQ504" t="s">
        <v>2475</v>
      </c>
      <c r="AR504" t="s">
        <v>7354</v>
      </c>
      <c r="AS504" t="s">
        <v>2473</v>
      </c>
      <c r="AT504" s="2" t="s">
        <v>0</v>
      </c>
      <c r="AU504" s="1">
        <f t="shared" si="59"/>
        <v>1.7627606383533587</v>
      </c>
      <c r="AV504" s="1">
        <f t="shared" si="60"/>
        <v>1.2650835212334242</v>
      </c>
      <c r="AW504" s="1">
        <f t="shared" si="61"/>
        <v>0.76740640411348926</v>
      </c>
    </row>
    <row r="505" spans="1:49" x14ac:dyDescent="0.2">
      <c r="A505">
        <v>503</v>
      </c>
      <c r="B505" t="s">
        <v>7353</v>
      </c>
      <c r="C505" t="s">
        <v>7352</v>
      </c>
      <c r="F505" t="s">
        <v>7351</v>
      </c>
      <c r="G505" t="s">
        <v>15</v>
      </c>
      <c r="H505" t="s">
        <v>14</v>
      </c>
      <c r="I505" t="s">
        <v>7350</v>
      </c>
      <c r="J505" t="s">
        <v>7349</v>
      </c>
      <c r="K505" t="s">
        <v>7348</v>
      </c>
      <c r="L505" t="s">
        <v>7347</v>
      </c>
      <c r="M505" t="s">
        <v>7346</v>
      </c>
      <c r="N505">
        <v>4</v>
      </c>
      <c r="O505" t="s">
        <v>7345</v>
      </c>
      <c r="P505" t="s">
        <v>7344</v>
      </c>
      <c r="Q505" t="s">
        <v>7343</v>
      </c>
      <c r="R505" s="7">
        <v>33970</v>
      </c>
      <c r="S505" s="8">
        <f t="shared" si="56"/>
        <v>1993</v>
      </c>
      <c r="T505" s="8">
        <v>1993</v>
      </c>
      <c r="U505" s="8">
        <f t="shared" si="57"/>
        <v>29</v>
      </c>
      <c r="V505" s="7">
        <v>34243</v>
      </c>
      <c r="W505" t="s">
        <v>814</v>
      </c>
      <c r="X505" s="2">
        <v>1.6519999999999999</v>
      </c>
      <c r="Y505" s="6">
        <f t="shared" si="62"/>
        <v>4.409919649769093E-2</v>
      </c>
      <c r="AA505" t="s">
        <v>813</v>
      </c>
      <c r="AB505">
        <v>17337</v>
      </c>
      <c r="AC505">
        <v>15582221</v>
      </c>
      <c r="AD505" t="s">
        <v>5</v>
      </c>
      <c r="AE505">
        <v>41</v>
      </c>
      <c r="AF505">
        <v>10</v>
      </c>
      <c r="AH505" t="s">
        <v>7342</v>
      </c>
      <c r="AI505" t="s">
        <v>7341</v>
      </c>
      <c r="AK505" t="s">
        <v>7340</v>
      </c>
      <c r="AL505">
        <v>3</v>
      </c>
      <c r="AM505" s="5">
        <f t="shared" si="58"/>
        <v>0.10344827586206896</v>
      </c>
      <c r="AN505" s="4">
        <f t="shared" si="63"/>
        <v>1.5668046325190301E-4</v>
      </c>
      <c r="AO505" s="3"/>
      <c r="AP505">
        <v>0</v>
      </c>
      <c r="AQ505" t="s">
        <v>7032</v>
      </c>
      <c r="AR505" t="s">
        <v>7031</v>
      </c>
      <c r="AS505" t="s">
        <v>7030</v>
      </c>
      <c r="AT505" s="2" t="s">
        <v>0</v>
      </c>
      <c r="AU505" s="1">
        <f t="shared" si="59"/>
        <v>3.0916441687359222</v>
      </c>
      <c r="AV505" s="1">
        <f t="shared" si="60"/>
        <v>2.2127938480471414</v>
      </c>
      <c r="AW505" s="1">
        <f t="shared" si="61"/>
        <v>1.3339435273583611</v>
      </c>
    </row>
    <row r="506" spans="1:49" x14ac:dyDescent="0.2">
      <c r="A506">
        <v>504</v>
      </c>
      <c r="B506" t="s">
        <v>7339</v>
      </c>
      <c r="C506" t="s">
        <v>7338</v>
      </c>
      <c r="F506" t="s">
        <v>7337</v>
      </c>
      <c r="G506" t="s">
        <v>15</v>
      </c>
      <c r="H506" t="s">
        <v>14</v>
      </c>
      <c r="I506" t="s">
        <v>7336</v>
      </c>
      <c r="J506" t="s">
        <v>7335</v>
      </c>
      <c r="K506" t="s">
        <v>7334</v>
      </c>
      <c r="L506" t="s">
        <v>7333</v>
      </c>
      <c r="M506" t="s">
        <v>7332</v>
      </c>
      <c r="N506">
        <v>2</v>
      </c>
      <c r="O506" t="s">
        <v>7331</v>
      </c>
      <c r="P506" t="s">
        <v>7330</v>
      </c>
      <c r="Q506" t="s">
        <v>7329</v>
      </c>
      <c r="R506" s="7">
        <v>33970</v>
      </c>
      <c r="S506" s="8">
        <f t="shared" si="56"/>
        <v>1993</v>
      </c>
      <c r="T506" s="8">
        <v>1993</v>
      </c>
      <c r="U506" s="8">
        <f t="shared" si="57"/>
        <v>29</v>
      </c>
      <c r="V506" s="7">
        <v>34243</v>
      </c>
      <c r="W506" t="s">
        <v>2382</v>
      </c>
      <c r="X506" s="2">
        <v>0.30399999999999999</v>
      </c>
      <c r="Y506" s="6">
        <f t="shared" si="62"/>
        <v>8.115106377299057E-3</v>
      </c>
      <c r="AA506">
        <v>8952477</v>
      </c>
      <c r="AB506">
        <v>12250</v>
      </c>
      <c r="AC506">
        <v>10982760</v>
      </c>
      <c r="AD506" t="s">
        <v>5</v>
      </c>
      <c r="AE506">
        <v>6</v>
      </c>
      <c r="AF506">
        <v>13</v>
      </c>
      <c r="AH506" t="s">
        <v>7328</v>
      </c>
      <c r="AI506" t="s">
        <v>7327</v>
      </c>
      <c r="AJ506" t="s">
        <v>7326</v>
      </c>
      <c r="AK506" t="s">
        <v>7325</v>
      </c>
      <c r="AL506">
        <v>5</v>
      </c>
      <c r="AM506" s="5">
        <f t="shared" si="58"/>
        <v>0.17241379310344829</v>
      </c>
      <c r="AN506" s="4">
        <f t="shared" si="63"/>
        <v>2.6113410541983838E-4</v>
      </c>
      <c r="AO506" s="3"/>
      <c r="AP506">
        <v>0</v>
      </c>
      <c r="AR506" t="s">
        <v>1</v>
      </c>
      <c r="AT506" s="2" t="s">
        <v>0</v>
      </c>
      <c r="AU506" s="1">
        <f t="shared" si="59"/>
        <v>0.5758914695735291</v>
      </c>
      <c r="AV506" s="1">
        <f t="shared" si="60"/>
        <v>0.41881202413594482</v>
      </c>
      <c r="AW506" s="1">
        <f t="shared" si="61"/>
        <v>0.26173257869836042</v>
      </c>
    </row>
    <row r="507" spans="1:49" x14ac:dyDescent="0.2">
      <c r="A507">
        <v>505</v>
      </c>
      <c r="B507" t="s">
        <v>7324</v>
      </c>
      <c r="C507" t="s">
        <v>7323</v>
      </c>
      <c r="F507" t="s">
        <v>7322</v>
      </c>
      <c r="G507" t="s">
        <v>15</v>
      </c>
      <c r="H507" t="s">
        <v>14</v>
      </c>
      <c r="I507" t="s">
        <v>7321</v>
      </c>
      <c r="J507">
        <v>60110693</v>
      </c>
      <c r="K507" t="s">
        <v>6101</v>
      </c>
      <c r="L507" t="s">
        <v>6100</v>
      </c>
      <c r="M507" t="s">
        <v>303</v>
      </c>
      <c r="N507">
        <v>2</v>
      </c>
      <c r="O507" t="s">
        <v>7320</v>
      </c>
      <c r="P507" t="s">
        <v>7319</v>
      </c>
      <c r="Q507" t="s">
        <v>7318</v>
      </c>
      <c r="R507" s="7">
        <v>33970</v>
      </c>
      <c r="S507" s="8">
        <f t="shared" si="56"/>
        <v>1993</v>
      </c>
      <c r="T507" s="8">
        <v>1993</v>
      </c>
      <c r="U507" s="8">
        <f t="shared" si="57"/>
        <v>29</v>
      </c>
      <c r="V507" s="7">
        <v>34243</v>
      </c>
      <c r="W507" t="s">
        <v>1284</v>
      </c>
      <c r="X507" s="2">
        <v>0.33500000000000002</v>
      </c>
      <c r="Y507" s="6">
        <f t="shared" si="62"/>
        <v>8.94263367235258E-3</v>
      </c>
      <c r="AA507">
        <v>10501827</v>
      </c>
      <c r="AB507">
        <v>78233</v>
      </c>
      <c r="AC507">
        <v>15226301</v>
      </c>
      <c r="AD507" t="s">
        <v>5</v>
      </c>
      <c r="AE507">
        <v>3</v>
      </c>
      <c r="AF507">
        <v>4</v>
      </c>
      <c r="AH507" t="s">
        <v>7317</v>
      </c>
      <c r="AI507" t="s">
        <v>7316</v>
      </c>
      <c r="AK507" t="s">
        <v>7315</v>
      </c>
      <c r="AL507">
        <v>30</v>
      </c>
      <c r="AM507" s="5">
        <f t="shared" si="58"/>
        <v>1.0344827586206897</v>
      </c>
      <c r="AN507" s="4">
        <f t="shared" si="63"/>
        <v>1.5668046325190302E-3</v>
      </c>
      <c r="AO507" s="3"/>
      <c r="AP507">
        <v>0</v>
      </c>
      <c r="AR507" t="s">
        <v>1</v>
      </c>
      <c r="AT507" s="2" t="s">
        <v>0</v>
      </c>
      <c r="AU507" s="1">
        <f t="shared" si="59"/>
        <v>0.67298849604025146</v>
      </c>
      <c r="AV507" s="1">
        <f t="shared" si="60"/>
        <v>0.5254719152435805</v>
      </c>
      <c r="AW507" s="1">
        <f t="shared" si="61"/>
        <v>0.37795533444690954</v>
      </c>
    </row>
    <row r="508" spans="1:49" x14ac:dyDescent="0.2">
      <c r="A508">
        <v>506</v>
      </c>
      <c r="B508" t="s">
        <v>7314</v>
      </c>
      <c r="C508" t="s">
        <v>7313</v>
      </c>
      <c r="F508" t="s">
        <v>7312</v>
      </c>
      <c r="G508" t="s">
        <v>15</v>
      </c>
      <c r="H508" t="s">
        <v>14</v>
      </c>
      <c r="I508" t="s">
        <v>7311</v>
      </c>
      <c r="J508">
        <v>60000854</v>
      </c>
      <c r="K508" t="s">
        <v>7310</v>
      </c>
      <c r="L508" t="s">
        <v>7309</v>
      </c>
      <c r="M508" t="s">
        <v>10</v>
      </c>
      <c r="N508">
        <v>3</v>
      </c>
      <c r="O508" t="s">
        <v>7308</v>
      </c>
      <c r="P508" t="s">
        <v>7307</v>
      </c>
      <c r="Q508" t="s">
        <v>7306</v>
      </c>
      <c r="R508" s="7">
        <v>33970</v>
      </c>
      <c r="S508" s="8">
        <f t="shared" si="56"/>
        <v>1993</v>
      </c>
      <c r="T508" s="8">
        <v>1993</v>
      </c>
      <c r="U508" s="8">
        <f t="shared" si="57"/>
        <v>29</v>
      </c>
      <c r="V508" s="7" t="s">
        <v>6929</v>
      </c>
      <c r="W508" s="11" t="s">
        <v>2393</v>
      </c>
      <c r="X508" s="2">
        <v>2.383</v>
      </c>
      <c r="Y508" s="6">
        <f t="shared" si="62"/>
        <v>6.3612824003630442E-2</v>
      </c>
      <c r="AA508" t="s">
        <v>2392</v>
      </c>
      <c r="AB508">
        <v>101151</v>
      </c>
      <c r="AD508" t="s">
        <v>5</v>
      </c>
      <c r="AE508">
        <v>140</v>
      </c>
      <c r="AF508">
        <v>5</v>
      </c>
      <c r="AH508" t="s">
        <v>7305</v>
      </c>
      <c r="AI508" t="s">
        <v>7304</v>
      </c>
      <c r="AK508" t="s">
        <v>7303</v>
      </c>
      <c r="AL508">
        <v>10</v>
      </c>
      <c r="AM508" s="5">
        <f t="shared" si="58"/>
        <v>0.34482758620689657</v>
      </c>
      <c r="AN508" s="4">
        <f t="shared" si="63"/>
        <v>5.2226821083967677E-4</v>
      </c>
      <c r="AO508" s="3"/>
      <c r="AP508">
        <v>0</v>
      </c>
      <c r="AR508" t="s">
        <v>1</v>
      </c>
      <c r="AT508" s="2" t="s">
        <v>0</v>
      </c>
      <c r="AU508" s="1">
        <f t="shared" si="59"/>
        <v>4.4685657265793211</v>
      </c>
      <c r="AV508" s="1">
        <f t="shared" si="60"/>
        <v>3.2067546107235056</v>
      </c>
      <c r="AW508" s="1">
        <f t="shared" si="61"/>
        <v>1.9449434948676907</v>
      </c>
    </row>
    <row r="509" spans="1:49" x14ac:dyDescent="0.2">
      <c r="A509">
        <v>507</v>
      </c>
      <c r="B509" t="s">
        <v>7302</v>
      </c>
      <c r="C509" t="s">
        <v>7301</v>
      </c>
      <c r="F509" t="s">
        <v>7300</v>
      </c>
      <c r="G509" t="s">
        <v>15</v>
      </c>
      <c r="H509" t="s">
        <v>14</v>
      </c>
      <c r="I509" t="s">
        <v>7299</v>
      </c>
      <c r="J509">
        <v>60027550</v>
      </c>
      <c r="K509" t="s">
        <v>1833</v>
      </c>
      <c r="L509" t="s">
        <v>1832</v>
      </c>
      <c r="M509" t="s">
        <v>10</v>
      </c>
      <c r="N509">
        <v>3</v>
      </c>
      <c r="O509" t="s">
        <v>7298</v>
      </c>
      <c r="P509" t="s">
        <v>7297</v>
      </c>
      <c r="Q509" t="s">
        <v>1829</v>
      </c>
      <c r="R509" s="7">
        <v>33970</v>
      </c>
      <c r="S509" s="8">
        <f t="shared" si="56"/>
        <v>1993</v>
      </c>
      <c r="T509" s="8">
        <v>1993</v>
      </c>
      <c r="U509" s="8">
        <f t="shared" si="57"/>
        <v>29</v>
      </c>
      <c r="V509" s="7">
        <v>34243</v>
      </c>
      <c r="W509" t="s">
        <v>548</v>
      </c>
      <c r="X509" s="2">
        <v>1.3720000000000001</v>
      </c>
      <c r="Y509" s="6">
        <f t="shared" si="62"/>
        <v>3.662475641333654E-2</v>
      </c>
      <c r="AA509">
        <v>189480</v>
      </c>
      <c r="AB509">
        <v>17366</v>
      </c>
      <c r="AC509">
        <v>15579670</v>
      </c>
      <c r="AD509" t="s">
        <v>5</v>
      </c>
      <c r="AE509">
        <v>41</v>
      </c>
      <c r="AF509">
        <v>10</v>
      </c>
      <c r="AH509" t="s">
        <v>7296</v>
      </c>
      <c r="AI509" t="s">
        <v>7295</v>
      </c>
      <c r="AK509" t="s">
        <v>7294</v>
      </c>
      <c r="AL509">
        <v>71</v>
      </c>
      <c r="AM509" s="5">
        <f t="shared" si="58"/>
        <v>2.4482758620689653</v>
      </c>
      <c r="AN509" s="4">
        <f t="shared" si="63"/>
        <v>3.7081042969617042E-3</v>
      </c>
      <c r="AO509" s="3"/>
      <c r="AP509">
        <v>0</v>
      </c>
      <c r="AR509" t="s">
        <v>7293</v>
      </c>
      <c r="AT509" s="2" t="s">
        <v>0</v>
      </c>
      <c r="AU509" s="1">
        <f t="shared" si="59"/>
        <v>2.6749760778424085</v>
      </c>
      <c r="AV509" s="1">
        <f t="shared" si="60"/>
        <v>2.0166430355149121</v>
      </c>
      <c r="AW509" s="1">
        <f t="shared" si="61"/>
        <v>1.3583099931874156</v>
      </c>
    </row>
    <row r="510" spans="1:49" x14ac:dyDescent="0.2">
      <c r="A510">
        <v>508</v>
      </c>
      <c r="B510" t="s">
        <v>7292</v>
      </c>
      <c r="C510" t="s">
        <v>7291</v>
      </c>
      <c r="F510" t="s">
        <v>7290</v>
      </c>
      <c r="G510" t="s">
        <v>15</v>
      </c>
      <c r="H510" t="s">
        <v>14</v>
      </c>
      <c r="I510" t="s">
        <v>7289</v>
      </c>
      <c r="J510" t="s">
        <v>7288</v>
      </c>
      <c r="K510" t="s">
        <v>7287</v>
      </c>
      <c r="L510" t="s">
        <v>7286</v>
      </c>
      <c r="M510" t="s">
        <v>219</v>
      </c>
      <c r="N510">
        <v>5</v>
      </c>
      <c r="O510" t="s">
        <v>7285</v>
      </c>
      <c r="P510" t="s">
        <v>7284</v>
      </c>
      <c r="Q510" t="s">
        <v>7283</v>
      </c>
      <c r="R510" s="7">
        <v>33970</v>
      </c>
      <c r="S510" s="8">
        <f t="shared" si="56"/>
        <v>1993</v>
      </c>
      <c r="T510" s="8">
        <v>1993</v>
      </c>
      <c r="U510" s="8">
        <f t="shared" si="57"/>
        <v>29</v>
      </c>
      <c r="V510" s="7">
        <v>34243</v>
      </c>
      <c r="W510" t="s">
        <v>548</v>
      </c>
      <c r="X510" s="2">
        <v>1.3720000000000001</v>
      </c>
      <c r="Y510" s="6">
        <f t="shared" si="62"/>
        <v>3.662475641333654E-2</v>
      </c>
      <c r="AA510">
        <v>189480</v>
      </c>
      <c r="AB510">
        <v>17366</v>
      </c>
      <c r="AC510">
        <v>15579670</v>
      </c>
      <c r="AD510" t="s">
        <v>5</v>
      </c>
      <c r="AE510">
        <v>41</v>
      </c>
      <c r="AF510">
        <v>10</v>
      </c>
      <c r="AH510" t="s">
        <v>7282</v>
      </c>
      <c r="AI510" t="s">
        <v>7281</v>
      </c>
      <c r="AK510" t="s">
        <v>7280</v>
      </c>
      <c r="AL510">
        <v>52</v>
      </c>
      <c r="AM510" s="5">
        <f t="shared" si="58"/>
        <v>1.7931034482758621</v>
      </c>
      <c r="AN510" s="4">
        <f t="shared" si="63"/>
        <v>2.7157946963663189E-3</v>
      </c>
      <c r="AO510" s="3"/>
      <c r="AP510">
        <v>0</v>
      </c>
      <c r="AQ510" t="s">
        <v>761</v>
      </c>
      <c r="AR510" t="s">
        <v>7279</v>
      </c>
      <c r="AS510" t="s">
        <v>759</v>
      </c>
      <c r="AT510" s="2" t="s">
        <v>0</v>
      </c>
      <c r="AU510" s="1">
        <f t="shared" si="59"/>
        <v>2.645206789824547</v>
      </c>
      <c r="AV510" s="1">
        <f t="shared" si="60"/>
        <v>1.9670275554851431</v>
      </c>
      <c r="AW510" s="1">
        <f t="shared" si="61"/>
        <v>1.2888483211457387</v>
      </c>
    </row>
    <row r="511" spans="1:49" x14ac:dyDescent="0.2">
      <c r="A511">
        <v>509</v>
      </c>
      <c r="B511" t="s">
        <v>7278</v>
      </c>
      <c r="C511" t="s">
        <v>7277</v>
      </c>
      <c r="F511" t="s">
        <v>7276</v>
      </c>
      <c r="G511" t="s">
        <v>15</v>
      </c>
      <c r="H511" t="s">
        <v>14</v>
      </c>
      <c r="I511" t="s">
        <v>7275</v>
      </c>
      <c r="J511">
        <v>60025778</v>
      </c>
      <c r="K511" t="s">
        <v>3404</v>
      </c>
      <c r="L511" t="s">
        <v>1317</v>
      </c>
      <c r="M511" t="s">
        <v>10</v>
      </c>
      <c r="N511">
        <v>6</v>
      </c>
      <c r="O511" t="s">
        <v>7274</v>
      </c>
      <c r="P511" t="s">
        <v>7273</v>
      </c>
      <c r="Q511" t="s">
        <v>7272</v>
      </c>
      <c r="R511" s="7">
        <v>33970</v>
      </c>
      <c r="S511" s="8">
        <f t="shared" si="56"/>
        <v>1993</v>
      </c>
      <c r="T511" s="8">
        <v>1993</v>
      </c>
      <c r="U511" s="8">
        <f t="shared" si="57"/>
        <v>29</v>
      </c>
      <c r="V511" s="7">
        <v>1993</v>
      </c>
      <c r="W511" t="s">
        <v>299</v>
      </c>
      <c r="X511" s="2">
        <v>0.88100000000000001</v>
      </c>
      <c r="Y511" s="6">
        <f t="shared" si="62"/>
        <v>2.3517791836843653E-2</v>
      </c>
      <c r="AA511">
        <v>10459243</v>
      </c>
      <c r="AB511">
        <v>17248</v>
      </c>
      <c r="AD511" t="s">
        <v>5</v>
      </c>
      <c r="AE511">
        <v>35</v>
      </c>
      <c r="AF511">
        <v>5</v>
      </c>
      <c r="AH511" s="10">
        <v>42979</v>
      </c>
      <c r="AI511" t="s">
        <v>7271</v>
      </c>
      <c r="AK511" t="s">
        <v>7270</v>
      </c>
      <c r="AL511">
        <v>44</v>
      </c>
      <c r="AM511" s="5">
        <f t="shared" si="58"/>
        <v>1.5172413793103448</v>
      </c>
      <c r="AN511" s="4">
        <f t="shared" si="63"/>
        <v>2.2979801276945774E-3</v>
      </c>
      <c r="AO511" s="3"/>
      <c r="AP511">
        <v>0</v>
      </c>
      <c r="AQ511" t="s">
        <v>761</v>
      </c>
      <c r="AR511" t="s">
        <v>1</v>
      </c>
      <c r="AS511" t="s">
        <v>759</v>
      </c>
      <c r="AT511" s="2" t="s">
        <v>0</v>
      </c>
      <c r="AU511" s="1">
        <f t="shared" si="59"/>
        <v>1.7151848324098928</v>
      </c>
      <c r="AV511" s="1">
        <f t="shared" si="60"/>
        <v>1.2907885982269116</v>
      </c>
      <c r="AW511" s="1">
        <f t="shared" si="61"/>
        <v>0.86639236404392994</v>
      </c>
    </row>
    <row r="512" spans="1:49" x14ac:dyDescent="0.2">
      <c r="A512">
        <v>510</v>
      </c>
      <c r="B512" t="s">
        <v>7269</v>
      </c>
      <c r="C512" t="s">
        <v>7268</v>
      </c>
      <c r="F512" t="s">
        <v>7267</v>
      </c>
      <c r="G512" t="s">
        <v>15</v>
      </c>
      <c r="H512" t="s">
        <v>14</v>
      </c>
      <c r="I512" t="s">
        <v>7266</v>
      </c>
      <c r="J512">
        <v>60022109</v>
      </c>
      <c r="K512" t="s">
        <v>4708</v>
      </c>
      <c r="L512" t="s">
        <v>3718</v>
      </c>
      <c r="M512" t="s">
        <v>493</v>
      </c>
      <c r="N512">
        <v>2</v>
      </c>
      <c r="O512" t="s">
        <v>7265</v>
      </c>
      <c r="P512" t="s">
        <v>7264</v>
      </c>
      <c r="Q512" t="s">
        <v>4705</v>
      </c>
      <c r="R512" s="7">
        <v>33970</v>
      </c>
      <c r="S512" s="8">
        <f t="shared" si="56"/>
        <v>1993</v>
      </c>
      <c r="T512" s="8">
        <v>1993</v>
      </c>
      <c r="U512" s="8">
        <f t="shared" si="57"/>
        <v>29</v>
      </c>
      <c r="V512" s="7">
        <v>34243</v>
      </c>
      <c r="W512" t="s">
        <v>548</v>
      </c>
      <c r="X512" s="2">
        <v>1.3720000000000001</v>
      </c>
      <c r="Y512" s="6">
        <f t="shared" si="62"/>
        <v>3.662475641333654E-2</v>
      </c>
      <c r="AA512">
        <v>189480</v>
      </c>
      <c r="AB512">
        <v>17366</v>
      </c>
      <c r="AC512">
        <v>15579670</v>
      </c>
      <c r="AD512" t="s">
        <v>5</v>
      </c>
      <c r="AE512">
        <v>41</v>
      </c>
      <c r="AF512">
        <v>10</v>
      </c>
      <c r="AH512" t="s">
        <v>7263</v>
      </c>
      <c r="AI512" t="s">
        <v>7262</v>
      </c>
      <c r="AK512" t="s">
        <v>7261</v>
      </c>
      <c r="AL512">
        <v>51</v>
      </c>
      <c r="AM512" s="5">
        <f t="shared" si="58"/>
        <v>1.7586206896551724</v>
      </c>
      <c r="AN512" s="4">
        <f t="shared" si="63"/>
        <v>2.6635678752823513E-3</v>
      </c>
      <c r="AO512" s="3"/>
      <c r="AP512">
        <v>0</v>
      </c>
      <c r="AR512" t="s">
        <v>1</v>
      </c>
      <c r="AT512" s="2" t="s">
        <v>0</v>
      </c>
      <c r="AU512" s="1">
        <f t="shared" si="59"/>
        <v>2.6436399851920278</v>
      </c>
      <c r="AV512" s="1">
        <f t="shared" si="60"/>
        <v>1.9644162144309445</v>
      </c>
      <c r="AW512" s="1">
        <f t="shared" si="61"/>
        <v>1.2851924436698607</v>
      </c>
    </row>
    <row r="513" spans="1:49" x14ac:dyDescent="0.2">
      <c r="A513">
        <v>511</v>
      </c>
      <c r="B513" t="s">
        <v>7260</v>
      </c>
      <c r="C513" t="s">
        <v>7259</v>
      </c>
      <c r="D513" t="s">
        <v>7258</v>
      </c>
      <c r="F513" t="s">
        <v>7257</v>
      </c>
      <c r="G513" t="s">
        <v>15</v>
      </c>
      <c r="H513" t="s">
        <v>14</v>
      </c>
      <c r="I513" t="s">
        <v>7256</v>
      </c>
      <c r="J513">
        <v>60023462</v>
      </c>
      <c r="K513" t="s">
        <v>7255</v>
      </c>
      <c r="L513" t="s">
        <v>151</v>
      </c>
      <c r="M513" t="s">
        <v>150</v>
      </c>
      <c r="N513">
        <v>2</v>
      </c>
      <c r="O513" t="s">
        <v>7254</v>
      </c>
      <c r="P513" t="s">
        <v>7253</v>
      </c>
      <c r="Q513" t="s">
        <v>7252</v>
      </c>
      <c r="R513" s="7">
        <v>33970</v>
      </c>
      <c r="S513" s="8">
        <f t="shared" ref="S513:S576" si="64">YEAR(R513)</f>
        <v>1993</v>
      </c>
      <c r="T513" s="8">
        <v>1993</v>
      </c>
      <c r="U513" s="8">
        <f t="shared" ref="U513:U576" si="65">2022-T513</f>
        <v>29</v>
      </c>
      <c r="V513" s="7">
        <v>34243</v>
      </c>
      <c r="W513" t="s">
        <v>7251</v>
      </c>
      <c r="X513" s="2">
        <v>0.96</v>
      </c>
      <c r="Y513" s="6">
        <f t="shared" si="62"/>
        <v>2.5626651717786497E-2</v>
      </c>
      <c r="AA513" t="s">
        <v>7250</v>
      </c>
      <c r="AB513">
        <v>18189</v>
      </c>
      <c r="AD513" t="s">
        <v>5</v>
      </c>
      <c r="AE513">
        <v>14</v>
      </c>
      <c r="AF513" s="9">
        <v>44257</v>
      </c>
      <c r="AH513" t="s">
        <v>7249</v>
      </c>
      <c r="AI513" t="s">
        <v>7248</v>
      </c>
      <c r="AK513" t="s">
        <v>7247</v>
      </c>
      <c r="AL513">
        <v>5</v>
      </c>
      <c r="AM513" s="5">
        <f t="shared" ref="AM513:AM576" si="66">AL513/U513</f>
        <v>0.17241379310344829</v>
      </c>
      <c r="AN513" s="4">
        <f t="shared" si="63"/>
        <v>2.6113410541983838E-4</v>
      </c>
      <c r="AO513" s="3"/>
      <c r="AP513">
        <v>0</v>
      </c>
      <c r="AR513" t="s">
        <v>1</v>
      </c>
      <c r="AT513" s="2">
        <v>2.972</v>
      </c>
      <c r="AU513" s="1">
        <f t="shared" ref="AU513:AU576" si="67">(Y513*0.7+AN513*0.3)*100</f>
        <v>1.8016996434076498</v>
      </c>
      <c r="AV513" s="1">
        <f t="shared" ref="AV513:AV576" si="68">(Y513*0.5+AN513*0.5)*100</f>
        <v>1.2943892911603168</v>
      </c>
      <c r="AW513" s="1">
        <f t="shared" ref="AW513:AW576" si="69">(Y513*0.3+AN513*0.7)*100</f>
        <v>0.78707893891298353</v>
      </c>
    </row>
    <row r="514" spans="1:49" x14ac:dyDescent="0.2">
      <c r="A514">
        <v>512</v>
      </c>
      <c r="B514" t="s">
        <v>7246</v>
      </c>
      <c r="C514" t="s">
        <v>7245</v>
      </c>
      <c r="F514" t="s">
        <v>7244</v>
      </c>
      <c r="G514" t="s">
        <v>15</v>
      </c>
      <c r="H514" t="s">
        <v>14</v>
      </c>
      <c r="I514" t="s">
        <v>7243</v>
      </c>
      <c r="J514" t="s">
        <v>7242</v>
      </c>
      <c r="K514" t="s">
        <v>7241</v>
      </c>
      <c r="L514" t="s">
        <v>7240</v>
      </c>
      <c r="M514" t="s">
        <v>219</v>
      </c>
      <c r="N514">
        <v>3</v>
      </c>
      <c r="O514" t="s">
        <v>7239</v>
      </c>
      <c r="P514" t="s">
        <v>7238</v>
      </c>
      <c r="Q514" t="s">
        <v>7237</v>
      </c>
      <c r="R514" s="7">
        <v>33970</v>
      </c>
      <c r="S514" s="8">
        <f t="shared" si="64"/>
        <v>1993</v>
      </c>
      <c r="T514" s="8">
        <v>1993</v>
      </c>
      <c r="U514" s="8">
        <f t="shared" si="65"/>
        <v>29</v>
      </c>
      <c r="V514" s="7">
        <v>34243</v>
      </c>
      <c r="W514" t="s">
        <v>7236</v>
      </c>
      <c r="X514" s="2">
        <v>2.5710000000000002</v>
      </c>
      <c r="Y514" s="6">
        <f t="shared" ref="Y514:Y577" si="70">(X514-$Z$4)/($Z$3-$Z$4)</f>
        <v>6.8631376631696966E-2</v>
      </c>
      <c r="AA514">
        <v>189200</v>
      </c>
      <c r="AB514">
        <v>17278</v>
      </c>
      <c r="AC514" t="s">
        <v>7235</v>
      </c>
      <c r="AD514" t="s">
        <v>5</v>
      </c>
      <c r="AE514">
        <v>28</v>
      </c>
      <c r="AF514">
        <v>10</v>
      </c>
      <c r="AH514" t="s">
        <v>7234</v>
      </c>
      <c r="AI514" t="s">
        <v>7233</v>
      </c>
      <c r="AK514" t="s">
        <v>7232</v>
      </c>
      <c r="AL514">
        <v>2</v>
      </c>
      <c r="AM514" s="5">
        <f t="shared" si="66"/>
        <v>6.8965517241379309E-2</v>
      </c>
      <c r="AN514" s="4">
        <f t="shared" ref="AN514:AN577" si="71">(AM514-$AO$4)/($AO$3-$AO$4)</f>
        <v>1.0445364216793535E-4</v>
      </c>
      <c r="AO514" s="3"/>
      <c r="AP514">
        <v>0</v>
      </c>
      <c r="AQ514" t="s">
        <v>639</v>
      </c>
      <c r="AR514" t="s">
        <v>1</v>
      </c>
      <c r="AS514" t="s">
        <v>638</v>
      </c>
      <c r="AT514" s="2">
        <v>5.0129999999999999</v>
      </c>
      <c r="AU514" s="1">
        <f t="shared" si="67"/>
        <v>4.8073299734838253</v>
      </c>
      <c r="AV514" s="1">
        <f t="shared" si="68"/>
        <v>3.4367915136932452</v>
      </c>
      <c r="AW514" s="1">
        <f t="shared" si="69"/>
        <v>2.0662530539026647</v>
      </c>
    </row>
    <row r="515" spans="1:49" x14ac:dyDescent="0.2">
      <c r="A515">
        <v>513</v>
      </c>
      <c r="B515" t="s">
        <v>7231</v>
      </c>
      <c r="C515" t="s">
        <v>7230</v>
      </c>
      <c r="F515" t="s">
        <v>7229</v>
      </c>
      <c r="G515" t="s">
        <v>15</v>
      </c>
      <c r="H515" t="s">
        <v>14</v>
      </c>
      <c r="I515" t="s">
        <v>7228</v>
      </c>
      <c r="J515">
        <v>60025965</v>
      </c>
      <c r="K515" t="s">
        <v>7227</v>
      </c>
      <c r="L515" t="s">
        <v>7226</v>
      </c>
      <c r="M515" t="s">
        <v>2423</v>
      </c>
      <c r="N515">
        <v>1</v>
      </c>
      <c r="O515" t="s">
        <v>7225</v>
      </c>
      <c r="P515">
        <v>6602189650</v>
      </c>
      <c r="Q515">
        <v>60025965</v>
      </c>
      <c r="R515" s="7">
        <v>33970</v>
      </c>
      <c r="S515" s="8">
        <f t="shared" si="64"/>
        <v>1993</v>
      </c>
      <c r="T515" s="8">
        <v>1993</v>
      </c>
      <c r="U515" s="8">
        <f t="shared" si="65"/>
        <v>29</v>
      </c>
      <c r="V515" s="7">
        <v>34243</v>
      </c>
      <c r="W515" t="s">
        <v>7224</v>
      </c>
      <c r="X515" s="2" t="s">
        <v>0</v>
      </c>
      <c r="Y515" s="6" t="e">
        <f t="shared" si="70"/>
        <v>#VALUE!</v>
      </c>
      <c r="AA515">
        <v>10698299</v>
      </c>
      <c r="AB515">
        <v>25808</v>
      </c>
      <c r="AC515">
        <v>10990887</v>
      </c>
      <c r="AD515" t="s">
        <v>5</v>
      </c>
      <c r="AE515">
        <v>9</v>
      </c>
      <c r="AF515">
        <v>10</v>
      </c>
      <c r="AH515" t="s">
        <v>7223</v>
      </c>
      <c r="AI515" t="s">
        <v>7222</v>
      </c>
      <c r="AK515" t="s">
        <v>7221</v>
      </c>
      <c r="AL515">
        <v>4</v>
      </c>
      <c r="AM515" s="5">
        <f t="shared" si="66"/>
        <v>0.13793103448275862</v>
      </c>
      <c r="AN515" s="4">
        <f t="shared" si="71"/>
        <v>2.089072843358707E-4</v>
      </c>
      <c r="AO515" s="3"/>
      <c r="AP515">
        <v>0</v>
      </c>
      <c r="AR515" t="s">
        <v>1</v>
      </c>
      <c r="AT515" s="2" t="s">
        <v>0</v>
      </c>
      <c r="AU515" s="1" t="e">
        <f t="shared" si="67"/>
        <v>#VALUE!</v>
      </c>
      <c r="AV515" s="1" t="e">
        <f t="shared" si="68"/>
        <v>#VALUE!</v>
      </c>
      <c r="AW515" s="1" t="e">
        <f t="shared" si="69"/>
        <v>#VALUE!</v>
      </c>
    </row>
    <row r="516" spans="1:49" x14ac:dyDescent="0.2">
      <c r="A516">
        <v>514</v>
      </c>
      <c r="B516" t="s">
        <v>7220</v>
      </c>
      <c r="C516" t="s">
        <v>7219</v>
      </c>
      <c r="F516" t="s">
        <v>7218</v>
      </c>
      <c r="G516" t="s">
        <v>15</v>
      </c>
      <c r="H516" t="s">
        <v>14</v>
      </c>
      <c r="I516" t="s">
        <v>7217</v>
      </c>
      <c r="J516">
        <v>60032882</v>
      </c>
      <c r="K516" t="s">
        <v>4404</v>
      </c>
      <c r="L516" t="s">
        <v>4403</v>
      </c>
      <c r="M516" t="s">
        <v>721</v>
      </c>
      <c r="N516">
        <v>3</v>
      </c>
      <c r="O516" t="s">
        <v>7216</v>
      </c>
      <c r="P516" t="s">
        <v>7215</v>
      </c>
      <c r="Q516" t="s">
        <v>7214</v>
      </c>
      <c r="R516" s="7">
        <v>33970</v>
      </c>
      <c r="S516" s="8">
        <f t="shared" si="64"/>
        <v>1993</v>
      </c>
      <c r="T516" s="8">
        <v>1993</v>
      </c>
      <c r="U516" s="8">
        <f t="shared" si="65"/>
        <v>29</v>
      </c>
      <c r="V516" s="7">
        <v>34243</v>
      </c>
      <c r="W516" t="s">
        <v>2382</v>
      </c>
      <c r="X516" s="2">
        <v>0.30399999999999999</v>
      </c>
      <c r="Y516" s="6">
        <f t="shared" si="70"/>
        <v>8.115106377299057E-3</v>
      </c>
      <c r="AA516">
        <v>8952477</v>
      </c>
      <c r="AB516">
        <v>12250</v>
      </c>
      <c r="AC516">
        <v>10982760</v>
      </c>
      <c r="AD516" t="s">
        <v>5</v>
      </c>
      <c r="AE516">
        <v>6</v>
      </c>
      <c r="AF516">
        <v>13</v>
      </c>
      <c r="AH516" t="s">
        <v>7213</v>
      </c>
      <c r="AI516" t="s">
        <v>7212</v>
      </c>
      <c r="AJ516" t="s">
        <v>7211</v>
      </c>
      <c r="AK516" t="s">
        <v>7210</v>
      </c>
      <c r="AL516">
        <v>15</v>
      </c>
      <c r="AM516" s="5">
        <f t="shared" si="66"/>
        <v>0.51724137931034486</v>
      </c>
      <c r="AN516" s="4">
        <f t="shared" si="71"/>
        <v>7.834023162595151E-4</v>
      </c>
      <c r="AO516" s="3"/>
      <c r="AP516">
        <v>0</v>
      </c>
      <c r="AR516" t="s">
        <v>1</v>
      </c>
      <c r="AT516" s="2" t="s">
        <v>0</v>
      </c>
      <c r="AU516" s="1">
        <f t="shared" si="67"/>
        <v>0.59155951589871947</v>
      </c>
      <c r="AV516" s="1">
        <f t="shared" si="68"/>
        <v>0.44492543467792867</v>
      </c>
      <c r="AW516" s="1">
        <f t="shared" si="69"/>
        <v>0.29829135345713781</v>
      </c>
    </row>
    <row r="517" spans="1:49" x14ac:dyDescent="0.2">
      <c r="A517">
        <v>515</v>
      </c>
      <c r="B517" t="s">
        <v>7209</v>
      </c>
      <c r="C517" t="s">
        <v>7208</v>
      </c>
      <c r="F517" t="s">
        <v>7207</v>
      </c>
      <c r="G517" t="s">
        <v>15</v>
      </c>
      <c r="H517" t="s">
        <v>14</v>
      </c>
      <c r="I517" t="s">
        <v>7206</v>
      </c>
      <c r="J517">
        <v>60020547</v>
      </c>
      <c r="K517" t="s">
        <v>3199</v>
      </c>
      <c r="L517" t="s">
        <v>3198</v>
      </c>
      <c r="M517" t="s">
        <v>10</v>
      </c>
      <c r="N517">
        <v>1</v>
      </c>
      <c r="O517" t="s">
        <v>7205</v>
      </c>
      <c r="P517">
        <v>7004961387</v>
      </c>
      <c r="Q517">
        <v>60020547</v>
      </c>
      <c r="R517" s="7">
        <v>33970</v>
      </c>
      <c r="S517" s="8">
        <f t="shared" si="64"/>
        <v>1993</v>
      </c>
      <c r="T517" s="8">
        <v>1993</v>
      </c>
      <c r="U517" s="8">
        <f t="shared" si="65"/>
        <v>29</v>
      </c>
      <c r="V517" s="7">
        <v>34243</v>
      </c>
      <c r="W517" t="s">
        <v>1284</v>
      </c>
      <c r="X517" s="2">
        <v>0.33500000000000002</v>
      </c>
      <c r="Y517" s="6">
        <f t="shared" si="70"/>
        <v>8.94263367235258E-3</v>
      </c>
      <c r="AA517">
        <v>10501827</v>
      </c>
      <c r="AB517">
        <v>78233</v>
      </c>
      <c r="AC517">
        <v>15226301</v>
      </c>
      <c r="AD517" t="s">
        <v>5</v>
      </c>
      <c r="AE517">
        <v>3</v>
      </c>
      <c r="AF517">
        <v>4</v>
      </c>
      <c r="AH517" t="s">
        <v>7204</v>
      </c>
      <c r="AI517" t="s">
        <v>7203</v>
      </c>
      <c r="AK517" t="s">
        <v>7202</v>
      </c>
      <c r="AL517">
        <v>7</v>
      </c>
      <c r="AM517" s="5">
        <f t="shared" si="66"/>
        <v>0.2413793103448276</v>
      </c>
      <c r="AN517" s="4">
        <f t="shared" si="71"/>
        <v>3.655877475877737E-4</v>
      </c>
      <c r="AO517" s="3"/>
      <c r="AP517">
        <v>0</v>
      </c>
      <c r="AR517" t="s">
        <v>1</v>
      </c>
      <c r="AT517" s="2" t="s">
        <v>0</v>
      </c>
      <c r="AU517" s="1">
        <f t="shared" si="67"/>
        <v>0.6369519894923138</v>
      </c>
      <c r="AV517" s="1">
        <f t="shared" si="68"/>
        <v>0.46541107099701767</v>
      </c>
      <c r="AW517" s="1">
        <f t="shared" si="69"/>
        <v>0.29387015250172155</v>
      </c>
    </row>
    <row r="518" spans="1:49" x14ac:dyDescent="0.2">
      <c r="A518">
        <v>516</v>
      </c>
      <c r="B518" t="s">
        <v>7201</v>
      </c>
      <c r="C518" t="s">
        <v>7200</v>
      </c>
      <c r="F518" t="s">
        <v>7199</v>
      </c>
      <c r="G518" t="s">
        <v>15</v>
      </c>
      <c r="H518" t="s">
        <v>14</v>
      </c>
      <c r="I518" t="s">
        <v>7198</v>
      </c>
      <c r="J518">
        <v>60005429</v>
      </c>
      <c r="K518" t="s">
        <v>2412</v>
      </c>
      <c r="L518" t="s">
        <v>2411</v>
      </c>
      <c r="M518" t="s">
        <v>1909</v>
      </c>
      <c r="N518">
        <v>3</v>
      </c>
      <c r="O518" t="s">
        <v>7197</v>
      </c>
      <c r="P518" t="s">
        <v>7196</v>
      </c>
      <c r="Q518" t="s">
        <v>2408</v>
      </c>
      <c r="R518" s="7">
        <v>33970</v>
      </c>
      <c r="S518" s="8">
        <f t="shared" si="64"/>
        <v>1993</v>
      </c>
      <c r="T518" s="8">
        <v>1993</v>
      </c>
      <c r="U518" s="8">
        <f t="shared" si="65"/>
        <v>29</v>
      </c>
      <c r="V518" s="7">
        <v>34243</v>
      </c>
      <c r="W518" t="s">
        <v>814</v>
      </c>
      <c r="X518" s="2">
        <v>1.6519999999999999</v>
      </c>
      <c r="Y518" s="6">
        <f t="shared" si="70"/>
        <v>4.409919649769093E-2</v>
      </c>
      <c r="AA518" t="s">
        <v>813</v>
      </c>
      <c r="AB518">
        <v>17337</v>
      </c>
      <c r="AC518">
        <v>15582221</v>
      </c>
      <c r="AD518" t="s">
        <v>5</v>
      </c>
      <c r="AE518">
        <v>41</v>
      </c>
      <c r="AF518">
        <v>10</v>
      </c>
      <c r="AH518" t="s">
        <v>7195</v>
      </c>
      <c r="AI518" t="s">
        <v>7194</v>
      </c>
      <c r="AK518" t="s">
        <v>7193</v>
      </c>
      <c r="AL518">
        <v>11</v>
      </c>
      <c r="AM518" s="5">
        <f t="shared" si="66"/>
        <v>0.37931034482758619</v>
      </c>
      <c r="AN518" s="4">
        <f t="shared" si="71"/>
        <v>5.7449503192364435E-4</v>
      </c>
      <c r="AO518" s="3"/>
      <c r="AP518">
        <v>0</v>
      </c>
      <c r="AR518" t="s">
        <v>7192</v>
      </c>
      <c r="AT518" s="2" t="s">
        <v>0</v>
      </c>
      <c r="AU518" s="1">
        <f t="shared" si="67"/>
        <v>3.1041786057960743</v>
      </c>
      <c r="AV518" s="1">
        <f t="shared" si="68"/>
        <v>2.2336845764807287</v>
      </c>
      <c r="AW518" s="1">
        <f t="shared" si="69"/>
        <v>1.3631905471653829</v>
      </c>
    </row>
    <row r="519" spans="1:49" x14ac:dyDescent="0.2">
      <c r="A519">
        <v>517</v>
      </c>
      <c r="B519" t="s">
        <v>7191</v>
      </c>
      <c r="C519" t="s">
        <v>7190</v>
      </c>
      <c r="F519" t="s">
        <v>7189</v>
      </c>
      <c r="G519" t="s">
        <v>15</v>
      </c>
      <c r="H519" t="s">
        <v>14</v>
      </c>
      <c r="I519" t="s">
        <v>4059</v>
      </c>
      <c r="J519">
        <v>60003217</v>
      </c>
      <c r="K519" t="s">
        <v>4058</v>
      </c>
      <c r="L519" t="s">
        <v>4057</v>
      </c>
      <c r="M519" t="s">
        <v>3993</v>
      </c>
      <c r="N519">
        <v>1</v>
      </c>
      <c r="O519" t="s">
        <v>7188</v>
      </c>
      <c r="P519">
        <v>7005087231</v>
      </c>
      <c r="Q519">
        <v>60003217</v>
      </c>
      <c r="R519" s="7">
        <v>33970</v>
      </c>
      <c r="S519" s="8">
        <f t="shared" si="64"/>
        <v>1993</v>
      </c>
      <c r="T519" s="8">
        <v>1993</v>
      </c>
      <c r="U519" s="8">
        <f t="shared" si="65"/>
        <v>29</v>
      </c>
      <c r="V519" s="7">
        <v>34243</v>
      </c>
      <c r="W519" t="s">
        <v>3890</v>
      </c>
      <c r="X519" s="2">
        <v>0.251</v>
      </c>
      <c r="Y519" s="6">
        <f t="shared" si="70"/>
        <v>6.7003016470462617E-3</v>
      </c>
      <c r="AA519">
        <v>207217</v>
      </c>
      <c r="AB519">
        <v>26145</v>
      </c>
      <c r="AC519">
        <v>13623060</v>
      </c>
      <c r="AD519" t="s">
        <v>5</v>
      </c>
      <c r="AE519">
        <v>75</v>
      </c>
      <c r="AF519">
        <v>4</v>
      </c>
      <c r="AH519" t="s">
        <v>7187</v>
      </c>
      <c r="AI519" t="s">
        <v>7186</v>
      </c>
      <c r="AK519" t="s">
        <v>7185</v>
      </c>
      <c r="AL519">
        <v>31</v>
      </c>
      <c r="AM519" s="5">
        <f t="shared" si="66"/>
        <v>1.0689655172413792</v>
      </c>
      <c r="AN519" s="4">
        <f t="shared" si="71"/>
        <v>1.6190314536029978E-3</v>
      </c>
      <c r="AO519" s="3"/>
      <c r="AP519">
        <v>0</v>
      </c>
      <c r="AR519" t="s">
        <v>1</v>
      </c>
      <c r="AT519" s="2">
        <v>1.3360000000000001</v>
      </c>
      <c r="AU519" s="1">
        <f t="shared" si="67"/>
        <v>0.5175920589013282</v>
      </c>
      <c r="AV519" s="1">
        <f t="shared" si="68"/>
        <v>0.415966655032463</v>
      </c>
      <c r="AW519" s="1">
        <f t="shared" si="69"/>
        <v>0.31434125116359768</v>
      </c>
    </row>
    <row r="520" spans="1:49" x14ac:dyDescent="0.2">
      <c r="A520">
        <v>518</v>
      </c>
      <c r="B520" t="s">
        <v>7184</v>
      </c>
      <c r="C520" t="s">
        <v>7183</v>
      </c>
      <c r="F520" t="s">
        <v>7182</v>
      </c>
      <c r="G520" t="s">
        <v>15</v>
      </c>
      <c r="H520" t="s">
        <v>14</v>
      </c>
      <c r="I520" t="s">
        <v>7181</v>
      </c>
      <c r="J520" t="s">
        <v>7180</v>
      </c>
      <c r="K520" t="s">
        <v>7179</v>
      </c>
      <c r="L520" t="s">
        <v>7178</v>
      </c>
      <c r="M520" t="s">
        <v>7177</v>
      </c>
      <c r="N520">
        <v>1</v>
      </c>
      <c r="O520" t="s">
        <v>7176</v>
      </c>
      <c r="P520">
        <v>6602569072</v>
      </c>
      <c r="Q520" t="s">
        <v>7175</v>
      </c>
      <c r="R520" s="7">
        <v>33970</v>
      </c>
      <c r="S520" s="8">
        <f t="shared" si="64"/>
        <v>1993</v>
      </c>
      <c r="T520" s="8">
        <v>1993</v>
      </c>
      <c r="U520" s="8">
        <f t="shared" si="65"/>
        <v>29</v>
      </c>
      <c r="V520" s="7">
        <v>34243</v>
      </c>
      <c r="W520" t="s">
        <v>587</v>
      </c>
      <c r="X520" s="2">
        <v>1.137</v>
      </c>
      <c r="Y520" s="6">
        <f t="shared" si="70"/>
        <v>3.0351565628253384E-2</v>
      </c>
      <c r="AA520">
        <v>189251</v>
      </c>
      <c r="AB520">
        <v>17336</v>
      </c>
      <c r="AD520" t="s">
        <v>5</v>
      </c>
      <c r="AE520">
        <v>29</v>
      </c>
      <c r="AF520">
        <v>4</v>
      </c>
      <c r="AH520" t="s">
        <v>7174</v>
      </c>
      <c r="AL520">
        <v>0</v>
      </c>
      <c r="AM520" s="5">
        <f t="shared" si="66"/>
        <v>0</v>
      </c>
      <c r="AN520" s="4">
        <f t="shared" si="71"/>
        <v>0</v>
      </c>
      <c r="AO520" s="3"/>
      <c r="AP520">
        <v>0</v>
      </c>
      <c r="AQ520" t="s">
        <v>5121</v>
      </c>
      <c r="AR520" t="s">
        <v>1</v>
      </c>
      <c r="AS520" t="s">
        <v>5120</v>
      </c>
      <c r="AT520" s="2" t="s">
        <v>0</v>
      </c>
      <c r="AU520" s="1">
        <f t="shared" si="67"/>
        <v>2.1246095939777367</v>
      </c>
      <c r="AV520" s="1">
        <f t="shared" si="68"/>
        <v>1.5175782814126693</v>
      </c>
      <c r="AW520" s="1">
        <f t="shared" si="69"/>
        <v>0.91054696884760156</v>
      </c>
    </row>
    <row r="521" spans="1:49" x14ac:dyDescent="0.2">
      <c r="A521">
        <v>519</v>
      </c>
      <c r="B521" t="s">
        <v>7173</v>
      </c>
      <c r="C521" t="s">
        <v>7172</v>
      </c>
      <c r="F521" t="s">
        <v>7171</v>
      </c>
      <c r="G521" t="s">
        <v>15</v>
      </c>
      <c r="H521" t="s">
        <v>14</v>
      </c>
      <c r="I521" t="s">
        <v>3466</v>
      </c>
      <c r="J521">
        <v>60027550</v>
      </c>
      <c r="K521" t="s">
        <v>1833</v>
      </c>
      <c r="L521" t="s">
        <v>1832</v>
      </c>
      <c r="M521" t="s">
        <v>10</v>
      </c>
      <c r="N521">
        <v>2</v>
      </c>
      <c r="O521" t="s">
        <v>3465</v>
      </c>
      <c r="P521" t="s">
        <v>3464</v>
      </c>
      <c r="Q521" t="s">
        <v>3332</v>
      </c>
      <c r="R521" s="7">
        <v>33970</v>
      </c>
      <c r="S521" s="8">
        <f t="shared" si="64"/>
        <v>1993</v>
      </c>
      <c r="T521" s="8">
        <v>1993</v>
      </c>
      <c r="U521" s="8">
        <f t="shared" si="65"/>
        <v>29</v>
      </c>
      <c r="V521" s="7">
        <v>34243</v>
      </c>
      <c r="W521" t="s">
        <v>548</v>
      </c>
      <c r="X521" s="2">
        <v>1.3720000000000001</v>
      </c>
      <c r="Y521" s="6">
        <f t="shared" si="70"/>
        <v>3.662475641333654E-2</v>
      </c>
      <c r="AA521">
        <v>189480</v>
      </c>
      <c r="AB521">
        <v>17366</v>
      </c>
      <c r="AC521">
        <v>15579670</v>
      </c>
      <c r="AD521" t="s">
        <v>5</v>
      </c>
      <c r="AE521">
        <v>41</v>
      </c>
      <c r="AF521">
        <v>10</v>
      </c>
      <c r="AH521" t="s">
        <v>7170</v>
      </c>
      <c r="AI521" t="s">
        <v>7169</v>
      </c>
      <c r="AK521" t="s">
        <v>7168</v>
      </c>
      <c r="AL521">
        <v>33</v>
      </c>
      <c r="AM521" s="5">
        <f t="shared" si="66"/>
        <v>1.1379310344827587</v>
      </c>
      <c r="AN521" s="4">
        <f t="shared" si="71"/>
        <v>1.7234850957709331E-3</v>
      </c>
      <c r="AO521" s="3"/>
      <c r="AP521">
        <v>0</v>
      </c>
      <c r="AR521" t="s">
        <v>1</v>
      </c>
      <c r="AT521" s="2" t="s">
        <v>0</v>
      </c>
      <c r="AU521" s="1">
        <f t="shared" si="67"/>
        <v>2.6154375018066855</v>
      </c>
      <c r="AV521" s="1">
        <f t="shared" si="68"/>
        <v>1.9174120754553734</v>
      </c>
      <c r="AW521" s="1">
        <f t="shared" si="69"/>
        <v>1.2193866491040615</v>
      </c>
    </row>
    <row r="522" spans="1:49" x14ac:dyDescent="0.2">
      <c r="A522">
        <v>520</v>
      </c>
      <c r="B522" t="s">
        <v>7167</v>
      </c>
      <c r="C522" t="s">
        <v>7166</v>
      </c>
      <c r="F522" t="s">
        <v>7165</v>
      </c>
      <c r="G522" t="s">
        <v>15</v>
      </c>
      <c r="H522" t="s">
        <v>14</v>
      </c>
      <c r="I522" t="s">
        <v>7164</v>
      </c>
      <c r="J522">
        <v>60019493</v>
      </c>
      <c r="K522" t="s">
        <v>7163</v>
      </c>
      <c r="L522" t="s">
        <v>164</v>
      </c>
      <c r="M522" t="s">
        <v>10</v>
      </c>
      <c r="N522">
        <v>5</v>
      </c>
      <c r="O522" t="s">
        <v>7162</v>
      </c>
      <c r="P522" t="s">
        <v>7161</v>
      </c>
      <c r="Q522" t="s">
        <v>7160</v>
      </c>
      <c r="R522" s="7">
        <v>33970</v>
      </c>
      <c r="S522" s="8">
        <f t="shared" si="64"/>
        <v>1993</v>
      </c>
      <c r="T522" s="8">
        <v>1993</v>
      </c>
      <c r="U522" s="8">
        <f t="shared" si="65"/>
        <v>29</v>
      </c>
      <c r="V522" s="7">
        <v>34243</v>
      </c>
      <c r="W522" t="s">
        <v>548</v>
      </c>
      <c r="X522" s="2">
        <v>1.3720000000000001</v>
      </c>
      <c r="Y522" s="6">
        <f t="shared" si="70"/>
        <v>3.662475641333654E-2</v>
      </c>
      <c r="AA522">
        <v>189480</v>
      </c>
      <c r="AB522">
        <v>17366</v>
      </c>
      <c r="AC522">
        <v>15579670</v>
      </c>
      <c r="AD522" t="s">
        <v>5</v>
      </c>
      <c r="AE522">
        <v>41</v>
      </c>
      <c r="AF522">
        <v>10</v>
      </c>
      <c r="AH522" t="s">
        <v>7159</v>
      </c>
      <c r="AI522" t="s">
        <v>7158</v>
      </c>
      <c r="AK522" t="s">
        <v>7157</v>
      </c>
      <c r="AL522">
        <v>190</v>
      </c>
      <c r="AM522" s="5">
        <f t="shared" si="66"/>
        <v>6.5517241379310347</v>
      </c>
      <c r="AN522" s="4">
        <f t="shared" si="71"/>
        <v>9.9230960059538582E-3</v>
      </c>
      <c r="AO522" s="3"/>
      <c r="AP522">
        <v>0</v>
      </c>
      <c r="AQ522" t="s">
        <v>761</v>
      </c>
      <c r="AR522" t="s">
        <v>7156</v>
      </c>
      <c r="AS522" t="s">
        <v>759</v>
      </c>
      <c r="AT522" s="2" t="s">
        <v>0</v>
      </c>
      <c r="AU522" s="1">
        <f t="shared" si="67"/>
        <v>2.8614258291121732</v>
      </c>
      <c r="AV522" s="1">
        <f t="shared" si="68"/>
        <v>2.3273926209645199</v>
      </c>
      <c r="AW522" s="1">
        <f t="shared" si="69"/>
        <v>1.7933594128168664</v>
      </c>
    </row>
    <row r="523" spans="1:49" x14ac:dyDescent="0.2">
      <c r="A523">
        <v>521</v>
      </c>
      <c r="B523" t="s">
        <v>7155</v>
      </c>
      <c r="C523" t="s">
        <v>7154</v>
      </c>
      <c r="F523" t="s">
        <v>7153</v>
      </c>
      <c r="G523" t="s">
        <v>15</v>
      </c>
      <c r="H523" t="s">
        <v>14</v>
      </c>
      <c r="I523" t="s">
        <v>7152</v>
      </c>
      <c r="J523">
        <v>101428046</v>
      </c>
      <c r="K523" t="s">
        <v>7151</v>
      </c>
      <c r="L523" t="s">
        <v>7150</v>
      </c>
      <c r="M523" t="s">
        <v>508</v>
      </c>
      <c r="N523">
        <v>1</v>
      </c>
      <c r="O523" t="s">
        <v>7149</v>
      </c>
      <c r="P523">
        <v>57198363884</v>
      </c>
      <c r="Q523">
        <v>101428046</v>
      </c>
      <c r="R523" s="7">
        <v>33970</v>
      </c>
      <c r="S523" s="8">
        <f t="shared" si="64"/>
        <v>1993</v>
      </c>
      <c r="T523" s="8">
        <v>1993</v>
      </c>
      <c r="U523" s="8">
        <f t="shared" si="65"/>
        <v>29</v>
      </c>
      <c r="V523" s="7">
        <v>1993</v>
      </c>
      <c r="W523" t="s">
        <v>299</v>
      </c>
      <c r="X523" s="2">
        <v>0.88100000000000001</v>
      </c>
      <c r="Y523" s="6">
        <f t="shared" si="70"/>
        <v>2.3517791836843653E-2</v>
      </c>
      <c r="AA523">
        <v>10459243</v>
      </c>
      <c r="AB523">
        <v>17248</v>
      </c>
      <c r="AD523" t="s">
        <v>5</v>
      </c>
      <c r="AE523">
        <v>35</v>
      </c>
      <c r="AF523">
        <v>5</v>
      </c>
      <c r="AH523" t="s">
        <v>2405</v>
      </c>
      <c r="AL523">
        <v>0</v>
      </c>
      <c r="AM523" s="5">
        <f t="shared" si="66"/>
        <v>0</v>
      </c>
      <c r="AN523" s="4">
        <f t="shared" si="71"/>
        <v>0</v>
      </c>
      <c r="AO523" s="3"/>
      <c r="AP523">
        <v>0</v>
      </c>
      <c r="AR523" t="s">
        <v>1</v>
      </c>
      <c r="AT523" s="2" t="s">
        <v>0</v>
      </c>
      <c r="AU523" s="1">
        <f t="shared" si="67"/>
        <v>1.6462454285790555</v>
      </c>
      <c r="AV523" s="1">
        <f t="shared" si="68"/>
        <v>1.1758895918421826</v>
      </c>
      <c r="AW523" s="1">
        <f t="shared" si="69"/>
        <v>0.70553375510530958</v>
      </c>
    </row>
    <row r="524" spans="1:49" x14ac:dyDescent="0.2">
      <c r="A524">
        <v>522</v>
      </c>
      <c r="B524" t="s">
        <v>7148</v>
      </c>
      <c r="C524" t="s">
        <v>7147</v>
      </c>
      <c r="F524" t="s">
        <v>7146</v>
      </c>
      <c r="G524" t="s">
        <v>15</v>
      </c>
      <c r="H524" t="s">
        <v>14</v>
      </c>
      <c r="I524" t="s">
        <v>7145</v>
      </c>
      <c r="J524">
        <v>60032144</v>
      </c>
      <c r="K524" t="s">
        <v>1990</v>
      </c>
      <c r="L524" t="s">
        <v>1989</v>
      </c>
      <c r="M524" t="s">
        <v>1988</v>
      </c>
      <c r="N524">
        <v>3</v>
      </c>
      <c r="O524" t="s">
        <v>7144</v>
      </c>
      <c r="P524" t="s">
        <v>7143</v>
      </c>
      <c r="Q524" t="s">
        <v>7142</v>
      </c>
      <c r="R524" s="7">
        <v>33970</v>
      </c>
      <c r="S524" s="8">
        <f t="shared" si="64"/>
        <v>1993</v>
      </c>
      <c r="T524" s="8">
        <v>1993</v>
      </c>
      <c r="U524" s="8">
        <f t="shared" si="65"/>
        <v>29</v>
      </c>
      <c r="V524" s="7">
        <v>34243</v>
      </c>
      <c r="W524" t="s">
        <v>814</v>
      </c>
      <c r="X524" s="2">
        <v>1.6519999999999999</v>
      </c>
      <c r="Y524" s="6">
        <f t="shared" si="70"/>
        <v>4.409919649769093E-2</v>
      </c>
      <c r="AA524" t="s">
        <v>813</v>
      </c>
      <c r="AB524">
        <v>17337</v>
      </c>
      <c r="AC524">
        <v>15582221</v>
      </c>
      <c r="AD524" t="s">
        <v>5</v>
      </c>
      <c r="AE524">
        <v>41</v>
      </c>
      <c r="AF524">
        <v>10</v>
      </c>
      <c r="AH524" t="s">
        <v>7141</v>
      </c>
      <c r="AI524" t="s">
        <v>7140</v>
      </c>
      <c r="AK524" t="s">
        <v>7139</v>
      </c>
      <c r="AL524">
        <v>5</v>
      </c>
      <c r="AM524" s="5">
        <f t="shared" si="66"/>
        <v>0.17241379310344829</v>
      </c>
      <c r="AN524" s="4">
        <f t="shared" si="71"/>
        <v>2.6113410541983838E-4</v>
      </c>
      <c r="AO524" s="3"/>
      <c r="AP524">
        <v>0</v>
      </c>
      <c r="AR524" t="s">
        <v>1</v>
      </c>
      <c r="AT524" s="2" t="s">
        <v>0</v>
      </c>
      <c r="AU524" s="1">
        <f t="shared" si="67"/>
        <v>3.0947777780009602</v>
      </c>
      <c r="AV524" s="1">
        <f t="shared" si="68"/>
        <v>2.2180165301555381</v>
      </c>
      <c r="AW524" s="1">
        <f t="shared" si="69"/>
        <v>1.3412552823101165</v>
      </c>
    </row>
    <row r="525" spans="1:49" x14ac:dyDescent="0.2">
      <c r="A525">
        <v>523</v>
      </c>
      <c r="B525" t="s">
        <v>7138</v>
      </c>
      <c r="C525" t="s">
        <v>7137</v>
      </c>
      <c r="F525" t="s">
        <v>7136</v>
      </c>
      <c r="G525" t="s">
        <v>15</v>
      </c>
      <c r="H525" t="s">
        <v>14</v>
      </c>
      <c r="I525" t="s">
        <v>7135</v>
      </c>
      <c r="J525">
        <v>60103653</v>
      </c>
      <c r="K525" t="s">
        <v>4614</v>
      </c>
      <c r="L525" t="s">
        <v>4613</v>
      </c>
      <c r="M525" t="s">
        <v>4612</v>
      </c>
      <c r="N525">
        <v>1</v>
      </c>
      <c r="O525" t="s">
        <v>7134</v>
      </c>
      <c r="P525">
        <v>7003588789</v>
      </c>
      <c r="Q525">
        <v>60103653</v>
      </c>
      <c r="R525" s="7">
        <v>33970</v>
      </c>
      <c r="S525" s="8">
        <f t="shared" si="64"/>
        <v>1993</v>
      </c>
      <c r="T525" s="8">
        <v>1993</v>
      </c>
      <c r="U525" s="8">
        <f t="shared" si="65"/>
        <v>29</v>
      </c>
      <c r="V525" s="7">
        <v>34243</v>
      </c>
      <c r="W525" t="s">
        <v>814</v>
      </c>
      <c r="X525" s="2">
        <v>1.6519999999999999</v>
      </c>
      <c r="Y525" s="6">
        <f t="shared" si="70"/>
        <v>4.409919649769093E-2</v>
      </c>
      <c r="AA525" t="s">
        <v>813</v>
      </c>
      <c r="AB525">
        <v>17337</v>
      </c>
      <c r="AC525">
        <v>15582221</v>
      </c>
      <c r="AD525" t="s">
        <v>5</v>
      </c>
      <c r="AE525">
        <v>41</v>
      </c>
      <c r="AF525">
        <v>10</v>
      </c>
      <c r="AH525" t="s">
        <v>7133</v>
      </c>
      <c r="AI525" t="s">
        <v>7132</v>
      </c>
      <c r="AK525" t="s">
        <v>7131</v>
      </c>
      <c r="AL525">
        <v>6</v>
      </c>
      <c r="AM525" s="5">
        <f t="shared" si="66"/>
        <v>0.20689655172413793</v>
      </c>
      <c r="AN525" s="4">
        <f t="shared" si="71"/>
        <v>3.1336092650380602E-4</v>
      </c>
      <c r="AO525" s="3"/>
      <c r="AP525">
        <v>0</v>
      </c>
      <c r="AR525" t="s">
        <v>1</v>
      </c>
      <c r="AS525" t="s">
        <v>7130</v>
      </c>
      <c r="AT525" s="2" t="s">
        <v>0</v>
      </c>
      <c r="AU525" s="1">
        <f t="shared" si="67"/>
        <v>3.096344582633479</v>
      </c>
      <c r="AV525" s="1">
        <f t="shared" si="68"/>
        <v>2.2206278712097367</v>
      </c>
      <c r="AW525" s="1">
        <f t="shared" si="69"/>
        <v>1.3449111597859942</v>
      </c>
    </row>
    <row r="526" spans="1:49" x14ac:dyDescent="0.2">
      <c r="A526">
        <v>524</v>
      </c>
      <c r="B526" t="s">
        <v>7129</v>
      </c>
      <c r="C526" t="s">
        <v>7128</v>
      </c>
      <c r="F526" t="s">
        <v>7127</v>
      </c>
      <c r="G526" t="s">
        <v>15</v>
      </c>
      <c r="H526" t="s">
        <v>14</v>
      </c>
      <c r="I526" t="s">
        <v>7126</v>
      </c>
      <c r="J526">
        <v>60025778</v>
      </c>
      <c r="K526" t="s">
        <v>3404</v>
      </c>
      <c r="L526" t="s">
        <v>1317</v>
      </c>
      <c r="M526" t="s">
        <v>10</v>
      </c>
      <c r="N526">
        <v>3</v>
      </c>
      <c r="O526" t="s">
        <v>7125</v>
      </c>
      <c r="P526" t="s">
        <v>7124</v>
      </c>
      <c r="Q526" t="s">
        <v>3401</v>
      </c>
      <c r="R526" s="7">
        <v>33970</v>
      </c>
      <c r="S526" s="8">
        <f t="shared" si="64"/>
        <v>1993</v>
      </c>
      <c r="T526" s="8">
        <v>1993</v>
      </c>
      <c r="U526" s="8">
        <f t="shared" si="65"/>
        <v>29</v>
      </c>
      <c r="V526" s="7">
        <v>34243</v>
      </c>
      <c r="W526" t="s">
        <v>548</v>
      </c>
      <c r="X526" s="2">
        <v>1.3720000000000001</v>
      </c>
      <c r="Y526" s="6">
        <f t="shared" si="70"/>
        <v>3.662475641333654E-2</v>
      </c>
      <c r="AA526">
        <v>189480</v>
      </c>
      <c r="AB526">
        <v>17366</v>
      </c>
      <c r="AC526">
        <v>15579670</v>
      </c>
      <c r="AD526" t="s">
        <v>5</v>
      </c>
      <c r="AE526">
        <v>41</v>
      </c>
      <c r="AF526">
        <v>10</v>
      </c>
      <c r="AH526" t="s">
        <v>7123</v>
      </c>
      <c r="AI526" t="s">
        <v>7122</v>
      </c>
      <c r="AK526" t="s">
        <v>7121</v>
      </c>
      <c r="AL526">
        <v>630</v>
      </c>
      <c r="AM526" s="5">
        <f t="shared" si="66"/>
        <v>21.724137931034484</v>
      </c>
      <c r="AN526" s="4">
        <f t="shared" si="71"/>
        <v>3.2902897282899635E-2</v>
      </c>
      <c r="AO526" s="3"/>
      <c r="AP526">
        <v>0</v>
      </c>
      <c r="AQ526" t="s">
        <v>4738</v>
      </c>
      <c r="AR526" t="s">
        <v>1</v>
      </c>
      <c r="AS526" t="s">
        <v>4737</v>
      </c>
      <c r="AT526" s="2" t="s">
        <v>0</v>
      </c>
      <c r="AU526" s="1">
        <f t="shared" si="67"/>
        <v>3.5508198674205467</v>
      </c>
      <c r="AV526" s="1">
        <f t="shared" si="68"/>
        <v>3.4763826848118087</v>
      </c>
      <c r="AW526" s="1">
        <f t="shared" si="69"/>
        <v>3.4019455022030707</v>
      </c>
    </row>
    <row r="527" spans="1:49" x14ac:dyDescent="0.2">
      <c r="A527">
        <v>525</v>
      </c>
      <c r="B527" t="s">
        <v>7120</v>
      </c>
      <c r="C527" t="s">
        <v>7119</v>
      </c>
      <c r="F527" t="s">
        <v>7118</v>
      </c>
      <c r="G527" t="s">
        <v>15</v>
      </c>
      <c r="H527" t="s">
        <v>14</v>
      </c>
      <c r="I527" t="s">
        <v>7117</v>
      </c>
      <c r="J527" t="s">
        <v>7116</v>
      </c>
      <c r="K527" t="s">
        <v>7115</v>
      </c>
      <c r="L527" t="s">
        <v>7114</v>
      </c>
      <c r="M527" t="s">
        <v>1148</v>
      </c>
      <c r="N527">
        <v>7</v>
      </c>
      <c r="O527" t="s">
        <v>7113</v>
      </c>
      <c r="P527" t="s">
        <v>7112</v>
      </c>
      <c r="Q527" t="s">
        <v>7111</v>
      </c>
      <c r="R527" s="7">
        <v>33970</v>
      </c>
      <c r="S527" s="8">
        <f t="shared" si="64"/>
        <v>1993</v>
      </c>
      <c r="T527" s="8">
        <v>1993</v>
      </c>
      <c r="U527" s="8">
        <f t="shared" si="65"/>
        <v>29</v>
      </c>
      <c r="V527" s="7">
        <v>34243</v>
      </c>
      <c r="W527" t="s">
        <v>548</v>
      </c>
      <c r="X527" s="2">
        <v>1.3720000000000001</v>
      </c>
      <c r="Y527" s="6">
        <f t="shared" si="70"/>
        <v>3.662475641333654E-2</v>
      </c>
      <c r="AA527">
        <v>189480</v>
      </c>
      <c r="AB527">
        <v>17366</v>
      </c>
      <c r="AC527">
        <v>15579670</v>
      </c>
      <c r="AD527" t="s">
        <v>5</v>
      </c>
      <c r="AE527">
        <v>41</v>
      </c>
      <c r="AF527">
        <v>10</v>
      </c>
      <c r="AH527" t="s">
        <v>7110</v>
      </c>
      <c r="AI527" t="s">
        <v>7109</v>
      </c>
      <c r="AK527" t="s">
        <v>7108</v>
      </c>
      <c r="AL527">
        <v>42</v>
      </c>
      <c r="AM527" s="5">
        <f t="shared" si="66"/>
        <v>1.4482758620689655</v>
      </c>
      <c r="AN527" s="4">
        <f t="shared" si="71"/>
        <v>2.1935264855266422E-3</v>
      </c>
      <c r="AO527" s="3"/>
      <c r="AP527">
        <v>0</v>
      </c>
      <c r="AQ527" t="s">
        <v>639</v>
      </c>
      <c r="AR527" t="s">
        <v>7107</v>
      </c>
      <c r="AS527" t="s">
        <v>638</v>
      </c>
      <c r="AT527" s="2" t="s">
        <v>0</v>
      </c>
      <c r="AU527" s="1">
        <f t="shared" si="67"/>
        <v>2.6295387434993569</v>
      </c>
      <c r="AV527" s="1">
        <f t="shared" si="68"/>
        <v>1.9409141449431591</v>
      </c>
      <c r="AW527" s="1">
        <f t="shared" si="69"/>
        <v>1.2522895463869612</v>
      </c>
    </row>
    <row r="528" spans="1:49" x14ac:dyDescent="0.2">
      <c r="A528">
        <v>526</v>
      </c>
      <c r="B528" t="s">
        <v>7106</v>
      </c>
      <c r="C528" t="s">
        <v>7105</v>
      </c>
      <c r="F528" t="s">
        <v>7104</v>
      </c>
      <c r="G528" t="s">
        <v>15</v>
      </c>
      <c r="H528" t="s">
        <v>14</v>
      </c>
      <c r="I528" t="s">
        <v>7103</v>
      </c>
      <c r="J528">
        <v>60001271</v>
      </c>
      <c r="K528" t="s">
        <v>7102</v>
      </c>
      <c r="L528" t="s">
        <v>3706</v>
      </c>
      <c r="M528" t="s">
        <v>150</v>
      </c>
      <c r="N528">
        <v>4</v>
      </c>
      <c r="O528" t="s">
        <v>7101</v>
      </c>
      <c r="P528" t="s">
        <v>7100</v>
      </c>
      <c r="Q528" t="s">
        <v>7099</v>
      </c>
      <c r="R528" s="7">
        <v>33970</v>
      </c>
      <c r="S528" s="8">
        <f t="shared" si="64"/>
        <v>1993</v>
      </c>
      <c r="T528" s="8">
        <v>1993</v>
      </c>
      <c r="U528" s="8">
        <f t="shared" si="65"/>
        <v>29</v>
      </c>
      <c r="V528" s="7">
        <v>34243</v>
      </c>
      <c r="W528" t="s">
        <v>868</v>
      </c>
      <c r="X528" s="2">
        <v>0.375</v>
      </c>
      <c r="Y528" s="6">
        <f t="shared" si="70"/>
        <v>1.0010410827260351E-2</v>
      </c>
      <c r="AA528">
        <v>135194</v>
      </c>
      <c r="AB528">
        <v>24918</v>
      </c>
      <c r="AD528" t="s">
        <v>5</v>
      </c>
      <c r="AE528">
        <v>29</v>
      </c>
      <c r="AF528">
        <v>22</v>
      </c>
      <c r="AH528" t="s">
        <v>7098</v>
      </c>
      <c r="AI528" t="s">
        <v>7097</v>
      </c>
      <c r="AJ528" t="s">
        <v>5814</v>
      </c>
      <c r="AK528" t="s">
        <v>7096</v>
      </c>
      <c r="AL528">
        <v>25</v>
      </c>
      <c r="AM528" s="5">
        <f t="shared" si="66"/>
        <v>0.86206896551724133</v>
      </c>
      <c r="AN528" s="4">
        <f t="shared" si="71"/>
        <v>1.3056705270991916E-3</v>
      </c>
      <c r="AO528" s="3"/>
      <c r="AP528">
        <v>0</v>
      </c>
      <c r="AR528" t="s">
        <v>1</v>
      </c>
      <c r="AT528" s="2">
        <v>1.3140000000000001</v>
      </c>
      <c r="AU528" s="1">
        <f t="shared" si="67"/>
        <v>0.73989887372120033</v>
      </c>
      <c r="AV528" s="1">
        <f t="shared" si="68"/>
        <v>0.5658040677179772</v>
      </c>
      <c r="AW528" s="1">
        <f t="shared" si="69"/>
        <v>0.39170926171475395</v>
      </c>
    </row>
    <row r="529" spans="1:49" x14ac:dyDescent="0.2">
      <c r="A529">
        <v>527</v>
      </c>
      <c r="B529" t="s">
        <v>7095</v>
      </c>
      <c r="C529" t="s">
        <v>7094</v>
      </c>
      <c r="F529" t="s">
        <v>7093</v>
      </c>
      <c r="G529" t="s">
        <v>15</v>
      </c>
      <c r="H529" t="s">
        <v>14</v>
      </c>
      <c r="I529" t="s">
        <v>7092</v>
      </c>
      <c r="J529">
        <v>60108318</v>
      </c>
      <c r="K529" t="s">
        <v>2709</v>
      </c>
      <c r="L529" t="s">
        <v>997</v>
      </c>
      <c r="M529" t="s">
        <v>10</v>
      </c>
      <c r="N529">
        <v>2</v>
      </c>
      <c r="O529" t="s">
        <v>7091</v>
      </c>
      <c r="P529" t="s">
        <v>7090</v>
      </c>
      <c r="Q529" t="s">
        <v>2706</v>
      </c>
      <c r="R529" s="7">
        <v>33970</v>
      </c>
      <c r="S529" s="8">
        <f t="shared" si="64"/>
        <v>1993</v>
      </c>
      <c r="T529" s="8">
        <v>1993</v>
      </c>
      <c r="U529" s="8">
        <f t="shared" si="65"/>
        <v>29</v>
      </c>
      <c r="V529" s="7">
        <v>34243</v>
      </c>
      <c r="W529" t="s">
        <v>868</v>
      </c>
      <c r="X529" s="2">
        <v>0.375</v>
      </c>
      <c r="Y529" s="6">
        <f t="shared" si="70"/>
        <v>1.0010410827260351E-2</v>
      </c>
      <c r="AA529">
        <v>135194</v>
      </c>
      <c r="AB529">
        <v>24918</v>
      </c>
      <c r="AD529" t="s">
        <v>5</v>
      </c>
      <c r="AE529">
        <v>29</v>
      </c>
      <c r="AF529">
        <v>22</v>
      </c>
      <c r="AH529" t="s">
        <v>7089</v>
      </c>
      <c r="AI529" t="s">
        <v>7088</v>
      </c>
      <c r="AJ529" t="s">
        <v>7087</v>
      </c>
      <c r="AK529" t="s">
        <v>7086</v>
      </c>
      <c r="AL529">
        <v>6</v>
      </c>
      <c r="AM529" s="5">
        <f t="shared" si="66"/>
        <v>0.20689655172413793</v>
      </c>
      <c r="AN529" s="4">
        <f t="shared" si="71"/>
        <v>3.1336092650380602E-4</v>
      </c>
      <c r="AO529" s="3"/>
      <c r="AP529">
        <v>0</v>
      </c>
      <c r="AR529" t="s">
        <v>1</v>
      </c>
      <c r="AT529" s="2">
        <v>1.3140000000000001</v>
      </c>
      <c r="AU529" s="1">
        <f t="shared" si="67"/>
        <v>0.71012958570333873</v>
      </c>
      <c r="AV529" s="1">
        <f t="shared" si="68"/>
        <v>0.51618858768820786</v>
      </c>
      <c r="AW529" s="1">
        <f t="shared" si="69"/>
        <v>0.32224758967307693</v>
      </c>
    </row>
    <row r="530" spans="1:49" x14ac:dyDescent="0.2">
      <c r="A530">
        <v>528</v>
      </c>
      <c r="B530" t="s">
        <v>7085</v>
      </c>
      <c r="C530" t="s">
        <v>7084</v>
      </c>
      <c r="F530" t="s">
        <v>7083</v>
      </c>
      <c r="G530" t="s">
        <v>15</v>
      </c>
      <c r="H530" t="s">
        <v>14</v>
      </c>
      <c r="I530" t="s">
        <v>7082</v>
      </c>
      <c r="J530">
        <v>60025555</v>
      </c>
      <c r="K530" t="s">
        <v>1785</v>
      </c>
      <c r="L530" t="s">
        <v>151</v>
      </c>
      <c r="M530" t="s">
        <v>150</v>
      </c>
      <c r="N530">
        <v>2</v>
      </c>
      <c r="O530" t="s">
        <v>7081</v>
      </c>
      <c r="P530" t="s">
        <v>7080</v>
      </c>
      <c r="Q530" t="s">
        <v>2566</v>
      </c>
      <c r="R530" s="7">
        <v>33970</v>
      </c>
      <c r="S530" s="8">
        <f t="shared" si="64"/>
        <v>1993</v>
      </c>
      <c r="T530" s="8">
        <v>1993</v>
      </c>
      <c r="U530" s="8">
        <f t="shared" si="65"/>
        <v>29</v>
      </c>
      <c r="V530" s="7">
        <v>1993</v>
      </c>
      <c r="W530" t="s">
        <v>1720</v>
      </c>
      <c r="X530" s="2">
        <v>0.111</v>
      </c>
      <c r="Y530" s="6">
        <f t="shared" si="70"/>
        <v>2.9630816048690639E-3</v>
      </c>
      <c r="AA530">
        <v>87566621</v>
      </c>
      <c r="AB530">
        <v>24890</v>
      </c>
      <c r="AC530">
        <v>15206424</v>
      </c>
      <c r="AD530" t="s">
        <v>5</v>
      </c>
      <c r="AE530">
        <v>76</v>
      </c>
      <c r="AF530">
        <v>10</v>
      </c>
      <c r="AH530" t="s">
        <v>7079</v>
      </c>
      <c r="AI530" t="s">
        <v>7078</v>
      </c>
      <c r="AJ530" t="s">
        <v>7077</v>
      </c>
      <c r="AK530" t="s">
        <v>7076</v>
      </c>
      <c r="AL530">
        <v>0</v>
      </c>
      <c r="AM530" s="5">
        <f t="shared" si="66"/>
        <v>0</v>
      </c>
      <c r="AN530" s="4">
        <f t="shared" si="71"/>
        <v>0</v>
      </c>
      <c r="AO530" s="3"/>
      <c r="AP530">
        <v>0</v>
      </c>
      <c r="AR530" t="s">
        <v>1</v>
      </c>
      <c r="AT530" s="2" t="s">
        <v>0</v>
      </c>
      <c r="AU530" s="1">
        <f t="shared" si="67"/>
        <v>0.20741571234083445</v>
      </c>
      <c r="AV530" s="1">
        <f t="shared" si="68"/>
        <v>0.1481540802434532</v>
      </c>
      <c r="AW530" s="1">
        <f t="shared" si="69"/>
        <v>8.8892448146071903E-2</v>
      </c>
    </row>
    <row r="531" spans="1:49" x14ac:dyDescent="0.2">
      <c r="A531">
        <v>529</v>
      </c>
      <c r="B531" t="s">
        <v>7075</v>
      </c>
      <c r="C531" t="s">
        <v>7074</v>
      </c>
      <c r="F531" t="s">
        <v>7073</v>
      </c>
      <c r="G531" t="s">
        <v>15</v>
      </c>
      <c r="H531" t="s">
        <v>14</v>
      </c>
      <c r="I531" t="s">
        <v>7072</v>
      </c>
      <c r="J531">
        <v>60025555</v>
      </c>
      <c r="K531" t="s">
        <v>1785</v>
      </c>
      <c r="L531" t="s">
        <v>151</v>
      </c>
      <c r="M531" t="s">
        <v>150</v>
      </c>
      <c r="N531">
        <v>2</v>
      </c>
      <c r="O531" t="s">
        <v>7071</v>
      </c>
      <c r="P531" t="s">
        <v>7070</v>
      </c>
      <c r="Q531" t="s">
        <v>2566</v>
      </c>
      <c r="R531" s="7">
        <v>33970</v>
      </c>
      <c r="S531" s="8">
        <f t="shared" si="64"/>
        <v>1993</v>
      </c>
      <c r="T531" s="8">
        <v>1993</v>
      </c>
      <c r="U531" s="8">
        <f t="shared" si="65"/>
        <v>29</v>
      </c>
      <c r="V531" s="7">
        <v>1993</v>
      </c>
      <c r="W531" t="s">
        <v>1720</v>
      </c>
      <c r="X531" s="2">
        <v>0.111</v>
      </c>
      <c r="Y531" s="6">
        <f t="shared" si="70"/>
        <v>2.9630816048690639E-3</v>
      </c>
      <c r="AA531">
        <v>87566621</v>
      </c>
      <c r="AB531">
        <v>24890</v>
      </c>
      <c r="AC531">
        <v>15206424</v>
      </c>
      <c r="AD531" t="s">
        <v>5</v>
      </c>
      <c r="AE531">
        <v>76</v>
      </c>
      <c r="AF531">
        <v>10</v>
      </c>
      <c r="AH531" t="s">
        <v>7069</v>
      </c>
      <c r="AI531" t="s">
        <v>7068</v>
      </c>
      <c r="AJ531" t="s">
        <v>7067</v>
      </c>
      <c r="AK531" t="s">
        <v>7066</v>
      </c>
      <c r="AL531">
        <v>3</v>
      </c>
      <c r="AM531" s="5">
        <f t="shared" si="66"/>
        <v>0.10344827586206896</v>
      </c>
      <c r="AN531" s="4">
        <f t="shared" si="71"/>
        <v>1.5668046325190301E-4</v>
      </c>
      <c r="AO531" s="3"/>
      <c r="AP531">
        <v>0</v>
      </c>
      <c r="AR531" t="s">
        <v>1</v>
      </c>
      <c r="AT531" s="2" t="s">
        <v>0</v>
      </c>
      <c r="AU531" s="1">
        <f t="shared" si="67"/>
        <v>0.21211612623839152</v>
      </c>
      <c r="AV531" s="1">
        <f t="shared" si="68"/>
        <v>0.15598810340604835</v>
      </c>
      <c r="AW531" s="1">
        <f t="shared" si="69"/>
        <v>9.9860080573705115E-2</v>
      </c>
    </row>
    <row r="532" spans="1:49" x14ac:dyDescent="0.2">
      <c r="A532">
        <v>530</v>
      </c>
      <c r="B532" t="s">
        <v>7065</v>
      </c>
      <c r="C532" t="s">
        <v>7064</v>
      </c>
      <c r="F532" t="s">
        <v>7063</v>
      </c>
      <c r="G532" t="s">
        <v>15</v>
      </c>
      <c r="H532" t="s">
        <v>14</v>
      </c>
      <c r="I532" t="s">
        <v>7062</v>
      </c>
      <c r="J532">
        <v>60020547</v>
      </c>
      <c r="K532" t="s">
        <v>3199</v>
      </c>
      <c r="L532" t="s">
        <v>3198</v>
      </c>
      <c r="M532" t="s">
        <v>10</v>
      </c>
      <c r="N532">
        <v>3</v>
      </c>
      <c r="O532" t="s">
        <v>7061</v>
      </c>
      <c r="P532" t="s">
        <v>7060</v>
      </c>
      <c r="Q532" t="s">
        <v>3195</v>
      </c>
      <c r="R532" s="7">
        <v>33970</v>
      </c>
      <c r="S532" s="8">
        <f t="shared" si="64"/>
        <v>1993</v>
      </c>
      <c r="T532" s="8">
        <v>1993</v>
      </c>
      <c r="U532" s="8">
        <f t="shared" si="65"/>
        <v>29</v>
      </c>
      <c r="V532" s="7">
        <v>34243</v>
      </c>
      <c r="W532" t="s">
        <v>548</v>
      </c>
      <c r="X532" s="2">
        <v>1.3720000000000001</v>
      </c>
      <c r="Y532" s="6">
        <f t="shared" si="70"/>
        <v>3.662475641333654E-2</v>
      </c>
      <c r="AA532">
        <v>189480</v>
      </c>
      <c r="AB532">
        <v>17366</v>
      </c>
      <c r="AC532">
        <v>15579670</v>
      </c>
      <c r="AD532" t="s">
        <v>5</v>
      </c>
      <c r="AE532">
        <v>41</v>
      </c>
      <c r="AF532">
        <v>10</v>
      </c>
      <c r="AH532" t="s">
        <v>7059</v>
      </c>
      <c r="AI532" t="s">
        <v>7058</v>
      </c>
      <c r="AK532" t="s">
        <v>7057</v>
      </c>
      <c r="AL532">
        <v>33</v>
      </c>
      <c r="AM532" s="5">
        <f t="shared" si="66"/>
        <v>1.1379310344827587</v>
      </c>
      <c r="AN532" s="4">
        <f t="shared" si="71"/>
        <v>1.7234850957709331E-3</v>
      </c>
      <c r="AO532" s="3"/>
      <c r="AP532">
        <v>0</v>
      </c>
      <c r="AQ532" t="s">
        <v>6386</v>
      </c>
      <c r="AR532" t="s">
        <v>1</v>
      </c>
      <c r="AS532" t="s">
        <v>6385</v>
      </c>
      <c r="AT532" s="2" t="s">
        <v>0</v>
      </c>
      <c r="AU532" s="1">
        <f t="shared" si="67"/>
        <v>2.6154375018066855</v>
      </c>
      <c r="AV532" s="1">
        <f t="shared" si="68"/>
        <v>1.9174120754553734</v>
      </c>
      <c r="AW532" s="1">
        <f t="shared" si="69"/>
        <v>1.2193866491040615</v>
      </c>
    </row>
    <row r="533" spans="1:49" x14ac:dyDescent="0.2">
      <c r="A533">
        <v>531</v>
      </c>
      <c r="B533" t="s">
        <v>7056</v>
      </c>
      <c r="C533" t="s">
        <v>7055</v>
      </c>
      <c r="F533" t="s">
        <v>7054</v>
      </c>
      <c r="G533" t="s">
        <v>15</v>
      </c>
      <c r="H533" t="s">
        <v>14</v>
      </c>
      <c r="I533" t="s">
        <v>7053</v>
      </c>
      <c r="J533">
        <v>60103907</v>
      </c>
      <c r="K533" t="s">
        <v>7052</v>
      </c>
      <c r="L533" t="s">
        <v>151</v>
      </c>
      <c r="M533" t="s">
        <v>150</v>
      </c>
      <c r="N533">
        <v>4</v>
      </c>
      <c r="O533" t="s">
        <v>7051</v>
      </c>
      <c r="P533" t="s">
        <v>7050</v>
      </c>
      <c r="Q533" t="s">
        <v>7049</v>
      </c>
      <c r="R533" s="7">
        <v>33970</v>
      </c>
      <c r="S533" s="8">
        <f t="shared" si="64"/>
        <v>1993</v>
      </c>
      <c r="T533" s="8">
        <v>1993</v>
      </c>
      <c r="U533" s="8">
        <f t="shared" si="65"/>
        <v>29</v>
      </c>
      <c r="V533" s="7">
        <v>1993</v>
      </c>
      <c r="W533" t="s">
        <v>1720</v>
      </c>
      <c r="X533" s="2">
        <v>0.111</v>
      </c>
      <c r="Y533" s="6">
        <f t="shared" si="70"/>
        <v>2.9630816048690639E-3</v>
      </c>
      <c r="AA533">
        <v>87566621</v>
      </c>
      <c r="AB533">
        <v>24890</v>
      </c>
      <c r="AC533">
        <v>15206424</v>
      </c>
      <c r="AD533" t="s">
        <v>5</v>
      </c>
      <c r="AE533">
        <v>76</v>
      </c>
      <c r="AF533">
        <v>10</v>
      </c>
      <c r="AH533" t="s">
        <v>7048</v>
      </c>
      <c r="AI533" t="s">
        <v>7047</v>
      </c>
      <c r="AJ533" t="s">
        <v>7046</v>
      </c>
      <c r="AK533" t="s">
        <v>7045</v>
      </c>
      <c r="AL533">
        <v>0</v>
      </c>
      <c r="AM533" s="5">
        <f t="shared" si="66"/>
        <v>0</v>
      </c>
      <c r="AN533" s="4">
        <f t="shared" si="71"/>
        <v>0</v>
      </c>
      <c r="AO533" s="3"/>
      <c r="AP533">
        <v>0</v>
      </c>
      <c r="AR533" t="s">
        <v>1</v>
      </c>
      <c r="AT533" s="2" t="s">
        <v>0</v>
      </c>
      <c r="AU533" s="1">
        <f t="shared" si="67"/>
        <v>0.20741571234083445</v>
      </c>
      <c r="AV533" s="1">
        <f t="shared" si="68"/>
        <v>0.1481540802434532</v>
      </c>
      <c r="AW533" s="1">
        <f t="shared" si="69"/>
        <v>8.8892448146071903E-2</v>
      </c>
    </row>
    <row r="534" spans="1:49" x14ac:dyDescent="0.2">
      <c r="A534">
        <v>532</v>
      </c>
      <c r="B534" t="s">
        <v>7044</v>
      </c>
      <c r="C534" t="s">
        <v>7043</v>
      </c>
      <c r="F534" t="s">
        <v>7042</v>
      </c>
      <c r="G534" t="s">
        <v>15</v>
      </c>
      <c r="H534" t="s">
        <v>14</v>
      </c>
      <c r="I534" t="s">
        <v>7041</v>
      </c>
      <c r="J534">
        <v>60014655</v>
      </c>
      <c r="K534" t="s">
        <v>7040</v>
      </c>
      <c r="L534" t="s">
        <v>7039</v>
      </c>
      <c r="M534" t="s">
        <v>2508</v>
      </c>
      <c r="N534">
        <v>4</v>
      </c>
      <c r="O534" t="s">
        <v>7038</v>
      </c>
      <c r="P534" t="s">
        <v>7037</v>
      </c>
      <c r="Q534" t="s">
        <v>7036</v>
      </c>
      <c r="R534" s="7">
        <v>33970</v>
      </c>
      <c r="S534" s="8">
        <f t="shared" si="64"/>
        <v>1993</v>
      </c>
      <c r="T534" s="8">
        <v>1993</v>
      </c>
      <c r="U534" s="8">
        <f t="shared" si="65"/>
        <v>29</v>
      </c>
      <c r="V534" s="7">
        <v>34243</v>
      </c>
      <c r="W534" t="s">
        <v>814</v>
      </c>
      <c r="X534" s="2">
        <v>1.6519999999999999</v>
      </c>
      <c r="Y534" s="6">
        <f t="shared" si="70"/>
        <v>4.409919649769093E-2</v>
      </c>
      <c r="AA534" t="s">
        <v>813</v>
      </c>
      <c r="AB534">
        <v>17337</v>
      </c>
      <c r="AC534">
        <v>15582221</v>
      </c>
      <c r="AD534" t="s">
        <v>5</v>
      </c>
      <c r="AE534">
        <v>41</v>
      </c>
      <c r="AF534">
        <v>10</v>
      </c>
      <c r="AH534" t="s">
        <v>7035</v>
      </c>
      <c r="AI534" t="s">
        <v>7034</v>
      </c>
      <c r="AK534" t="s">
        <v>7033</v>
      </c>
      <c r="AL534">
        <v>8</v>
      </c>
      <c r="AM534" s="5">
        <f t="shared" si="66"/>
        <v>0.27586206896551724</v>
      </c>
      <c r="AN534" s="4">
        <f t="shared" si="71"/>
        <v>4.1781456867174139E-4</v>
      </c>
      <c r="AO534" s="3"/>
      <c r="AP534">
        <v>0</v>
      </c>
      <c r="AQ534" t="s">
        <v>7032</v>
      </c>
      <c r="AR534" t="s">
        <v>7031</v>
      </c>
      <c r="AS534" t="s">
        <v>7030</v>
      </c>
      <c r="AT534" s="2" t="s">
        <v>0</v>
      </c>
      <c r="AU534" s="1">
        <f t="shared" si="67"/>
        <v>3.099478191898517</v>
      </c>
      <c r="AV534" s="1">
        <f t="shared" si="68"/>
        <v>2.2258505533181339</v>
      </c>
      <c r="AW534" s="1">
        <f t="shared" si="69"/>
        <v>1.3522229147377498</v>
      </c>
    </row>
    <row r="535" spans="1:49" x14ac:dyDescent="0.2">
      <c r="A535">
        <v>533</v>
      </c>
      <c r="B535" t="s">
        <v>7029</v>
      </c>
      <c r="C535" t="s">
        <v>7028</v>
      </c>
      <c r="F535" t="s">
        <v>7027</v>
      </c>
      <c r="G535" t="s">
        <v>15</v>
      </c>
      <c r="H535" t="s">
        <v>14</v>
      </c>
      <c r="I535" t="s">
        <v>7026</v>
      </c>
      <c r="J535">
        <v>60029570</v>
      </c>
      <c r="K535" t="s">
        <v>7025</v>
      </c>
      <c r="L535" t="s">
        <v>7024</v>
      </c>
      <c r="M535" t="s">
        <v>391</v>
      </c>
      <c r="N535">
        <v>3</v>
      </c>
      <c r="O535" t="s">
        <v>7023</v>
      </c>
      <c r="P535" t="s">
        <v>7022</v>
      </c>
      <c r="Q535" t="s">
        <v>7021</v>
      </c>
      <c r="R535" s="7">
        <v>33970</v>
      </c>
      <c r="S535" s="8">
        <f t="shared" si="64"/>
        <v>1993</v>
      </c>
      <c r="T535" s="8">
        <v>1993</v>
      </c>
      <c r="U535" s="8">
        <f t="shared" si="65"/>
        <v>29</v>
      </c>
      <c r="V535" s="7">
        <v>34243</v>
      </c>
      <c r="W535" t="s">
        <v>814</v>
      </c>
      <c r="X535" s="2">
        <v>1.6519999999999999</v>
      </c>
      <c r="Y535" s="6">
        <f t="shared" si="70"/>
        <v>4.409919649769093E-2</v>
      </c>
      <c r="AA535" t="s">
        <v>813</v>
      </c>
      <c r="AB535">
        <v>17337</v>
      </c>
      <c r="AC535">
        <v>15582221</v>
      </c>
      <c r="AD535" t="s">
        <v>5</v>
      </c>
      <c r="AE535">
        <v>41</v>
      </c>
      <c r="AF535">
        <v>10</v>
      </c>
      <c r="AH535" t="s">
        <v>7020</v>
      </c>
      <c r="AI535" t="s">
        <v>7019</v>
      </c>
      <c r="AK535" t="s">
        <v>7018</v>
      </c>
      <c r="AL535">
        <v>15</v>
      </c>
      <c r="AM535" s="5">
        <f t="shared" si="66"/>
        <v>0.51724137931034486</v>
      </c>
      <c r="AN535" s="4">
        <f t="shared" si="71"/>
        <v>7.834023162595151E-4</v>
      </c>
      <c r="AO535" s="3"/>
      <c r="AP535">
        <v>0</v>
      </c>
      <c r="AQ535" t="s">
        <v>7017</v>
      </c>
      <c r="AR535" t="s">
        <v>1</v>
      </c>
      <c r="AS535" t="s">
        <v>7016</v>
      </c>
      <c r="AT535" s="2" t="s">
        <v>0</v>
      </c>
      <c r="AU535" s="1">
        <f t="shared" si="67"/>
        <v>3.1104458243261508</v>
      </c>
      <c r="AV535" s="1">
        <f t="shared" si="68"/>
        <v>2.2441299406975221</v>
      </c>
      <c r="AW535" s="1">
        <f t="shared" si="69"/>
        <v>1.3778140570688939</v>
      </c>
    </row>
    <row r="536" spans="1:49" x14ac:dyDescent="0.2">
      <c r="A536">
        <v>534</v>
      </c>
      <c r="B536" t="s">
        <v>7015</v>
      </c>
      <c r="C536" t="s">
        <v>7014</v>
      </c>
      <c r="F536" t="s">
        <v>7013</v>
      </c>
      <c r="G536" t="s">
        <v>15</v>
      </c>
      <c r="H536" t="s">
        <v>14</v>
      </c>
      <c r="I536" t="s">
        <v>7012</v>
      </c>
      <c r="J536">
        <v>60030526</v>
      </c>
      <c r="K536" t="s">
        <v>7011</v>
      </c>
      <c r="L536" t="s">
        <v>151</v>
      </c>
      <c r="M536" t="s">
        <v>150</v>
      </c>
      <c r="N536">
        <v>4</v>
      </c>
      <c r="O536" t="s">
        <v>7010</v>
      </c>
      <c r="P536" t="s">
        <v>7009</v>
      </c>
      <c r="Q536" t="s">
        <v>7008</v>
      </c>
      <c r="R536" s="7">
        <v>33970</v>
      </c>
      <c r="S536" s="8">
        <f t="shared" si="64"/>
        <v>1993</v>
      </c>
      <c r="T536" s="8">
        <v>1993</v>
      </c>
      <c r="U536" s="8">
        <f t="shared" si="65"/>
        <v>29</v>
      </c>
      <c r="V536" s="7">
        <v>34243</v>
      </c>
      <c r="W536" t="s">
        <v>868</v>
      </c>
      <c r="X536" s="2">
        <v>0.375</v>
      </c>
      <c r="Y536" s="6">
        <f t="shared" si="70"/>
        <v>1.0010410827260351E-2</v>
      </c>
      <c r="AA536">
        <v>135194</v>
      </c>
      <c r="AB536">
        <v>24918</v>
      </c>
      <c r="AD536" t="s">
        <v>5</v>
      </c>
      <c r="AE536">
        <v>29</v>
      </c>
      <c r="AF536">
        <v>22</v>
      </c>
      <c r="AH536" t="s">
        <v>7007</v>
      </c>
      <c r="AI536" t="s">
        <v>7006</v>
      </c>
      <c r="AJ536" t="s">
        <v>7005</v>
      </c>
      <c r="AK536" t="s">
        <v>7004</v>
      </c>
      <c r="AL536">
        <v>4</v>
      </c>
      <c r="AM536" s="5">
        <f t="shared" si="66"/>
        <v>0.13793103448275862</v>
      </c>
      <c r="AN536" s="4">
        <f t="shared" si="71"/>
        <v>2.089072843358707E-4</v>
      </c>
      <c r="AO536" s="3"/>
      <c r="AP536">
        <v>0</v>
      </c>
      <c r="AR536" t="s">
        <v>1</v>
      </c>
      <c r="AT536" s="2">
        <v>1.3140000000000001</v>
      </c>
      <c r="AU536" s="1">
        <f t="shared" si="67"/>
        <v>0.7069959764383007</v>
      </c>
      <c r="AV536" s="1">
        <f t="shared" si="68"/>
        <v>0.51096590557981103</v>
      </c>
      <c r="AW536" s="1">
        <f t="shared" si="69"/>
        <v>0.31493583472132147</v>
      </c>
    </row>
    <row r="537" spans="1:49" x14ac:dyDescent="0.2">
      <c r="A537">
        <v>535</v>
      </c>
      <c r="B537" t="s">
        <v>7003</v>
      </c>
      <c r="C537" t="s">
        <v>7002</v>
      </c>
      <c r="F537" t="s">
        <v>7001</v>
      </c>
      <c r="G537" t="s">
        <v>15</v>
      </c>
      <c r="H537" t="s">
        <v>14</v>
      </c>
      <c r="I537" t="s">
        <v>7000</v>
      </c>
      <c r="J537">
        <v>60022995</v>
      </c>
      <c r="K537" t="s">
        <v>6999</v>
      </c>
      <c r="L537" t="s">
        <v>6998</v>
      </c>
      <c r="M537" t="s">
        <v>59</v>
      </c>
      <c r="N537">
        <v>1</v>
      </c>
      <c r="O537" t="s">
        <v>6997</v>
      </c>
      <c r="P537">
        <v>7003780857</v>
      </c>
      <c r="Q537">
        <v>60022995</v>
      </c>
      <c r="R537" s="7">
        <v>33970</v>
      </c>
      <c r="S537" s="8">
        <f t="shared" si="64"/>
        <v>1993</v>
      </c>
      <c r="T537" s="8">
        <v>1993</v>
      </c>
      <c r="U537" s="8">
        <f t="shared" si="65"/>
        <v>29</v>
      </c>
      <c r="V537" s="7">
        <v>34243</v>
      </c>
      <c r="W537" t="s">
        <v>2382</v>
      </c>
      <c r="X537" s="2">
        <v>0.30399999999999999</v>
      </c>
      <c r="Y537" s="6">
        <f t="shared" si="70"/>
        <v>8.115106377299057E-3</v>
      </c>
      <c r="AA537">
        <v>8952477</v>
      </c>
      <c r="AB537">
        <v>12250</v>
      </c>
      <c r="AC537">
        <v>10982760</v>
      </c>
      <c r="AD537" t="s">
        <v>5</v>
      </c>
      <c r="AE537">
        <v>6</v>
      </c>
      <c r="AF537">
        <v>13</v>
      </c>
      <c r="AH537" t="s">
        <v>6996</v>
      </c>
      <c r="AI537" t="s">
        <v>6995</v>
      </c>
      <c r="AJ537" t="s">
        <v>6994</v>
      </c>
      <c r="AK537" t="s">
        <v>6993</v>
      </c>
      <c r="AL537">
        <v>8</v>
      </c>
      <c r="AM537" s="5">
        <f t="shared" si="66"/>
        <v>0.27586206896551724</v>
      </c>
      <c r="AN537" s="4">
        <f t="shared" si="71"/>
        <v>4.1781456867174139E-4</v>
      </c>
      <c r="AO537" s="3"/>
      <c r="AP537">
        <v>0</v>
      </c>
      <c r="AR537" t="s">
        <v>1</v>
      </c>
      <c r="AT537" s="2" t="s">
        <v>0</v>
      </c>
      <c r="AU537" s="1">
        <f t="shared" si="67"/>
        <v>0.58059188347108615</v>
      </c>
      <c r="AV537" s="1">
        <f t="shared" si="68"/>
        <v>0.42664604729853989</v>
      </c>
      <c r="AW537" s="1">
        <f t="shared" si="69"/>
        <v>0.27270021112599363</v>
      </c>
    </row>
    <row r="538" spans="1:49" x14ac:dyDescent="0.2">
      <c r="A538">
        <v>536</v>
      </c>
      <c r="B538" t="s">
        <v>6992</v>
      </c>
      <c r="C538" t="s">
        <v>6991</v>
      </c>
      <c r="F538" t="s">
        <v>6990</v>
      </c>
      <c r="G538" t="s">
        <v>15</v>
      </c>
      <c r="H538" t="s">
        <v>14</v>
      </c>
      <c r="I538" t="s">
        <v>6989</v>
      </c>
      <c r="J538" t="s">
        <v>3921</v>
      </c>
      <c r="K538" t="s">
        <v>3920</v>
      </c>
      <c r="L538" t="s">
        <v>3919</v>
      </c>
      <c r="M538" t="s">
        <v>235</v>
      </c>
      <c r="N538">
        <v>4</v>
      </c>
      <c r="O538" t="s">
        <v>6988</v>
      </c>
      <c r="P538" t="s">
        <v>6987</v>
      </c>
      <c r="Q538" t="s">
        <v>3916</v>
      </c>
      <c r="R538" s="7">
        <v>33970</v>
      </c>
      <c r="S538" s="8">
        <f t="shared" si="64"/>
        <v>1993</v>
      </c>
      <c r="T538" s="8">
        <v>1993</v>
      </c>
      <c r="U538" s="8">
        <f t="shared" si="65"/>
        <v>29</v>
      </c>
      <c r="V538" s="7">
        <v>34243</v>
      </c>
      <c r="W538" t="s">
        <v>814</v>
      </c>
      <c r="X538" s="2">
        <v>1.6519999999999999</v>
      </c>
      <c r="Y538" s="6">
        <f t="shared" si="70"/>
        <v>4.409919649769093E-2</v>
      </c>
      <c r="AA538" t="s">
        <v>813</v>
      </c>
      <c r="AB538">
        <v>17337</v>
      </c>
      <c r="AC538">
        <v>15582221</v>
      </c>
      <c r="AD538" t="s">
        <v>5</v>
      </c>
      <c r="AE538">
        <v>41</v>
      </c>
      <c r="AF538">
        <v>10</v>
      </c>
      <c r="AH538" t="s">
        <v>6986</v>
      </c>
      <c r="AI538" t="s">
        <v>6985</v>
      </c>
      <c r="AK538" t="s">
        <v>6984</v>
      </c>
      <c r="AL538">
        <v>54</v>
      </c>
      <c r="AM538" s="5">
        <f t="shared" si="66"/>
        <v>1.8620689655172413</v>
      </c>
      <c r="AN538" s="4">
        <f t="shared" si="71"/>
        <v>2.820248338534254E-3</v>
      </c>
      <c r="AO538" s="3"/>
      <c r="AP538">
        <v>0</v>
      </c>
      <c r="AQ538" t="s">
        <v>4536</v>
      </c>
      <c r="AR538" t="s">
        <v>6983</v>
      </c>
      <c r="AS538" t="s">
        <v>4535</v>
      </c>
      <c r="AT538" s="2" t="s">
        <v>0</v>
      </c>
      <c r="AU538" s="1">
        <f t="shared" si="67"/>
        <v>3.1715512049943926</v>
      </c>
      <c r="AV538" s="1">
        <f t="shared" si="68"/>
        <v>2.3459722418112592</v>
      </c>
      <c r="AW538" s="1">
        <f t="shared" si="69"/>
        <v>1.5203932786281256</v>
      </c>
    </row>
    <row r="539" spans="1:49" x14ac:dyDescent="0.2">
      <c r="A539">
        <v>537</v>
      </c>
      <c r="B539" t="s">
        <v>6982</v>
      </c>
      <c r="C539" t="s">
        <v>6981</v>
      </c>
      <c r="F539" t="s">
        <v>6980</v>
      </c>
      <c r="G539" t="s">
        <v>15</v>
      </c>
      <c r="H539" t="s">
        <v>14</v>
      </c>
      <c r="I539" t="s">
        <v>6979</v>
      </c>
      <c r="J539">
        <v>60022144</v>
      </c>
      <c r="K539" t="s">
        <v>2127</v>
      </c>
      <c r="L539" t="s">
        <v>2126</v>
      </c>
      <c r="M539" t="s">
        <v>10</v>
      </c>
      <c r="N539">
        <v>1</v>
      </c>
      <c r="O539" t="s">
        <v>6978</v>
      </c>
      <c r="P539">
        <v>35465847700</v>
      </c>
      <c r="Q539">
        <v>60022144</v>
      </c>
      <c r="R539" s="7">
        <v>33970</v>
      </c>
      <c r="S539" s="8">
        <f t="shared" si="64"/>
        <v>1993</v>
      </c>
      <c r="T539" s="8">
        <v>1993</v>
      </c>
      <c r="U539" s="8">
        <f t="shared" si="65"/>
        <v>29</v>
      </c>
      <c r="V539" s="7">
        <v>34243</v>
      </c>
      <c r="W539" t="s">
        <v>2382</v>
      </c>
      <c r="X539" s="2">
        <v>0.30399999999999999</v>
      </c>
      <c r="Y539" s="6">
        <f t="shared" si="70"/>
        <v>8.115106377299057E-3</v>
      </c>
      <c r="AA539">
        <v>8952477</v>
      </c>
      <c r="AB539">
        <v>12250</v>
      </c>
      <c r="AC539">
        <v>10982760</v>
      </c>
      <c r="AD539" t="s">
        <v>5</v>
      </c>
      <c r="AE539">
        <v>6</v>
      </c>
      <c r="AF539">
        <v>13</v>
      </c>
      <c r="AH539" t="s">
        <v>6977</v>
      </c>
      <c r="AI539" t="s">
        <v>6976</v>
      </c>
      <c r="AJ539" t="s">
        <v>6975</v>
      </c>
      <c r="AK539" t="s">
        <v>6974</v>
      </c>
      <c r="AL539">
        <v>0</v>
      </c>
      <c r="AM539" s="5">
        <f t="shared" si="66"/>
        <v>0</v>
      </c>
      <c r="AN539" s="4">
        <f t="shared" si="71"/>
        <v>0</v>
      </c>
      <c r="AO539" s="3"/>
      <c r="AP539">
        <v>0</v>
      </c>
      <c r="AR539" t="s">
        <v>1</v>
      </c>
      <c r="AT539" s="2" t="s">
        <v>0</v>
      </c>
      <c r="AU539" s="1">
        <f t="shared" si="67"/>
        <v>0.56805744641093392</v>
      </c>
      <c r="AV539" s="1">
        <f t="shared" si="68"/>
        <v>0.40575531886495286</v>
      </c>
      <c r="AW539" s="1">
        <f t="shared" si="69"/>
        <v>0.24345319131897172</v>
      </c>
    </row>
    <row r="540" spans="1:49" x14ac:dyDescent="0.2">
      <c r="A540">
        <v>538</v>
      </c>
      <c r="B540" t="s">
        <v>6973</v>
      </c>
      <c r="C540" t="s">
        <v>6972</v>
      </c>
      <c r="F540" t="s">
        <v>6971</v>
      </c>
      <c r="G540" t="s">
        <v>15</v>
      </c>
      <c r="H540" t="s">
        <v>14</v>
      </c>
      <c r="I540" t="s">
        <v>5493</v>
      </c>
      <c r="J540">
        <v>60011073</v>
      </c>
      <c r="K540" t="s">
        <v>5492</v>
      </c>
      <c r="L540" t="s">
        <v>5491</v>
      </c>
      <c r="M540" t="s">
        <v>10</v>
      </c>
      <c r="N540">
        <v>1</v>
      </c>
      <c r="O540" t="s">
        <v>5490</v>
      </c>
      <c r="P540">
        <v>6602351532</v>
      </c>
      <c r="Q540">
        <v>60011073</v>
      </c>
      <c r="R540" s="7">
        <v>33970</v>
      </c>
      <c r="S540" s="8">
        <f t="shared" si="64"/>
        <v>1993</v>
      </c>
      <c r="T540" s="8">
        <v>1993</v>
      </c>
      <c r="U540" s="8">
        <f t="shared" si="65"/>
        <v>29</v>
      </c>
      <c r="V540" s="7">
        <v>34243</v>
      </c>
      <c r="W540" t="s">
        <v>1284</v>
      </c>
      <c r="X540" s="2">
        <v>0.33500000000000002</v>
      </c>
      <c r="Y540" s="6">
        <f t="shared" si="70"/>
        <v>8.94263367235258E-3</v>
      </c>
      <c r="AA540">
        <v>10501827</v>
      </c>
      <c r="AB540">
        <v>78233</v>
      </c>
      <c r="AC540">
        <v>15226301</v>
      </c>
      <c r="AD540" t="s">
        <v>5</v>
      </c>
      <c r="AE540">
        <v>3</v>
      </c>
      <c r="AF540">
        <v>4</v>
      </c>
      <c r="AH540" t="s">
        <v>6970</v>
      </c>
      <c r="AI540" t="s">
        <v>6969</v>
      </c>
      <c r="AK540" t="s">
        <v>6968</v>
      </c>
      <c r="AL540">
        <v>0</v>
      </c>
      <c r="AM540" s="5">
        <f t="shared" si="66"/>
        <v>0</v>
      </c>
      <c r="AN540" s="4">
        <f t="shared" si="71"/>
        <v>0</v>
      </c>
      <c r="AO540" s="3"/>
      <c r="AP540">
        <v>0</v>
      </c>
      <c r="AR540" t="s">
        <v>1</v>
      </c>
      <c r="AT540" s="2" t="s">
        <v>0</v>
      </c>
      <c r="AU540" s="1">
        <f t="shared" si="67"/>
        <v>0.62598435706468059</v>
      </c>
      <c r="AV540" s="1">
        <f t="shared" si="68"/>
        <v>0.44713168361762901</v>
      </c>
      <c r="AW540" s="1">
        <f t="shared" si="69"/>
        <v>0.26827901017057743</v>
      </c>
    </row>
    <row r="541" spans="1:49" x14ac:dyDescent="0.2">
      <c r="A541">
        <v>539</v>
      </c>
      <c r="B541" t="s">
        <v>6967</v>
      </c>
      <c r="C541" t="s">
        <v>6966</v>
      </c>
      <c r="F541" t="s">
        <v>6965</v>
      </c>
      <c r="G541" t="s">
        <v>15</v>
      </c>
      <c r="H541" t="s">
        <v>14</v>
      </c>
      <c r="I541" t="s">
        <v>6964</v>
      </c>
      <c r="J541">
        <v>60005811</v>
      </c>
      <c r="K541" t="s">
        <v>5401</v>
      </c>
      <c r="L541" t="s">
        <v>5400</v>
      </c>
      <c r="M541" t="s">
        <v>59</v>
      </c>
      <c r="N541">
        <v>1</v>
      </c>
      <c r="O541" t="s">
        <v>6963</v>
      </c>
      <c r="P541">
        <v>7004196658</v>
      </c>
      <c r="Q541">
        <v>60005811</v>
      </c>
      <c r="R541" s="7">
        <v>33970</v>
      </c>
      <c r="S541" s="8">
        <f t="shared" si="64"/>
        <v>1993</v>
      </c>
      <c r="T541" s="8">
        <v>1993</v>
      </c>
      <c r="U541" s="8">
        <f t="shared" si="65"/>
        <v>29</v>
      </c>
      <c r="V541" s="7" t="s">
        <v>6929</v>
      </c>
      <c r="W541" s="11" t="s">
        <v>2407</v>
      </c>
      <c r="X541" s="2">
        <v>2.383</v>
      </c>
      <c r="Y541" s="6">
        <f t="shared" si="70"/>
        <v>6.3612824003630442E-2</v>
      </c>
      <c r="AA541" t="s">
        <v>2406</v>
      </c>
      <c r="AB541">
        <v>96433</v>
      </c>
      <c r="AD541" t="s">
        <v>5</v>
      </c>
      <c r="AE541">
        <v>140</v>
      </c>
      <c r="AF541">
        <v>5</v>
      </c>
      <c r="AH541" t="s">
        <v>6096</v>
      </c>
      <c r="AI541" t="s">
        <v>6962</v>
      </c>
      <c r="AK541" t="s">
        <v>6961</v>
      </c>
      <c r="AL541">
        <v>70</v>
      </c>
      <c r="AM541" s="5">
        <f t="shared" si="66"/>
        <v>2.4137931034482758</v>
      </c>
      <c r="AN541" s="4">
        <f t="shared" si="71"/>
        <v>3.655877475877737E-3</v>
      </c>
      <c r="AO541" s="3"/>
      <c r="AP541">
        <v>0</v>
      </c>
      <c r="AR541" t="s">
        <v>1</v>
      </c>
      <c r="AT541" s="2" t="s">
        <v>0</v>
      </c>
      <c r="AU541" s="1">
        <f t="shared" si="67"/>
        <v>4.5625740045304637</v>
      </c>
      <c r="AV541" s="1">
        <f t="shared" si="68"/>
        <v>3.3634350739754093</v>
      </c>
      <c r="AW541" s="1">
        <f t="shared" si="69"/>
        <v>2.1642961434203545</v>
      </c>
    </row>
    <row r="542" spans="1:49" x14ac:dyDescent="0.2">
      <c r="A542">
        <v>540</v>
      </c>
      <c r="B542" t="s">
        <v>6960</v>
      </c>
      <c r="C542" t="s">
        <v>6959</v>
      </c>
      <c r="F542" t="s">
        <v>6958</v>
      </c>
      <c r="G542" t="s">
        <v>15</v>
      </c>
      <c r="H542" t="s">
        <v>14</v>
      </c>
      <c r="I542" t="s">
        <v>6957</v>
      </c>
      <c r="J542">
        <v>60009037</v>
      </c>
      <c r="K542" t="s">
        <v>647</v>
      </c>
      <c r="L542" t="s">
        <v>646</v>
      </c>
      <c r="M542" t="s">
        <v>10</v>
      </c>
      <c r="N542">
        <v>2</v>
      </c>
      <c r="O542" t="s">
        <v>6956</v>
      </c>
      <c r="P542" t="s">
        <v>6955</v>
      </c>
      <c r="Q542" t="s">
        <v>6954</v>
      </c>
      <c r="R542" s="7">
        <v>33970</v>
      </c>
      <c r="S542" s="8">
        <f t="shared" si="64"/>
        <v>1993</v>
      </c>
      <c r="T542" s="8">
        <v>1993</v>
      </c>
      <c r="U542" s="8">
        <f t="shared" si="65"/>
        <v>29</v>
      </c>
      <c r="V542" s="7">
        <v>34243</v>
      </c>
      <c r="W542" t="s">
        <v>4365</v>
      </c>
      <c r="X542" s="2">
        <v>0.82799999999999996</v>
      </c>
      <c r="Y542" s="6">
        <f t="shared" si="70"/>
        <v>2.2102987106590855E-2</v>
      </c>
      <c r="AA542">
        <v>11452</v>
      </c>
      <c r="AB542">
        <v>29964</v>
      </c>
      <c r="AD542" t="s">
        <v>5</v>
      </c>
      <c r="AE542">
        <v>31</v>
      </c>
      <c r="AF542">
        <v>10</v>
      </c>
      <c r="AH542" t="s">
        <v>6953</v>
      </c>
      <c r="AI542" t="s">
        <v>6952</v>
      </c>
      <c r="AK542" t="s">
        <v>6951</v>
      </c>
      <c r="AL542">
        <v>27</v>
      </c>
      <c r="AM542" s="5">
        <f t="shared" si="66"/>
        <v>0.93103448275862066</v>
      </c>
      <c r="AN542" s="4">
        <f t="shared" si="71"/>
        <v>1.410124169267127E-3</v>
      </c>
      <c r="AO542" s="3"/>
      <c r="AP542">
        <v>0</v>
      </c>
      <c r="AQ542" t="s">
        <v>639</v>
      </c>
      <c r="AR542" t="s">
        <v>1</v>
      </c>
      <c r="AS542" t="s">
        <v>638</v>
      </c>
      <c r="AT542" s="2">
        <v>2.1269999999999998</v>
      </c>
      <c r="AU542" s="1">
        <f t="shared" si="67"/>
        <v>1.5895128225393735</v>
      </c>
      <c r="AV542" s="1">
        <f t="shared" si="68"/>
        <v>1.1756555637928991</v>
      </c>
      <c r="AW542" s="1">
        <f t="shared" si="69"/>
        <v>0.76179830504642443</v>
      </c>
    </row>
    <row r="543" spans="1:49" x14ac:dyDescent="0.2">
      <c r="A543">
        <v>541</v>
      </c>
      <c r="B543" t="s">
        <v>6950</v>
      </c>
      <c r="C543" t="s">
        <v>6949</v>
      </c>
      <c r="F543" t="s">
        <v>6948</v>
      </c>
      <c r="G543" t="s">
        <v>15</v>
      </c>
      <c r="H543" t="s">
        <v>14</v>
      </c>
      <c r="I543" t="s">
        <v>6947</v>
      </c>
      <c r="J543">
        <v>60071150</v>
      </c>
      <c r="K543" t="s">
        <v>6946</v>
      </c>
      <c r="L543" t="s">
        <v>6945</v>
      </c>
      <c r="M543" t="s">
        <v>6944</v>
      </c>
      <c r="N543">
        <v>2</v>
      </c>
      <c r="O543" t="s">
        <v>6943</v>
      </c>
      <c r="P543" t="s">
        <v>6942</v>
      </c>
      <c r="Q543" t="s">
        <v>6941</v>
      </c>
      <c r="R543" s="7">
        <v>33970</v>
      </c>
      <c r="S543" s="8">
        <f t="shared" si="64"/>
        <v>1993</v>
      </c>
      <c r="T543" s="8">
        <v>1993</v>
      </c>
      <c r="U543" s="8">
        <f t="shared" si="65"/>
        <v>29</v>
      </c>
      <c r="V543" s="7" t="s">
        <v>6929</v>
      </c>
      <c r="W543" s="11" t="s">
        <v>2393</v>
      </c>
      <c r="X543" s="2">
        <v>2.383</v>
      </c>
      <c r="Y543" s="6">
        <f t="shared" si="70"/>
        <v>6.3612824003630442E-2</v>
      </c>
      <c r="AA543" t="s">
        <v>2392</v>
      </c>
      <c r="AB543">
        <v>101151</v>
      </c>
      <c r="AD543" t="s">
        <v>5</v>
      </c>
      <c r="AE543">
        <v>140</v>
      </c>
      <c r="AF543">
        <v>5</v>
      </c>
      <c r="AH543" t="s">
        <v>6940</v>
      </c>
      <c r="AI543" t="s">
        <v>6939</v>
      </c>
      <c r="AK543" t="s">
        <v>6938</v>
      </c>
      <c r="AL543">
        <v>5</v>
      </c>
      <c r="AM543" s="5">
        <f t="shared" si="66"/>
        <v>0.17241379310344829</v>
      </c>
      <c r="AN543" s="4">
        <f t="shared" si="71"/>
        <v>2.6113410541983838E-4</v>
      </c>
      <c r="AO543" s="3"/>
      <c r="AP543">
        <v>0</v>
      </c>
      <c r="AR543" t="s">
        <v>1</v>
      </c>
      <c r="AT543" s="2" t="s">
        <v>0</v>
      </c>
      <c r="AU543" s="1">
        <f t="shared" si="67"/>
        <v>4.4607317034167258</v>
      </c>
      <c r="AV543" s="1">
        <f t="shared" si="68"/>
        <v>3.1936979054525141</v>
      </c>
      <c r="AW543" s="1">
        <f t="shared" si="69"/>
        <v>1.9266641074883022</v>
      </c>
    </row>
    <row r="544" spans="1:49" x14ac:dyDescent="0.2">
      <c r="A544">
        <v>542</v>
      </c>
      <c r="B544" t="s">
        <v>6937</v>
      </c>
      <c r="C544" t="s">
        <v>6936</v>
      </c>
      <c r="F544" t="s">
        <v>6935</v>
      </c>
      <c r="G544" t="s">
        <v>15</v>
      </c>
      <c r="H544" t="s">
        <v>14</v>
      </c>
      <c r="I544" t="s">
        <v>6934</v>
      </c>
      <c r="J544">
        <v>120604894</v>
      </c>
      <c r="K544" t="s">
        <v>6933</v>
      </c>
      <c r="M544" t="s">
        <v>493</v>
      </c>
      <c r="N544">
        <v>2</v>
      </c>
      <c r="O544" t="s">
        <v>6932</v>
      </c>
      <c r="P544" t="s">
        <v>6931</v>
      </c>
      <c r="Q544" t="s">
        <v>6930</v>
      </c>
      <c r="R544" s="7">
        <v>33970</v>
      </c>
      <c r="S544" s="8">
        <f t="shared" si="64"/>
        <v>1993</v>
      </c>
      <c r="T544" s="8">
        <v>1993</v>
      </c>
      <c r="U544" s="8">
        <f t="shared" si="65"/>
        <v>29</v>
      </c>
      <c r="V544" s="7" t="s">
        <v>6929</v>
      </c>
      <c r="W544" s="11" t="s">
        <v>2393</v>
      </c>
      <c r="X544" s="2">
        <v>2.383</v>
      </c>
      <c r="Y544" s="6">
        <f t="shared" si="70"/>
        <v>6.3612824003630442E-2</v>
      </c>
      <c r="AA544" t="s">
        <v>2392</v>
      </c>
      <c r="AB544">
        <v>101151</v>
      </c>
      <c r="AD544" t="s">
        <v>5</v>
      </c>
      <c r="AE544">
        <v>140</v>
      </c>
      <c r="AF544">
        <v>5</v>
      </c>
      <c r="AH544" t="s">
        <v>6928</v>
      </c>
      <c r="AI544" t="s">
        <v>6927</v>
      </c>
      <c r="AK544" t="s">
        <v>6926</v>
      </c>
      <c r="AL544">
        <v>6</v>
      </c>
      <c r="AM544" s="5">
        <f t="shared" si="66"/>
        <v>0.20689655172413793</v>
      </c>
      <c r="AN544" s="4">
        <f t="shared" si="71"/>
        <v>3.1336092650380602E-4</v>
      </c>
      <c r="AO544" s="3"/>
      <c r="AP544">
        <v>0</v>
      </c>
      <c r="AR544" t="s">
        <v>1</v>
      </c>
      <c r="AT544" s="2" t="s">
        <v>0</v>
      </c>
      <c r="AU544" s="1">
        <f t="shared" si="67"/>
        <v>4.462298508049245</v>
      </c>
      <c r="AV544" s="1">
        <f t="shared" si="68"/>
        <v>3.1963092465067122</v>
      </c>
      <c r="AW544" s="1">
        <f t="shared" si="69"/>
        <v>1.9303199849641799</v>
      </c>
    </row>
    <row r="545" spans="1:49" x14ac:dyDescent="0.2">
      <c r="A545">
        <v>543</v>
      </c>
      <c r="B545" t="s">
        <v>6925</v>
      </c>
      <c r="C545" t="s">
        <v>6924</v>
      </c>
      <c r="F545" t="s">
        <v>6923</v>
      </c>
      <c r="G545" t="s">
        <v>15</v>
      </c>
      <c r="H545" t="s">
        <v>14</v>
      </c>
      <c r="I545" t="s">
        <v>6922</v>
      </c>
      <c r="J545">
        <v>60025555</v>
      </c>
      <c r="K545" t="s">
        <v>1785</v>
      </c>
      <c r="L545" t="s">
        <v>151</v>
      </c>
      <c r="M545" t="s">
        <v>150</v>
      </c>
      <c r="N545">
        <v>4</v>
      </c>
      <c r="O545" t="s">
        <v>6921</v>
      </c>
      <c r="P545" t="s">
        <v>6920</v>
      </c>
      <c r="Q545" t="s">
        <v>6919</v>
      </c>
      <c r="R545" s="7">
        <v>33970</v>
      </c>
      <c r="S545" s="8">
        <f t="shared" si="64"/>
        <v>1993</v>
      </c>
      <c r="T545" s="8">
        <v>1993</v>
      </c>
      <c r="U545" s="8">
        <f t="shared" si="65"/>
        <v>29</v>
      </c>
      <c r="V545" s="7">
        <v>1993</v>
      </c>
      <c r="W545" t="s">
        <v>1720</v>
      </c>
      <c r="X545" s="2">
        <v>0.111</v>
      </c>
      <c r="Y545" s="6">
        <f t="shared" si="70"/>
        <v>2.9630816048690639E-3</v>
      </c>
      <c r="AA545">
        <v>87566621</v>
      </c>
      <c r="AB545">
        <v>24890</v>
      </c>
      <c r="AC545">
        <v>15206424</v>
      </c>
      <c r="AD545" t="s">
        <v>5</v>
      </c>
      <c r="AE545">
        <v>76</v>
      </c>
      <c r="AF545">
        <v>10</v>
      </c>
      <c r="AH545" t="s">
        <v>6918</v>
      </c>
      <c r="AI545" t="s">
        <v>6917</v>
      </c>
      <c r="AJ545" t="s">
        <v>6916</v>
      </c>
      <c r="AK545" t="s">
        <v>6915</v>
      </c>
      <c r="AL545">
        <v>6</v>
      </c>
      <c r="AM545" s="5">
        <f t="shared" si="66"/>
        <v>0.20689655172413793</v>
      </c>
      <c r="AN545" s="4">
        <f t="shared" si="71"/>
        <v>3.1336092650380602E-4</v>
      </c>
      <c r="AO545" s="3"/>
      <c r="AP545">
        <v>0</v>
      </c>
      <c r="AR545" t="s">
        <v>1</v>
      </c>
      <c r="AT545" s="2" t="s">
        <v>0</v>
      </c>
      <c r="AU545" s="1">
        <f t="shared" si="67"/>
        <v>0.21681654013594862</v>
      </c>
      <c r="AV545" s="1">
        <f t="shared" si="68"/>
        <v>0.16382212656864348</v>
      </c>
      <c r="AW545" s="1">
        <f t="shared" si="69"/>
        <v>0.11082771300133833</v>
      </c>
    </row>
    <row r="546" spans="1:49" x14ac:dyDescent="0.2">
      <c r="A546">
        <v>544</v>
      </c>
      <c r="B546" t="s">
        <v>6914</v>
      </c>
      <c r="C546" t="s">
        <v>6913</v>
      </c>
      <c r="F546" t="s">
        <v>6912</v>
      </c>
      <c r="G546" t="s">
        <v>15</v>
      </c>
      <c r="H546" t="s">
        <v>14</v>
      </c>
      <c r="I546" t="s">
        <v>6911</v>
      </c>
      <c r="J546" t="s">
        <v>6910</v>
      </c>
      <c r="K546" t="s">
        <v>6909</v>
      </c>
      <c r="L546" t="s">
        <v>6908</v>
      </c>
      <c r="M546" t="s">
        <v>478</v>
      </c>
      <c r="N546">
        <v>5</v>
      </c>
      <c r="O546" t="s">
        <v>6907</v>
      </c>
      <c r="P546" t="s">
        <v>6906</v>
      </c>
      <c r="Q546" t="s">
        <v>6905</v>
      </c>
      <c r="R546" s="7">
        <v>33970</v>
      </c>
      <c r="S546" s="8">
        <f t="shared" si="64"/>
        <v>1993</v>
      </c>
      <c r="T546" s="8">
        <v>1993</v>
      </c>
      <c r="U546" s="8">
        <f t="shared" si="65"/>
        <v>29</v>
      </c>
      <c r="V546" s="7">
        <v>34243</v>
      </c>
      <c r="W546" t="s">
        <v>814</v>
      </c>
      <c r="X546" s="2">
        <v>1.6519999999999999</v>
      </c>
      <c r="Y546" s="6">
        <f t="shared" si="70"/>
        <v>4.409919649769093E-2</v>
      </c>
      <c r="AA546" t="s">
        <v>813</v>
      </c>
      <c r="AB546">
        <v>17337</v>
      </c>
      <c r="AC546">
        <v>15582221</v>
      </c>
      <c r="AD546" t="s">
        <v>5</v>
      </c>
      <c r="AE546">
        <v>41</v>
      </c>
      <c r="AF546">
        <v>10</v>
      </c>
      <c r="AH546" t="s">
        <v>6904</v>
      </c>
      <c r="AI546" t="s">
        <v>6903</v>
      </c>
      <c r="AK546" t="s">
        <v>6902</v>
      </c>
      <c r="AL546">
        <v>10</v>
      </c>
      <c r="AM546" s="5">
        <f t="shared" si="66"/>
        <v>0.34482758620689657</v>
      </c>
      <c r="AN546" s="4">
        <f t="shared" si="71"/>
        <v>5.2226821083967677E-4</v>
      </c>
      <c r="AO546" s="3"/>
      <c r="AP546">
        <v>0</v>
      </c>
      <c r="AQ546" t="s">
        <v>6901</v>
      </c>
      <c r="AR546" t="s">
        <v>1</v>
      </c>
      <c r="AS546" t="s">
        <v>6900</v>
      </c>
      <c r="AT546" s="2" t="s">
        <v>0</v>
      </c>
      <c r="AU546" s="1">
        <f t="shared" si="67"/>
        <v>3.1026118011635551</v>
      </c>
      <c r="AV546" s="1">
        <f t="shared" si="68"/>
        <v>2.2310732354265306</v>
      </c>
      <c r="AW546" s="1">
        <f t="shared" si="69"/>
        <v>1.3595346696895052</v>
      </c>
    </row>
    <row r="547" spans="1:49" x14ac:dyDescent="0.2">
      <c r="A547">
        <v>545</v>
      </c>
      <c r="B547" t="s">
        <v>6899</v>
      </c>
      <c r="C547" t="s">
        <v>6898</v>
      </c>
      <c r="F547" t="s">
        <v>6897</v>
      </c>
      <c r="G547" t="s">
        <v>15</v>
      </c>
      <c r="H547" t="s">
        <v>14</v>
      </c>
      <c r="I547" t="s">
        <v>6896</v>
      </c>
      <c r="J547">
        <v>60023053</v>
      </c>
      <c r="K547" t="s">
        <v>2858</v>
      </c>
      <c r="L547" t="s">
        <v>2857</v>
      </c>
      <c r="M547" t="s">
        <v>10</v>
      </c>
      <c r="N547">
        <v>1</v>
      </c>
      <c r="O547" t="s">
        <v>6895</v>
      </c>
      <c r="P547">
        <v>35578175900</v>
      </c>
      <c r="Q547">
        <v>60023053</v>
      </c>
      <c r="R547" s="7">
        <v>33970</v>
      </c>
      <c r="S547" s="8">
        <f t="shared" si="64"/>
        <v>1993</v>
      </c>
      <c r="T547" s="8">
        <v>1993</v>
      </c>
      <c r="U547" s="8">
        <f t="shared" si="65"/>
        <v>29</v>
      </c>
      <c r="V547" s="7">
        <v>34243</v>
      </c>
      <c r="W547" t="s">
        <v>814</v>
      </c>
      <c r="X547" s="2">
        <v>1.6519999999999999</v>
      </c>
      <c r="Y547" s="6">
        <f t="shared" si="70"/>
        <v>4.409919649769093E-2</v>
      </c>
      <c r="AA547" t="s">
        <v>813</v>
      </c>
      <c r="AB547">
        <v>17337</v>
      </c>
      <c r="AC547">
        <v>15582221</v>
      </c>
      <c r="AD547" t="s">
        <v>5</v>
      </c>
      <c r="AE547">
        <v>41</v>
      </c>
      <c r="AF547">
        <v>10</v>
      </c>
      <c r="AH547" t="s">
        <v>6894</v>
      </c>
      <c r="AI547" t="s">
        <v>6893</v>
      </c>
      <c r="AK547" t="s">
        <v>6892</v>
      </c>
      <c r="AL547">
        <v>195</v>
      </c>
      <c r="AM547" s="5">
        <f t="shared" si="66"/>
        <v>6.7241379310344831</v>
      </c>
      <c r="AN547" s="4">
        <f t="shared" si="71"/>
        <v>1.0184230111373696E-2</v>
      </c>
      <c r="AO547" s="3"/>
      <c r="AP547">
        <v>0</v>
      </c>
      <c r="AR547" t="s">
        <v>1</v>
      </c>
      <c r="AT547" s="2" t="s">
        <v>0</v>
      </c>
      <c r="AU547" s="1">
        <f t="shared" si="67"/>
        <v>3.3924706581795756</v>
      </c>
      <c r="AV547" s="1">
        <f t="shared" si="68"/>
        <v>2.7141713304532313</v>
      </c>
      <c r="AW547" s="1">
        <f t="shared" si="69"/>
        <v>2.0358720027268866</v>
      </c>
    </row>
    <row r="548" spans="1:49" x14ac:dyDescent="0.2">
      <c r="A548">
        <v>546</v>
      </c>
      <c r="B548" t="s">
        <v>6891</v>
      </c>
      <c r="C548" t="s">
        <v>6890</v>
      </c>
      <c r="F548" t="s">
        <v>6889</v>
      </c>
      <c r="G548" t="s">
        <v>15</v>
      </c>
      <c r="H548" t="s">
        <v>14</v>
      </c>
      <c r="I548" t="s">
        <v>6888</v>
      </c>
      <c r="J548">
        <v>60021859</v>
      </c>
      <c r="K548" t="s">
        <v>6027</v>
      </c>
      <c r="L548" t="s">
        <v>6026</v>
      </c>
      <c r="M548" t="s">
        <v>2423</v>
      </c>
      <c r="N548">
        <v>5</v>
      </c>
      <c r="O548" t="s">
        <v>6887</v>
      </c>
      <c r="P548" t="s">
        <v>6886</v>
      </c>
      <c r="Q548" t="s">
        <v>6885</v>
      </c>
      <c r="R548" s="7">
        <v>33970</v>
      </c>
      <c r="S548" s="8">
        <f t="shared" si="64"/>
        <v>1993</v>
      </c>
      <c r="T548" s="8">
        <v>1993</v>
      </c>
      <c r="U548" s="8">
        <f t="shared" si="65"/>
        <v>29</v>
      </c>
      <c r="V548" s="7">
        <v>34243</v>
      </c>
      <c r="W548" t="s">
        <v>1284</v>
      </c>
      <c r="X548" s="2">
        <v>0.33500000000000002</v>
      </c>
      <c r="Y548" s="6">
        <f t="shared" si="70"/>
        <v>8.94263367235258E-3</v>
      </c>
      <c r="AA548">
        <v>10501827</v>
      </c>
      <c r="AB548">
        <v>78233</v>
      </c>
      <c r="AC548">
        <v>15226301</v>
      </c>
      <c r="AD548" t="s">
        <v>5</v>
      </c>
      <c r="AE548">
        <v>3</v>
      </c>
      <c r="AF548">
        <v>4</v>
      </c>
      <c r="AH548" t="s">
        <v>6884</v>
      </c>
      <c r="AI548" t="s">
        <v>6883</v>
      </c>
      <c r="AK548" t="s">
        <v>6882</v>
      </c>
      <c r="AL548">
        <v>4</v>
      </c>
      <c r="AM548" s="5">
        <f t="shared" si="66"/>
        <v>0.13793103448275862</v>
      </c>
      <c r="AN548" s="4">
        <f t="shared" si="71"/>
        <v>2.089072843358707E-4</v>
      </c>
      <c r="AO548" s="3"/>
      <c r="AP548">
        <v>0</v>
      </c>
      <c r="AR548" t="s">
        <v>1</v>
      </c>
      <c r="AT548" s="2" t="s">
        <v>0</v>
      </c>
      <c r="AU548" s="1">
        <f t="shared" si="67"/>
        <v>0.63225157559475675</v>
      </c>
      <c r="AV548" s="1">
        <f t="shared" si="68"/>
        <v>0.45757704783442255</v>
      </c>
      <c r="AW548" s="1">
        <f t="shared" si="69"/>
        <v>0.28290252007408834</v>
      </c>
    </row>
    <row r="549" spans="1:49" x14ac:dyDescent="0.2">
      <c r="A549">
        <v>547</v>
      </c>
      <c r="B549" t="s">
        <v>6881</v>
      </c>
      <c r="C549" t="s">
        <v>6880</v>
      </c>
      <c r="F549" t="s">
        <v>6879</v>
      </c>
      <c r="G549" t="s">
        <v>15</v>
      </c>
      <c r="H549" t="s">
        <v>14</v>
      </c>
      <c r="I549" t="s">
        <v>4010</v>
      </c>
      <c r="J549" t="s">
        <v>6878</v>
      </c>
      <c r="K549" t="s">
        <v>6877</v>
      </c>
      <c r="L549" t="s">
        <v>6876</v>
      </c>
      <c r="M549" t="s">
        <v>6875</v>
      </c>
      <c r="N549">
        <v>4</v>
      </c>
      <c r="O549" t="s">
        <v>6874</v>
      </c>
      <c r="P549" t="s">
        <v>6873</v>
      </c>
      <c r="Q549" t="s">
        <v>6872</v>
      </c>
      <c r="R549" s="7">
        <v>33970</v>
      </c>
      <c r="S549" s="8">
        <f t="shared" si="64"/>
        <v>1993</v>
      </c>
      <c r="T549" s="8">
        <v>1993</v>
      </c>
      <c r="U549" s="8">
        <f t="shared" si="65"/>
        <v>29</v>
      </c>
      <c r="V549" s="7">
        <v>34243</v>
      </c>
      <c r="W549" t="s">
        <v>1284</v>
      </c>
      <c r="X549" s="2">
        <v>0.33500000000000002</v>
      </c>
      <c r="Y549" s="6">
        <f t="shared" si="70"/>
        <v>8.94263367235258E-3</v>
      </c>
      <c r="AA549">
        <v>10501827</v>
      </c>
      <c r="AB549">
        <v>78233</v>
      </c>
      <c r="AC549">
        <v>15226301</v>
      </c>
      <c r="AD549" t="s">
        <v>5</v>
      </c>
      <c r="AE549">
        <v>3</v>
      </c>
      <c r="AF549">
        <v>4</v>
      </c>
      <c r="AH549" t="s">
        <v>6871</v>
      </c>
      <c r="AI549" t="s">
        <v>6870</v>
      </c>
      <c r="AK549" t="s">
        <v>6869</v>
      </c>
      <c r="AL549">
        <v>2</v>
      </c>
      <c r="AM549" s="5">
        <f t="shared" si="66"/>
        <v>6.8965517241379309E-2</v>
      </c>
      <c r="AN549" s="4">
        <f t="shared" si="71"/>
        <v>1.0445364216793535E-4</v>
      </c>
      <c r="AO549" s="3"/>
      <c r="AP549">
        <v>0</v>
      </c>
      <c r="AR549" t="s">
        <v>1</v>
      </c>
      <c r="AT549" s="2" t="s">
        <v>0</v>
      </c>
      <c r="AU549" s="1">
        <f t="shared" si="67"/>
        <v>0.62911796632971861</v>
      </c>
      <c r="AV549" s="1">
        <f t="shared" si="68"/>
        <v>0.45235436572602583</v>
      </c>
      <c r="AW549" s="1">
        <f t="shared" si="69"/>
        <v>0.27559076512233288</v>
      </c>
    </row>
    <row r="550" spans="1:49" x14ac:dyDescent="0.2">
      <c r="A550">
        <v>548</v>
      </c>
      <c r="B550" t="s">
        <v>6868</v>
      </c>
      <c r="C550" t="s">
        <v>6867</v>
      </c>
      <c r="F550" t="s">
        <v>6866</v>
      </c>
      <c r="G550" t="s">
        <v>15</v>
      </c>
      <c r="H550" t="s">
        <v>14</v>
      </c>
      <c r="I550" t="s">
        <v>6865</v>
      </c>
      <c r="J550">
        <v>60007798</v>
      </c>
      <c r="K550" t="s">
        <v>6184</v>
      </c>
      <c r="L550" t="s">
        <v>6183</v>
      </c>
      <c r="M550" t="s">
        <v>59</v>
      </c>
      <c r="N550">
        <v>4</v>
      </c>
      <c r="O550" t="s">
        <v>6864</v>
      </c>
      <c r="P550" t="s">
        <v>6863</v>
      </c>
      <c r="Q550" t="s">
        <v>6180</v>
      </c>
      <c r="R550" s="7">
        <v>33970</v>
      </c>
      <c r="S550" s="8">
        <f t="shared" si="64"/>
        <v>1993</v>
      </c>
      <c r="T550" s="8">
        <v>1993</v>
      </c>
      <c r="U550" s="8">
        <f t="shared" si="65"/>
        <v>29</v>
      </c>
      <c r="V550" s="7">
        <v>34213</v>
      </c>
      <c r="W550" t="s">
        <v>6862</v>
      </c>
      <c r="X550" s="2">
        <v>1.6779999999999999</v>
      </c>
      <c r="Y550" s="6">
        <f t="shared" si="70"/>
        <v>4.479325164838098E-2</v>
      </c>
      <c r="AA550">
        <v>10636536</v>
      </c>
      <c r="AB550">
        <v>17342</v>
      </c>
      <c r="AC550">
        <v>15580865</v>
      </c>
      <c r="AD550" t="s">
        <v>5</v>
      </c>
      <c r="AE550">
        <v>1</v>
      </c>
      <c r="AF550">
        <v>3</v>
      </c>
      <c r="AH550" t="s">
        <v>6861</v>
      </c>
      <c r="AI550" t="s">
        <v>6860</v>
      </c>
      <c r="AK550" t="s">
        <v>6859</v>
      </c>
      <c r="AL550">
        <v>13</v>
      </c>
      <c r="AM550" s="5">
        <f t="shared" si="66"/>
        <v>0.44827586206896552</v>
      </c>
      <c r="AN550" s="4">
        <f t="shared" si="71"/>
        <v>6.7894867409157972E-4</v>
      </c>
      <c r="AO550" s="3"/>
      <c r="AP550">
        <v>0</v>
      </c>
      <c r="AR550" t="s">
        <v>1</v>
      </c>
      <c r="AT550" s="2" t="s">
        <v>0</v>
      </c>
      <c r="AU550" s="1">
        <f t="shared" si="67"/>
        <v>3.1558960756094159</v>
      </c>
      <c r="AV550" s="1">
        <f t="shared" si="68"/>
        <v>2.2736100161236279</v>
      </c>
      <c r="AW550" s="1">
        <f t="shared" si="69"/>
        <v>1.3913239566378399</v>
      </c>
    </row>
    <row r="551" spans="1:49" x14ac:dyDescent="0.2">
      <c r="A551">
        <v>549</v>
      </c>
      <c r="B551" t="s">
        <v>6858</v>
      </c>
      <c r="C551" t="s">
        <v>6857</v>
      </c>
      <c r="F551" t="s">
        <v>6856</v>
      </c>
      <c r="G551" t="s">
        <v>15</v>
      </c>
      <c r="H551" t="s">
        <v>14</v>
      </c>
      <c r="I551" t="s">
        <v>6855</v>
      </c>
      <c r="N551">
        <v>2</v>
      </c>
      <c r="O551" t="s">
        <v>6854</v>
      </c>
      <c r="P551" t="s">
        <v>6853</v>
      </c>
      <c r="Q551" t="s">
        <v>1557</v>
      </c>
      <c r="R551" s="7">
        <v>33970</v>
      </c>
      <c r="S551" s="8">
        <f t="shared" si="64"/>
        <v>1993</v>
      </c>
      <c r="T551" s="8">
        <v>1993</v>
      </c>
      <c r="U551" s="8">
        <f t="shared" si="65"/>
        <v>29</v>
      </c>
      <c r="V551" s="7" t="s">
        <v>6426</v>
      </c>
      <c r="W551" t="s">
        <v>1555</v>
      </c>
      <c r="X551" s="2">
        <v>0.371</v>
      </c>
      <c r="Y551" s="6">
        <f t="shared" si="70"/>
        <v>9.9036331117695747E-3</v>
      </c>
      <c r="AA551">
        <v>486604</v>
      </c>
      <c r="AB551">
        <v>28580</v>
      </c>
      <c r="AC551" t="s">
        <v>1554</v>
      </c>
      <c r="AD551" t="s">
        <v>5</v>
      </c>
      <c r="AE551">
        <v>28</v>
      </c>
      <c r="AF551">
        <v>5</v>
      </c>
      <c r="AH551" t="s">
        <v>6852</v>
      </c>
      <c r="AI551" t="s">
        <v>6851</v>
      </c>
      <c r="AK551" t="s">
        <v>6850</v>
      </c>
      <c r="AL551">
        <v>2</v>
      </c>
      <c r="AM551" s="5">
        <f t="shared" si="66"/>
        <v>6.8965517241379309E-2</v>
      </c>
      <c r="AN551" s="4">
        <f t="shared" si="71"/>
        <v>1.0445364216793535E-4</v>
      </c>
      <c r="AO551" s="3"/>
      <c r="AP551">
        <v>0</v>
      </c>
      <c r="AR551" t="s">
        <v>1</v>
      </c>
      <c r="AT551" s="2">
        <v>1.431</v>
      </c>
      <c r="AU551" s="1">
        <f t="shared" si="67"/>
        <v>0.69638792708890818</v>
      </c>
      <c r="AV551" s="1">
        <f t="shared" si="68"/>
        <v>0.50040433769687553</v>
      </c>
      <c r="AW551" s="1">
        <f t="shared" si="69"/>
        <v>0.30442074830484273</v>
      </c>
    </row>
    <row r="552" spans="1:49" x14ac:dyDescent="0.2">
      <c r="A552">
        <v>550</v>
      </c>
      <c r="B552" t="s">
        <v>6849</v>
      </c>
      <c r="C552" t="s">
        <v>6848</v>
      </c>
      <c r="F552" t="s">
        <v>6847</v>
      </c>
      <c r="G552" t="s">
        <v>15</v>
      </c>
      <c r="H552" t="s">
        <v>14</v>
      </c>
      <c r="I552" t="s">
        <v>6846</v>
      </c>
      <c r="J552">
        <v>60015623</v>
      </c>
      <c r="K552" t="s">
        <v>6845</v>
      </c>
      <c r="L552" t="s">
        <v>1817</v>
      </c>
      <c r="M552" t="s">
        <v>10</v>
      </c>
      <c r="N552">
        <v>1</v>
      </c>
      <c r="O552" t="s">
        <v>6844</v>
      </c>
      <c r="P552">
        <v>7006807417</v>
      </c>
      <c r="Q552">
        <v>60015623</v>
      </c>
      <c r="R552" s="7">
        <v>33970</v>
      </c>
      <c r="S552" s="8">
        <f t="shared" si="64"/>
        <v>1993</v>
      </c>
      <c r="T552" s="8">
        <v>1993</v>
      </c>
      <c r="U552" s="8">
        <f t="shared" si="65"/>
        <v>29</v>
      </c>
      <c r="V552" s="7">
        <v>34213</v>
      </c>
      <c r="W552" t="s">
        <v>814</v>
      </c>
      <c r="X552" s="2">
        <v>1.6519999999999999</v>
      </c>
      <c r="Y552" s="6">
        <f t="shared" si="70"/>
        <v>4.409919649769093E-2</v>
      </c>
      <c r="AA552" t="s">
        <v>813</v>
      </c>
      <c r="AB552">
        <v>17337</v>
      </c>
      <c r="AC552">
        <v>15582221</v>
      </c>
      <c r="AD552" t="s">
        <v>5</v>
      </c>
      <c r="AE552">
        <v>41</v>
      </c>
      <c r="AF552">
        <v>9</v>
      </c>
      <c r="AH552" t="s">
        <v>6843</v>
      </c>
      <c r="AI552" t="s">
        <v>6842</v>
      </c>
      <c r="AK552" t="s">
        <v>6841</v>
      </c>
      <c r="AL552">
        <v>0</v>
      </c>
      <c r="AM552" s="5">
        <f t="shared" si="66"/>
        <v>0</v>
      </c>
      <c r="AN552" s="4">
        <f t="shared" si="71"/>
        <v>0</v>
      </c>
      <c r="AO552" s="3"/>
      <c r="AP552">
        <v>0</v>
      </c>
      <c r="AR552" t="s">
        <v>1</v>
      </c>
      <c r="AT552" s="2" t="s">
        <v>0</v>
      </c>
      <c r="AU552" s="1">
        <f t="shared" si="67"/>
        <v>3.0869437548383649</v>
      </c>
      <c r="AV552" s="1">
        <f t="shared" si="68"/>
        <v>2.2049598248845466</v>
      </c>
      <c r="AW552" s="1">
        <f t="shared" si="69"/>
        <v>1.3229758949307278</v>
      </c>
    </row>
    <row r="553" spans="1:49" x14ac:dyDescent="0.2">
      <c r="A553">
        <v>551</v>
      </c>
      <c r="B553" t="s">
        <v>6840</v>
      </c>
      <c r="C553" t="s">
        <v>6839</v>
      </c>
      <c r="F553" t="s">
        <v>6838</v>
      </c>
      <c r="G553" t="s">
        <v>15</v>
      </c>
      <c r="H553" t="s">
        <v>14</v>
      </c>
      <c r="I553" t="s">
        <v>6837</v>
      </c>
      <c r="J553">
        <v>60008447</v>
      </c>
      <c r="K553" t="s">
        <v>1289</v>
      </c>
      <c r="L553" t="s">
        <v>1288</v>
      </c>
      <c r="M553" t="s">
        <v>303</v>
      </c>
      <c r="N553">
        <v>3</v>
      </c>
      <c r="O553" t="s">
        <v>6836</v>
      </c>
      <c r="P553" t="s">
        <v>6835</v>
      </c>
      <c r="Q553" t="s">
        <v>5949</v>
      </c>
      <c r="R553" s="7">
        <v>33970</v>
      </c>
      <c r="S553" s="8">
        <f t="shared" si="64"/>
        <v>1993</v>
      </c>
      <c r="T553" s="8">
        <v>1993</v>
      </c>
      <c r="U553" s="8">
        <f t="shared" si="65"/>
        <v>29</v>
      </c>
      <c r="V553" s="7">
        <v>34217</v>
      </c>
      <c r="W553" t="s">
        <v>2382</v>
      </c>
      <c r="X553" s="2">
        <v>0.30399999999999999</v>
      </c>
      <c r="Y553" s="6">
        <f t="shared" si="70"/>
        <v>8.115106377299057E-3</v>
      </c>
      <c r="AA553">
        <v>8952477</v>
      </c>
      <c r="AB553">
        <v>12250</v>
      </c>
      <c r="AC553">
        <v>10982760</v>
      </c>
      <c r="AD553" t="s">
        <v>5</v>
      </c>
      <c r="AE553">
        <v>6</v>
      </c>
      <c r="AF553">
        <v>12</v>
      </c>
      <c r="AH553" t="s">
        <v>6834</v>
      </c>
      <c r="AI553" t="s">
        <v>6833</v>
      </c>
      <c r="AJ553" t="s">
        <v>6832</v>
      </c>
      <c r="AK553" t="s">
        <v>6831</v>
      </c>
      <c r="AL553">
        <v>2</v>
      </c>
      <c r="AM553" s="5">
        <f t="shared" si="66"/>
        <v>6.8965517241379309E-2</v>
      </c>
      <c r="AN553" s="4">
        <f t="shared" si="71"/>
        <v>1.0445364216793535E-4</v>
      </c>
      <c r="AO553" s="3"/>
      <c r="AP553">
        <v>0</v>
      </c>
      <c r="AR553" t="s">
        <v>1</v>
      </c>
      <c r="AT553" s="2" t="s">
        <v>0</v>
      </c>
      <c r="AU553" s="1">
        <f t="shared" si="67"/>
        <v>0.57119105567597195</v>
      </c>
      <c r="AV553" s="1">
        <f t="shared" si="68"/>
        <v>0.41097800097334963</v>
      </c>
      <c r="AW553" s="1">
        <f t="shared" si="69"/>
        <v>0.25076494627072721</v>
      </c>
    </row>
    <row r="554" spans="1:49" x14ac:dyDescent="0.2">
      <c r="A554">
        <v>552</v>
      </c>
      <c r="B554" t="s">
        <v>6830</v>
      </c>
      <c r="C554" t="s">
        <v>6829</v>
      </c>
      <c r="F554" t="s">
        <v>6828</v>
      </c>
      <c r="G554" t="s">
        <v>15</v>
      </c>
      <c r="H554" t="s">
        <v>14</v>
      </c>
      <c r="I554" t="s">
        <v>3619</v>
      </c>
      <c r="J554">
        <v>60017161</v>
      </c>
      <c r="K554" t="s">
        <v>2398</v>
      </c>
      <c r="L554" t="s">
        <v>1461</v>
      </c>
      <c r="M554" t="s">
        <v>1460</v>
      </c>
      <c r="N554">
        <v>2</v>
      </c>
      <c r="O554" t="s">
        <v>6827</v>
      </c>
      <c r="P554" t="s">
        <v>6826</v>
      </c>
      <c r="Q554" t="s">
        <v>4936</v>
      </c>
      <c r="R554" s="7">
        <v>33970</v>
      </c>
      <c r="S554" s="8">
        <f t="shared" si="64"/>
        <v>1993</v>
      </c>
      <c r="T554" s="8">
        <v>1993</v>
      </c>
      <c r="U554" s="8">
        <f t="shared" si="65"/>
        <v>29</v>
      </c>
      <c r="V554" s="7">
        <v>34213</v>
      </c>
      <c r="W554" t="s">
        <v>814</v>
      </c>
      <c r="X554" s="2">
        <v>1.6519999999999999</v>
      </c>
      <c r="Y554" s="6">
        <f t="shared" si="70"/>
        <v>4.409919649769093E-2</v>
      </c>
      <c r="AA554" t="s">
        <v>813</v>
      </c>
      <c r="AB554">
        <v>17337</v>
      </c>
      <c r="AC554">
        <v>15582221</v>
      </c>
      <c r="AD554" t="s">
        <v>5</v>
      </c>
      <c r="AE554">
        <v>41</v>
      </c>
      <c r="AF554">
        <v>9</v>
      </c>
      <c r="AH554" t="s">
        <v>6825</v>
      </c>
      <c r="AI554" t="s">
        <v>6824</v>
      </c>
      <c r="AK554" t="s">
        <v>6823</v>
      </c>
      <c r="AL554">
        <v>2</v>
      </c>
      <c r="AM554" s="5">
        <f t="shared" si="66"/>
        <v>6.8965517241379309E-2</v>
      </c>
      <c r="AN554" s="4">
        <f t="shared" si="71"/>
        <v>1.0445364216793535E-4</v>
      </c>
      <c r="AO554" s="3"/>
      <c r="AP554">
        <v>0</v>
      </c>
      <c r="AR554" t="s">
        <v>1</v>
      </c>
      <c r="AT554" s="2" t="s">
        <v>0</v>
      </c>
      <c r="AU554" s="1">
        <f t="shared" si="67"/>
        <v>3.0900773641034029</v>
      </c>
      <c r="AV554" s="1">
        <f t="shared" si="68"/>
        <v>2.2101825069929433</v>
      </c>
      <c r="AW554" s="1">
        <f t="shared" si="69"/>
        <v>1.3302876498824832</v>
      </c>
    </row>
    <row r="555" spans="1:49" x14ac:dyDescent="0.2">
      <c r="A555">
        <v>553</v>
      </c>
      <c r="B555" t="s">
        <v>6822</v>
      </c>
      <c r="C555" t="s">
        <v>6821</v>
      </c>
      <c r="F555" t="s">
        <v>6820</v>
      </c>
      <c r="G555" t="s">
        <v>15</v>
      </c>
      <c r="H555" t="s">
        <v>14</v>
      </c>
      <c r="I555" t="s">
        <v>6819</v>
      </c>
      <c r="J555">
        <v>60025778</v>
      </c>
      <c r="K555" t="s">
        <v>3404</v>
      </c>
      <c r="L555" t="s">
        <v>1317</v>
      </c>
      <c r="M555" t="s">
        <v>10</v>
      </c>
      <c r="N555">
        <v>3</v>
      </c>
      <c r="O555" t="s">
        <v>6818</v>
      </c>
      <c r="P555" t="s">
        <v>6817</v>
      </c>
      <c r="Q555" t="s">
        <v>3401</v>
      </c>
      <c r="R555" s="7">
        <v>33970</v>
      </c>
      <c r="S555" s="8">
        <f t="shared" si="64"/>
        <v>1993</v>
      </c>
      <c r="T555" s="8">
        <v>1993</v>
      </c>
      <c r="U555" s="8">
        <f t="shared" si="65"/>
        <v>29</v>
      </c>
      <c r="V555" s="7">
        <v>34213</v>
      </c>
      <c r="W555" t="s">
        <v>1064</v>
      </c>
      <c r="X555" s="2">
        <v>2.141</v>
      </c>
      <c r="Y555" s="6">
        <f t="shared" si="70"/>
        <v>5.7152772216438434E-2</v>
      </c>
      <c r="AA555">
        <v>1962892</v>
      </c>
      <c r="AB555">
        <v>17360</v>
      </c>
      <c r="AC555">
        <v>15580644</v>
      </c>
      <c r="AD555" t="s">
        <v>5</v>
      </c>
      <c r="AE555">
        <v>31</v>
      </c>
      <c r="AF555">
        <v>5</v>
      </c>
      <c r="AH555" t="s">
        <v>6816</v>
      </c>
      <c r="AI555" t="s">
        <v>6815</v>
      </c>
      <c r="AK555" t="s">
        <v>6814</v>
      </c>
      <c r="AL555">
        <v>21</v>
      </c>
      <c r="AM555" s="5">
        <f t="shared" si="66"/>
        <v>0.72413793103448276</v>
      </c>
      <c r="AN555" s="4">
        <f t="shared" si="71"/>
        <v>1.0967632427633211E-3</v>
      </c>
      <c r="AO555" s="3"/>
      <c r="AP555">
        <v>0</v>
      </c>
      <c r="AQ555" t="s">
        <v>639</v>
      </c>
      <c r="AR555" t="s">
        <v>6813</v>
      </c>
      <c r="AS555" t="s">
        <v>638</v>
      </c>
      <c r="AT555" s="2" t="s">
        <v>0</v>
      </c>
      <c r="AU555" s="1">
        <f t="shared" si="67"/>
        <v>4.0335969524335891</v>
      </c>
      <c r="AV555" s="1">
        <f t="shared" si="68"/>
        <v>2.9124767729600878</v>
      </c>
      <c r="AW555" s="1">
        <f t="shared" si="69"/>
        <v>1.7913565934865854</v>
      </c>
    </row>
    <row r="556" spans="1:49" x14ac:dyDescent="0.2">
      <c r="A556">
        <v>554</v>
      </c>
      <c r="B556" t="s">
        <v>6812</v>
      </c>
      <c r="C556" t="s">
        <v>6811</v>
      </c>
      <c r="F556" t="s">
        <v>6810</v>
      </c>
      <c r="G556" t="s">
        <v>15</v>
      </c>
      <c r="H556" t="s">
        <v>14</v>
      </c>
      <c r="I556" t="s">
        <v>6809</v>
      </c>
      <c r="J556">
        <v>60030551</v>
      </c>
      <c r="K556" t="s">
        <v>859</v>
      </c>
      <c r="L556" t="s">
        <v>858</v>
      </c>
      <c r="M556" t="s">
        <v>10</v>
      </c>
      <c r="N556">
        <v>2</v>
      </c>
      <c r="O556" t="s">
        <v>6808</v>
      </c>
      <c r="P556" t="s">
        <v>6807</v>
      </c>
      <c r="Q556" t="s">
        <v>6806</v>
      </c>
      <c r="R556" s="7">
        <v>33970</v>
      </c>
      <c r="S556" s="8">
        <f t="shared" si="64"/>
        <v>1993</v>
      </c>
      <c r="T556" s="8">
        <v>1993</v>
      </c>
      <c r="U556" s="8">
        <f t="shared" si="65"/>
        <v>29</v>
      </c>
      <c r="V556" s="7">
        <v>34213</v>
      </c>
      <c r="W556" t="s">
        <v>814</v>
      </c>
      <c r="X556" s="2">
        <v>1.6519999999999999</v>
      </c>
      <c r="Y556" s="6">
        <f t="shared" si="70"/>
        <v>4.409919649769093E-2</v>
      </c>
      <c r="AA556" t="s">
        <v>813</v>
      </c>
      <c r="AB556">
        <v>17337</v>
      </c>
      <c r="AC556">
        <v>15582221</v>
      </c>
      <c r="AD556" t="s">
        <v>5</v>
      </c>
      <c r="AE556">
        <v>41</v>
      </c>
      <c r="AF556">
        <v>9</v>
      </c>
      <c r="AH556" t="s">
        <v>6805</v>
      </c>
      <c r="AI556" t="s">
        <v>6804</v>
      </c>
      <c r="AK556" t="s">
        <v>6803</v>
      </c>
      <c r="AL556">
        <v>4</v>
      </c>
      <c r="AM556" s="5">
        <f t="shared" si="66"/>
        <v>0.13793103448275862</v>
      </c>
      <c r="AN556" s="4">
        <f t="shared" si="71"/>
        <v>2.089072843358707E-4</v>
      </c>
      <c r="AO556" s="3"/>
      <c r="AP556">
        <v>0</v>
      </c>
      <c r="AR556" t="s">
        <v>1</v>
      </c>
      <c r="AT556" s="2" t="s">
        <v>0</v>
      </c>
      <c r="AU556" s="1">
        <f t="shared" si="67"/>
        <v>3.093210973368441</v>
      </c>
      <c r="AV556" s="1">
        <f t="shared" si="68"/>
        <v>2.21540518910134</v>
      </c>
      <c r="AW556" s="1">
        <f t="shared" si="69"/>
        <v>1.3375994048342388</v>
      </c>
    </row>
    <row r="557" spans="1:49" x14ac:dyDescent="0.2">
      <c r="A557">
        <v>555</v>
      </c>
      <c r="B557" t="s">
        <v>6802</v>
      </c>
      <c r="C557" t="s">
        <v>6801</v>
      </c>
      <c r="F557" t="s">
        <v>6800</v>
      </c>
      <c r="G557" t="s">
        <v>15</v>
      </c>
      <c r="H557" t="s">
        <v>14</v>
      </c>
      <c r="I557" t="s">
        <v>6799</v>
      </c>
      <c r="J557">
        <v>60012370</v>
      </c>
      <c r="K557" t="s">
        <v>4520</v>
      </c>
      <c r="L557" t="s">
        <v>4519</v>
      </c>
      <c r="M557" t="s">
        <v>1909</v>
      </c>
      <c r="N557">
        <v>3</v>
      </c>
      <c r="O557" t="s">
        <v>6798</v>
      </c>
      <c r="P557" t="s">
        <v>6797</v>
      </c>
      <c r="Q557" t="s">
        <v>6796</v>
      </c>
      <c r="R557" s="7">
        <v>33970</v>
      </c>
      <c r="S557" s="8">
        <f t="shared" si="64"/>
        <v>1993</v>
      </c>
      <c r="T557" s="8">
        <v>1993</v>
      </c>
      <c r="U557" s="8">
        <f t="shared" si="65"/>
        <v>29</v>
      </c>
      <c r="V557" s="7">
        <v>34213</v>
      </c>
      <c r="W557" t="s">
        <v>814</v>
      </c>
      <c r="X557" s="2">
        <v>1.6519999999999999</v>
      </c>
      <c r="Y557" s="6">
        <f t="shared" si="70"/>
        <v>4.409919649769093E-2</v>
      </c>
      <c r="AA557" t="s">
        <v>813</v>
      </c>
      <c r="AB557">
        <v>17337</v>
      </c>
      <c r="AC557">
        <v>15582221</v>
      </c>
      <c r="AD557" t="s">
        <v>5</v>
      </c>
      <c r="AE557">
        <v>41</v>
      </c>
      <c r="AF557">
        <v>9</v>
      </c>
      <c r="AH557" t="s">
        <v>6795</v>
      </c>
      <c r="AI557" t="s">
        <v>6794</v>
      </c>
      <c r="AK557" t="s">
        <v>6793</v>
      </c>
      <c r="AL557">
        <v>39</v>
      </c>
      <c r="AM557" s="5">
        <f t="shared" si="66"/>
        <v>1.3448275862068966</v>
      </c>
      <c r="AN557" s="4">
        <f t="shared" si="71"/>
        <v>2.0368460222747391E-3</v>
      </c>
      <c r="AO557" s="3"/>
      <c r="AP557">
        <v>0</v>
      </c>
      <c r="AQ557" t="s">
        <v>4772</v>
      </c>
      <c r="AR557" t="s">
        <v>6792</v>
      </c>
      <c r="AS557" t="s">
        <v>4770</v>
      </c>
      <c r="AT557" s="2" t="s">
        <v>0</v>
      </c>
      <c r="AU557" s="1">
        <f t="shared" si="67"/>
        <v>3.1480491355066071</v>
      </c>
      <c r="AV557" s="1">
        <f t="shared" si="68"/>
        <v>2.3068021259982836</v>
      </c>
      <c r="AW557" s="1">
        <f t="shared" si="69"/>
        <v>1.4655551164899594</v>
      </c>
    </row>
    <row r="558" spans="1:49" x14ac:dyDescent="0.2">
      <c r="A558">
        <v>556</v>
      </c>
      <c r="B558" t="s">
        <v>6791</v>
      </c>
      <c r="C558" t="s">
        <v>6790</v>
      </c>
      <c r="F558" t="s">
        <v>6789</v>
      </c>
      <c r="G558" t="s">
        <v>15</v>
      </c>
      <c r="H558" t="s">
        <v>14</v>
      </c>
      <c r="I558" t="s">
        <v>6788</v>
      </c>
      <c r="J558">
        <v>60027666</v>
      </c>
      <c r="K558" t="s">
        <v>6787</v>
      </c>
      <c r="L558" t="s">
        <v>6786</v>
      </c>
      <c r="M558" t="s">
        <v>6785</v>
      </c>
      <c r="N558">
        <v>1</v>
      </c>
      <c r="O558" t="s">
        <v>6784</v>
      </c>
      <c r="P558">
        <v>7005484229</v>
      </c>
      <c r="Q558">
        <v>60027666</v>
      </c>
      <c r="R558" s="7">
        <v>33970</v>
      </c>
      <c r="S558" s="8">
        <f t="shared" si="64"/>
        <v>1993</v>
      </c>
      <c r="T558" s="8">
        <v>1993</v>
      </c>
      <c r="U558" s="8">
        <f t="shared" si="65"/>
        <v>29</v>
      </c>
      <c r="V558" s="7">
        <v>34213</v>
      </c>
      <c r="W558" t="s">
        <v>1078</v>
      </c>
      <c r="X558" s="2">
        <v>2.9860000000000002</v>
      </c>
      <c r="Y558" s="6">
        <f t="shared" si="70"/>
        <v>7.9709564613865094E-2</v>
      </c>
      <c r="AA558">
        <v>7338716</v>
      </c>
      <c r="AB558">
        <v>18902</v>
      </c>
      <c r="AD558" t="s">
        <v>5</v>
      </c>
      <c r="AE558">
        <v>11</v>
      </c>
      <c r="AF558">
        <v>7</v>
      </c>
      <c r="AH558" t="s">
        <v>6783</v>
      </c>
      <c r="AI558" t="s">
        <v>6782</v>
      </c>
      <c r="AK558" t="s">
        <v>6781</v>
      </c>
      <c r="AL558">
        <v>313</v>
      </c>
      <c r="AM558" s="5">
        <f t="shared" si="66"/>
        <v>10.793103448275861</v>
      </c>
      <c r="AN558" s="4">
        <f t="shared" si="71"/>
        <v>1.634699499928188E-2</v>
      </c>
      <c r="AO558" s="3"/>
      <c r="AP558">
        <v>0</v>
      </c>
      <c r="AR558" t="s">
        <v>1</v>
      </c>
      <c r="AS558" t="s">
        <v>6780</v>
      </c>
      <c r="AT558" s="2" t="s">
        <v>0</v>
      </c>
      <c r="AU558" s="1">
        <f t="shared" si="67"/>
        <v>6.0700793729490128</v>
      </c>
      <c r="AV558" s="1">
        <f t="shared" si="68"/>
        <v>4.8028279806573488</v>
      </c>
      <c r="AW558" s="1">
        <f t="shared" si="69"/>
        <v>3.535576588365684</v>
      </c>
    </row>
    <row r="559" spans="1:49" x14ac:dyDescent="0.2">
      <c r="A559">
        <v>557</v>
      </c>
      <c r="B559" t="s">
        <v>6779</v>
      </c>
      <c r="C559" t="s">
        <v>6778</v>
      </c>
      <c r="F559" t="s">
        <v>6777</v>
      </c>
      <c r="G559" t="s">
        <v>15</v>
      </c>
      <c r="H559" t="s">
        <v>14</v>
      </c>
      <c r="I559" t="s">
        <v>6776</v>
      </c>
      <c r="J559" t="s">
        <v>6775</v>
      </c>
      <c r="K559" t="s">
        <v>6774</v>
      </c>
      <c r="L559" t="s">
        <v>6773</v>
      </c>
      <c r="M559" t="s">
        <v>235</v>
      </c>
      <c r="N559">
        <v>2</v>
      </c>
      <c r="O559" t="s">
        <v>6772</v>
      </c>
      <c r="P559" t="s">
        <v>6771</v>
      </c>
      <c r="Q559" t="s">
        <v>6770</v>
      </c>
      <c r="R559" s="7">
        <v>33970</v>
      </c>
      <c r="S559" s="8">
        <f t="shared" si="64"/>
        <v>1993</v>
      </c>
      <c r="T559" s="8">
        <v>1993</v>
      </c>
      <c r="U559" s="8">
        <f t="shared" si="65"/>
        <v>29</v>
      </c>
      <c r="V559" s="7">
        <v>34213</v>
      </c>
      <c r="W559" t="s">
        <v>548</v>
      </c>
      <c r="X559" s="2">
        <v>1.3720000000000001</v>
      </c>
      <c r="Y559" s="6">
        <f t="shared" si="70"/>
        <v>3.662475641333654E-2</v>
      </c>
      <c r="AA559">
        <v>189480</v>
      </c>
      <c r="AB559">
        <v>17366</v>
      </c>
      <c r="AC559">
        <v>15579670</v>
      </c>
      <c r="AD559" t="s">
        <v>5</v>
      </c>
      <c r="AE559">
        <v>41</v>
      </c>
      <c r="AF559">
        <v>9</v>
      </c>
      <c r="AH559" t="s">
        <v>6769</v>
      </c>
      <c r="AI559" t="s">
        <v>6768</v>
      </c>
      <c r="AK559" t="s">
        <v>6767</v>
      </c>
      <c r="AL559">
        <v>63</v>
      </c>
      <c r="AM559" s="5">
        <f t="shared" si="66"/>
        <v>2.1724137931034484</v>
      </c>
      <c r="AN559" s="4">
        <f t="shared" si="71"/>
        <v>3.2902897282899636E-3</v>
      </c>
      <c r="AO559" s="3"/>
      <c r="AP559">
        <v>0</v>
      </c>
      <c r="AQ559" t="s">
        <v>6766</v>
      </c>
      <c r="AR559" t="s">
        <v>6765</v>
      </c>
      <c r="AS559" t="s">
        <v>6764</v>
      </c>
      <c r="AT559" s="2" t="s">
        <v>0</v>
      </c>
      <c r="AU559" s="1">
        <f t="shared" si="67"/>
        <v>2.6624416407822564</v>
      </c>
      <c r="AV559" s="1">
        <f t="shared" si="68"/>
        <v>1.9957523070813252</v>
      </c>
      <c r="AW559" s="1">
        <f t="shared" si="69"/>
        <v>1.3290629733803936</v>
      </c>
    </row>
    <row r="560" spans="1:49" x14ac:dyDescent="0.2">
      <c r="A560">
        <v>558</v>
      </c>
      <c r="B560" t="s">
        <v>6763</v>
      </c>
      <c r="C560" t="s">
        <v>6762</v>
      </c>
      <c r="F560" t="s">
        <v>6761</v>
      </c>
      <c r="G560" t="s">
        <v>15</v>
      </c>
      <c r="H560" t="s">
        <v>14</v>
      </c>
      <c r="I560" t="s">
        <v>6760</v>
      </c>
      <c r="J560">
        <v>60033134</v>
      </c>
      <c r="K560" t="s">
        <v>6759</v>
      </c>
      <c r="L560" t="s">
        <v>6758</v>
      </c>
      <c r="M560" t="s">
        <v>10</v>
      </c>
      <c r="N560">
        <v>2</v>
      </c>
      <c r="O560" t="s">
        <v>6757</v>
      </c>
      <c r="P560" t="s">
        <v>6756</v>
      </c>
      <c r="Q560" t="s">
        <v>6755</v>
      </c>
      <c r="R560" s="7">
        <v>33970</v>
      </c>
      <c r="S560" s="8">
        <f t="shared" si="64"/>
        <v>1993</v>
      </c>
      <c r="T560" s="8">
        <v>1993</v>
      </c>
      <c r="U560" s="8">
        <f t="shared" si="65"/>
        <v>29</v>
      </c>
      <c r="V560" s="7" t="s">
        <v>6754</v>
      </c>
      <c r="W560" t="s">
        <v>6753</v>
      </c>
      <c r="X560" s="2">
        <v>1.19</v>
      </c>
      <c r="Y560" s="6">
        <f t="shared" si="70"/>
        <v>3.1766370358506178E-2</v>
      </c>
      <c r="AA560">
        <v>939994</v>
      </c>
      <c r="AB560">
        <v>17361</v>
      </c>
      <c r="AC560">
        <v>19399367</v>
      </c>
      <c r="AD560" t="s">
        <v>5</v>
      </c>
      <c r="AE560">
        <v>29</v>
      </c>
      <c r="AF560">
        <v>5</v>
      </c>
      <c r="AH560" t="s">
        <v>6752</v>
      </c>
      <c r="AI560" t="s">
        <v>6751</v>
      </c>
      <c r="AK560" t="s">
        <v>6750</v>
      </c>
      <c r="AL560">
        <v>24</v>
      </c>
      <c r="AM560" s="5">
        <f t="shared" si="66"/>
        <v>0.82758620689655171</v>
      </c>
      <c r="AN560" s="4">
        <f t="shared" si="71"/>
        <v>1.2534437060152241E-3</v>
      </c>
      <c r="AO560" s="3"/>
      <c r="AP560">
        <v>0</v>
      </c>
      <c r="AR560" t="s">
        <v>1</v>
      </c>
      <c r="AT560" s="2" t="s">
        <v>0</v>
      </c>
      <c r="AU560" s="1">
        <f t="shared" si="67"/>
        <v>2.2612492362758889</v>
      </c>
      <c r="AV560" s="1">
        <f t="shared" si="68"/>
        <v>1.6509907032260702</v>
      </c>
      <c r="AW560" s="1">
        <f t="shared" si="69"/>
        <v>1.0407321701762511</v>
      </c>
    </row>
    <row r="561" spans="1:49" x14ac:dyDescent="0.2">
      <c r="A561">
        <v>559</v>
      </c>
      <c r="B561" t="s">
        <v>6749</v>
      </c>
      <c r="C561" t="s">
        <v>6748</v>
      </c>
      <c r="F561" t="s">
        <v>6747</v>
      </c>
      <c r="G561" t="s">
        <v>15</v>
      </c>
      <c r="H561" t="s">
        <v>14</v>
      </c>
      <c r="I561" t="s">
        <v>6746</v>
      </c>
      <c r="J561">
        <v>60021208</v>
      </c>
      <c r="K561" t="s">
        <v>1762</v>
      </c>
      <c r="L561" t="s">
        <v>151</v>
      </c>
      <c r="M561" t="s">
        <v>150</v>
      </c>
      <c r="N561">
        <v>2</v>
      </c>
      <c r="O561" t="s">
        <v>6745</v>
      </c>
      <c r="P561" t="s">
        <v>6744</v>
      </c>
      <c r="Q561" t="s">
        <v>1759</v>
      </c>
      <c r="R561" s="7">
        <v>33970</v>
      </c>
      <c r="S561" s="8">
        <f t="shared" si="64"/>
        <v>1993</v>
      </c>
      <c r="T561" s="8">
        <v>1993</v>
      </c>
      <c r="U561" s="8">
        <f t="shared" si="65"/>
        <v>29</v>
      </c>
      <c r="V561" s="7">
        <v>1993</v>
      </c>
      <c r="W561" t="s">
        <v>1720</v>
      </c>
      <c r="X561" s="2">
        <v>0.111</v>
      </c>
      <c r="Y561" s="6">
        <f t="shared" si="70"/>
        <v>2.9630816048690639E-3</v>
      </c>
      <c r="AA561">
        <v>87566621</v>
      </c>
      <c r="AB561">
        <v>24890</v>
      </c>
      <c r="AC561">
        <v>15206424</v>
      </c>
      <c r="AD561" t="s">
        <v>5</v>
      </c>
      <c r="AE561">
        <v>76</v>
      </c>
      <c r="AF561">
        <v>9</v>
      </c>
      <c r="AH561" t="s">
        <v>6743</v>
      </c>
      <c r="AI561" t="s">
        <v>6742</v>
      </c>
      <c r="AJ561" t="s">
        <v>6741</v>
      </c>
      <c r="AK561" t="s">
        <v>6740</v>
      </c>
      <c r="AL561">
        <v>0</v>
      </c>
      <c r="AM561" s="5">
        <f t="shared" si="66"/>
        <v>0</v>
      </c>
      <c r="AN561" s="4">
        <f t="shared" si="71"/>
        <v>0</v>
      </c>
      <c r="AO561" s="3"/>
      <c r="AP561">
        <v>0</v>
      </c>
      <c r="AR561" t="s">
        <v>1</v>
      </c>
      <c r="AT561" s="2" t="s">
        <v>0</v>
      </c>
      <c r="AU561" s="1">
        <f t="shared" si="67"/>
        <v>0.20741571234083445</v>
      </c>
      <c r="AV561" s="1">
        <f t="shared" si="68"/>
        <v>0.1481540802434532</v>
      </c>
      <c r="AW561" s="1">
        <f t="shared" si="69"/>
        <v>8.8892448146071903E-2</v>
      </c>
    </row>
    <row r="562" spans="1:49" x14ac:dyDescent="0.2">
      <c r="A562">
        <v>560</v>
      </c>
      <c r="B562" t="s">
        <v>6739</v>
      </c>
      <c r="C562" t="s">
        <v>6738</v>
      </c>
      <c r="F562" t="s">
        <v>6737</v>
      </c>
      <c r="G562" t="s">
        <v>15</v>
      </c>
      <c r="H562" t="s">
        <v>14</v>
      </c>
      <c r="I562" t="s">
        <v>6736</v>
      </c>
      <c r="N562">
        <v>3</v>
      </c>
      <c r="O562" t="s">
        <v>6735</v>
      </c>
      <c r="P562" t="s">
        <v>6734</v>
      </c>
      <c r="Q562" t="s">
        <v>2929</v>
      </c>
      <c r="R562" s="7">
        <v>33970</v>
      </c>
      <c r="S562" s="8">
        <f t="shared" si="64"/>
        <v>1993</v>
      </c>
      <c r="T562" s="8">
        <v>1993</v>
      </c>
      <c r="U562" s="8">
        <f t="shared" si="65"/>
        <v>29</v>
      </c>
      <c r="V562" s="7">
        <v>1993</v>
      </c>
      <c r="W562" t="s">
        <v>6733</v>
      </c>
      <c r="X562" s="2" t="s">
        <v>0</v>
      </c>
      <c r="Y562" s="6" t="e">
        <f t="shared" si="70"/>
        <v>#VALUE!</v>
      </c>
      <c r="AA562">
        <v>3875024</v>
      </c>
      <c r="AB562">
        <v>110132</v>
      </c>
      <c r="AD562" t="s">
        <v>5</v>
      </c>
      <c r="AE562">
        <v>59</v>
      </c>
      <c r="AF562">
        <v>565</v>
      </c>
      <c r="AH562" t="s">
        <v>6732</v>
      </c>
      <c r="AI562" t="s">
        <v>6731</v>
      </c>
      <c r="AJ562" t="s">
        <v>6730</v>
      </c>
      <c r="AK562" t="s">
        <v>6729</v>
      </c>
      <c r="AL562">
        <v>1</v>
      </c>
      <c r="AM562" s="5">
        <f t="shared" si="66"/>
        <v>3.4482758620689655E-2</v>
      </c>
      <c r="AN562" s="4">
        <f t="shared" si="71"/>
        <v>5.2226821083967674E-5</v>
      </c>
      <c r="AO562" s="3"/>
      <c r="AP562">
        <v>1</v>
      </c>
      <c r="AR562" t="s">
        <v>1</v>
      </c>
      <c r="AT562" s="2" t="s">
        <v>0</v>
      </c>
      <c r="AU562" s="1" t="e">
        <f t="shared" si="67"/>
        <v>#VALUE!</v>
      </c>
      <c r="AV562" s="1" t="e">
        <f t="shared" si="68"/>
        <v>#VALUE!</v>
      </c>
      <c r="AW562" s="1" t="e">
        <f t="shared" si="69"/>
        <v>#VALUE!</v>
      </c>
    </row>
    <row r="563" spans="1:49" x14ac:dyDescent="0.2">
      <c r="A563">
        <v>561</v>
      </c>
      <c r="B563" t="s">
        <v>6728</v>
      </c>
      <c r="C563" t="s">
        <v>6727</v>
      </c>
      <c r="F563" t="s">
        <v>6726</v>
      </c>
      <c r="G563" t="s">
        <v>15</v>
      </c>
      <c r="H563" t="s">
        <v>14</v>
      </c>
      <c r="I563" t="s">
        <v>6725</v>
      </c>
      <c r="J563">
        <v>60003269</v>
      </c>
      <c r="K563" t="s">
        <v>6724</v>
      </c>
      <c r="L563" t="s">
        <v>194</v>
      </c>
      <c r="M563" t="s">
        <v>10</v>
      </c>
      <c r="N563">
        <v>2</v>
      </c>
      <c r="O563" t="s">
        <v>6723</v>
      </c>
      <c r="P563" t="s">
        <v>6722</v>
      </c>
      <c r="Q563" t="s">
        <v>6721</v>
      </c>
      <c r="R563" s="7">
        <v>33970</v>
      </c>
      <c r="S563" s="8">
        <f t="shared" si="64"/>
        <v>1993</v>
      </c>
      <c r="T563" s="8">
        <v>1993</v>
      </c>
      <c r="U563" s="8">
        <f t="shared" si="65"/>
        <v>29</v>
      </c>
      <c r="V563" s="7">
        <v>34213</v>
      </c>
      <c r="W563" t="s">
        <v>1272</v>
      </c>
      <c r="X563" s="2">
        <v>0.94</v>
      </c>
      <c r="Y563" s="6">
        <f t="shared" si="70"/>
        <v>2.5092763140332611E-2</v>
      </c>
      <c r="AA563">
        <v>10518207</v>
      </c>
      <c r="AB563">
        <v>63372</v>
      </c>
      <c r="AD563" t="s">
        <v>5</v>
      </c>
      <c r="AE563">
        <v>3</v>
      </c>
      <c r="AF563">
        <v>9</v>
      </c>
      <c r="AH563" t="s">
        <v>6720</v>
      </c>
      <c r="AI563" t="s">
        <v>6719</v>
      </c>
      <c r="AK563" t="s">
        <v>6718</v>
      </c>
      <c r="AL563">
        <v>31</v>
      </c>
      <c r="AM563" s="5">
        <f t="shared" si="66"/>
        <v>1.0689655172413792</v>
      </c>
      <c r="AN563" s="4">
        <f t="shared" si="71"/>
        <v>1.6190314536029978E-3</v>
      </c>
      <c r="AO563" s="3"/>
      <c r="AP563">
        <v>0</v>
      </c>
      <c r="AR563" t="s">
        <v>1</v>
      </c>
      <c r="AT563" s="2" t="s">
        <v>0</v>
      </c>
      <c r="AU563" s="1">
        <f t="shared" si="67"/>
        <v>1.8050643634313726</v>
      </c>
      <c r="AV563" s="1">
        <f t="shared" si="68"/>
        <v>1.3355897296967805</v>
      </c>
      <c r="AW563" s="1">
        <f t="shared" si="69"/>
        <v>0.86611509596218816</v>
      </c>
    </row>
    <row r="564" spans="1:49" x14ac:dyDescent="0.2">
      <c r="A564">
        <v>562</v>
      </c>
      <c r="B564" t="s">
        <v>6717</v>
      </c>
      <c r="C564" t="s">
        <v>6716</v>
      </c>
      <c r="F564" t="s">
        <v>6715</v>
      </c>
      <c r="G564" t="s">
        <v>15</v>
      </c>
      <c r="H564" t="s">
        <v>14</v>
      </c>
      <c r="I564" t="s">
        <v>2710</v>
      </c>
      <c r="J564" t="s">
        <v>6714</v>
      </c>
      <c r="K564" t="s">
        <v>6713</v>
      </c>
      <c r="L564" t="s">
        <v>6712</v>
      </c>
      <c r="M564" t="s">
        <v>235</v>
      </c>
      <c r="N564">
        <v>4</v>
      </c>
      <c r="O564" t="s">
        <v>6711</v>
      </c>
      <c r="P564" t="s">
        <v>6710</v>
      </c>
      <c r="Q564" t="s">
        <v>6709</v>
      </c>
      <c r="R564" s="7">
        <v>33970</v>
      </c>
      <c r="S564" s="8">
        <f t="shared" si="64"/>
        <v>1993</v>
      </c>
      <c r="T564" s="8">
        <v>1993</v>
      </c>
      <c r="U564" s="8">
        <f t="shared" si="65"/>
        <v>29</v>
      </c>
      <c r="V564" s="7">
        <v>34213</v>
      </c>
      <c r="W564" t="s">
        <v>1272</v>
      </c>
      <c r="X564" s="2">
        <v>0.94</v>
      </c>
      <c r="Y564" s="6">
        <f t="shared" si="70"/>
        <v>2.5092763140332611E-2</v>
      </c>
      <c r="AA564">
        <v>10518207</v>
      </c>
      <c r="AB564">
        <v>63372</v>
      </c>
      <c r="AD564" t="s">
        <v>5</v>
      </c>
      <c r="AE564">
        <v>3</v>
      </c>
      <c r="AF564">
        <v>9</v>
      </c>
      <c r="AH564" t="s">
        <v>6708</v>
      </c>
      <c r="AI564" t="s">
        <v>6707</v>
      </c>
      <c r="AK564" t="s">
        <v>6706</v>
      </c>
      <c r="AL564">
        <v>6</v>
      </c>
      <c r="AM564" s="5">
        <f t="shared" si="66"/>
        <v>0.20689655172413793</v>
      </c>
      <c r="AN564" s="4">
        <f t="shared" si="71"/>
        <v>3.1336092650380602E-4</v>
      </c>
      <c r="AO564" s="3"/>
      <c r="AP564">
        <v>0</v>
      </c>
      <c r="AQ564" t="s">
        <v>761</v>
      </c>
      <c r="AR564" t="s">
        <v>2702</v>
      </c>
      <c r="AS564" t="s">
        <v>759</v>
      </c>
      <c r="AT564" s="2" t="s">
        <v>0</v>
      </c>
      <c r="AU564" s="1">
        <f t="shared" si="67"/>
        <v>1.7658942476183968</v>
      </c>
      <c r="AV564" s="1">
        <f t="shared" si="68"/>
        <v>1.2703062033418209</v>
      </c>
      <c r="AW564" s="1">
        <f t="shared" si="69"/>
        <v>0.77471815906524477</v>
      </c>
    </row>
    <row r="565" spans="1:49" x14ac:dyDescent="0.2">
      <c r="A565">
        <v>563</v>
      </c>
      <c r="B565" t="s">
        <v>6705</v>
      </c>
      <c r="C565" t="s">
        <v>6704</v>
      </c>
      <c r="F565" t="s">
        <v>6703</v>
      </c>
      <c r="G565" t="s">
        <v>15</v>
      </c>
      <c r="H565" t="s">
        <v>14</v>
      </c>
      <c r="I565" t="s">
        <v>6702</v>
      </c>
      <c r="J565">
        <v>60015720</v>
      </c>
      <c r="K565" t="s">
        <v>6701</v>
      </c>
      <c r="L565" t="s">
        <v>6700</v>
      </c>
      <c r="M565" t="s">
        <v>10</v>
      </c>
      <c r="N565">
        <v>2</v>
      </c>
      <c r="O565" t="s">
        <v>6699</v>
      </c>
      <c r="P565" t="s">
        <v>6698</v>
      </c>
      <c r="Q565" t="s">
        <v>6697</v>
      </c>
      <c r="R565" s="7">
        <v>33970</v>
      </c>
      <c r="S565" s="8">
        <f t="shared" si="64"/>
        <v>1993</v>
      </c>
      <c r="T565" s="8">
        <v>1993</v>
      </c>
      <c r="U565" s="8">
        <f t="shared" si="65"/>
        <v>29</v>
      </c>
      <c r="V565" s="7">
        <v>34213</v>
      </c>
      <c r="W565" t="s">
        <v>4034</v>
      </c>
      <c r="X565" s="2">
        <v>1.159</v>
      </c>
      <c r="Y565" s="6">
        <f t="shared" si="70"/>
        <v>3.093884306345266E-2</v>
      </c>
      <c r="AA565">
        <v>8853010</v>
      </c>
      <c r="AB565">
        <v>12998</v>
      </c>
      <c r="AD565" t="s">
        <v>5</v>
      </c>
      <c r="AE565">
        <v>40</v>
      </c>
      <c r="AF565">
        <v>5</v>
      </c>
      <c r="AH565" t="s">
        <v>6696</v>
      </c>
      <c r="AI565" t="s">
        <v>6695</v>
      </c>
      <c r="AK565" t="s">
        <v>6694</v>
      </c>
      <c r="AL565">
        <v>1</v>
      </c>
      <c r="AM565" s="5">
        <f t="shared" si="66"/>
        <v>3.4482758620689655E-2</v>
      </c>
      <c r="AN565" s="4">
        <f t="shared" si="71"/>
        <v>5.2226821083967674E-5</v>
      </c>
      <c r="AO565" s="3"/>
      <c r="AP565">
        <v>0</v>
      </c>
      <c r="AR565" t="s">
        <v>1</v>
      </c>
      <c r="AT565" s="2" t="s">
        <v>0</v>
      </c>
      <c r="AU565" s="1">
        <f t="shared" si="67"/>
        <v>2.167285819074205</v>
      </c>
      <c r="AV565" s="1">
        <f t="shared" si="68"/>
        <v>1.5495534942268314</v>
      </c>
      <c r="AW565" s="1">
        <f t="shared" si="69"/>
        <v>0.93182116937945758</v>
      </c>
    </row>
    <row r="566" spans="1:49" x14ac:dyDescent="0.2">
      <c r="A566">
        <v>564</v>
      </c>
      <c r="B566" t="s">
        <v>6693</v>
      </c>
      <c r="C566" t="s">
        <v>6692</v>
      </c>
      <c r="F566" t="s">
        <v>6691</v>
      </c>
      <c r="G566" t="s">
        <v>15</v>
      </c>
      <c r="H566" t="s">
        <v>14</v>
      </c>
      <c r="I566" t="s">
        <v>6690</v>
      </c>
      <c r="J566">
        <v>60025084</v>
      </c>
      <c r="K566" t="s">
        <v>6689</v>
      </c>
      <c r="L566" t="s">
        <v>6688</v>
      </c>
      <c r="M566" t="s">
        <v>463</v>
      </c>
      <c r="N566">
        <v>2</v>
      </c>
      <c r="O566" t="s">
        <v>6687</v>
      </c>
      <c r="P566" t="s">
        <v>6686</v>
      </c>
      <c r="Q566" t="s">
        <v>6685</v>
      </c>
      <c r="R566" s="7">
        <v>33970</v>
      </c>
      <c r="S566" s="8">
        <f t="shared" si="64"/>
        <v>1993</v>
      </c>
      <c r="T566" s="8">
        <v>1993</v>
      </c>
      <c r="U566" s="8">
        <f t="shared" si="65"/>
        <v>29</v>
      </c>
      <c r="V566" s="7">
        <v>34217</v>
      </c>
      <c r="W566" t="s">
        <v>2382</v>
      </c>
      <c r="X566" s="2">
        <v>0.30399999999999999</v>
      </c>
      <c r="Y566" s="6">
        <f t="shared" si="70"/>
        <v>8.115106377299057E-3</v>
      </c>
      <c r="AA566">
        <v>8952477</v>
      </c>
      <c r="AB566">
        <v>12250</v>
      </c>
      <c r="AC566">
        <v>10982760</v>
      </c>
      <c r="AD566" t="s">
        <v>5</v>
      </c>
      <c r="AE566">
        <v>6</v>
      </c>
      <c r="AF566">
        <v>12</v>
      </c>
      <c r="AH566" t="s">
        <v>6684</v>
      </c>
      <c r="AI566" t="s">
        <v>6683</v>
      </c>
      <c r="AJ566" t="s">
        <v>6682</v>
      </c>
      <c r="AK566" t="s">
        <v>6681</v>
      </c>
      <c r="AL566">
        <v>3</v>
      </c>
      <c r="AM566" s="5">
        <f t="shared" si="66"/>
        <v>0.10344827586206896</v>
      </c>
      <c r="AN566" s="4">
        <f t="shared" si="71"/>
        <v>1.5668046325190301E-4</v>
      </c>
      <c r="AO566" s="3"/>
      <c r="AP566">
        <v>0</v>
      </c>
      <c r="AR566" t="s">
        <v>1</v>
      </c>
      <c r="AT566" s="2" t="s">
        <v>0</v>
      </c>
      <c r="AU566" s="1">
        <f t="shared" si="67"/>
        <v>0.57275786030849107</v>
      </c>
      <c r="AV566" s="1">
        <f t="shared" si="68"/>
        <v>0.41358934202754799</v>
      </c>
      <c r="AW566" s="1">
        <f t="shared" si="69"/>
        <v>0.25442082374660496</v>
      </c>
    </row>
    <row r="567" spans="1:49" x14ac:dyDescent="0.2">
      <c r="A567">
        <v>565</v>
      </c>
      <c r="B567" t="s">
        <v>6680</v>
      </c>
      <c r="C567" t="s">
        <v>6679</v>
      </c>
      <c r="F567" t="s">
        <v>6678</v>
      </c>
      <c r="G567" t="s">
        <v>15</v>
      </c>
      <c r="H567" t="s">
        <v>14</v>
      </c>
      <c r="I567" t="s">
        <v>6677</v>
      </c>
      <c r="J567" t="s">
        <v>6672</v>
      </c>
      <c r="K567" t="s">
        <v>6676</v>
      </c>
      <c r="L567" t="s">
        <v>6675</v>
      </c>
      <c r="M567" t="s">
        <v>235</v>
      </c>
      <c r="N567">
        <v>2</v>
      </c>
      <c r="O567" t="s">
        <v>6674</v>
      </c>
      <c r="P567" t="s">
        <v>6673</v>
      </c>
      <c r="Q567" t="s">
        <v>6672</v>
      </c>
      <c r="R567" s="7">
        <v>33970</v>
      </c>
      <c r="S567" s="8">
        <f t="shared" si="64"/>
        <v>1993</v>
      </c>
      <c r="T567" s="8">
        <v>1993</v>
      </c>
      <c r="U567" s="8">
        <f t="shared" si="65"/>
        <v>29</v>
      </c>
      <c r="V567" s="7">
        <v>34213</v>
      </c>
      <c r="W567" t="s">
        <v>1078</v>
      </c>
      <c r="X567" s="2">
        <v>2.9860000000000002</v>
      </c>
      <c r="Y567" s="6">
        <f t="shared" si="70"/>
        <v>7.9709564613865094E-2</v>
      </c>
      <c r="AA567">
        <v>7338716</v>
      </c>
      <c r="AB567">
        <v>18902</v>
      </c>
      <c r="AD567" t="s">
        <v>5</v>
      </c>
      <c r="AE567">
        <v>11</v>
      </c>
      <c r="AF567">
        <v>7</v>
      </c>
      <c r="AH567" t="s">
        <v>6671</v>
      </c>
      <c r="AI567" t="s">
        <v>6670</v>
      </c>
      <c r="AK567" t="s">
        <v>6669</v>
      </c>
      <c r="AL567">
        <v>98</v>
      </c>
      <c r="AM567" s="5">
        <f t="shared" si="66"/>
        <v>3.3793103448275863</v>
      </c>
      <c r="AN567" s="4">
        <f t="shared" si="71"/>
        <v>5.1182284662288323E-3</v>
      </c>
      <c r="AO567" s="3"/>
      <c r="AP567">
        <v>0</v>
      </c>
      <c r="AR567" t="s">
        <v>1</v>
      </c>
      <c r="AT567" s="2" t="s">
        <v>0</v>
      </c>
      <c r="AU567" s="1">
        <f t="shared" si="67"/>
        <v>5.7332163769574205</v>
      </c>
      <c r="AV567" s="1">
        <f t="shared" si="68"/>
        <v>4.2413896540046965</v>
      </c>
      <c r="AW567" s="1">
        <f t="shared" si="69"/>
        <v>2.7495629310519707</v>
      </c>
    </row>
    <row r="568" spans="1:49" x14ac:dyDescent="0.2">
      <c r="A568">
        <v>566</v>
      </c>
      <c r="B568" t="s">
        <v>6668</v>
      </c>
      <c r="C568" t="s">
        <v>6667</v>
      </c>
      <c r="F568" t="s">
        <v>6666</v>
      </c>
      <c r="G568" t="s">
        <v>15</v>
      </c>
      <c r="H568" t="s">
        <v>14</v>
      </c>
      <c r="I568" t="s">
        <v>6665</v>
      </c>
      <c r="J568">
        <v>60025555</v>
      </c>
      <c r="K568" t="s">
        <v>1785</v>
      </c>
      <c r="L568" t="s">
        <v>151</v>
      </c>
      <c r="M568" t="s">
        <v>150</v>
      </c>
      <c r="N568">
        <v>1</v>
      </c>
      <c r="O568" t="s">
        <v>6664</v>
      </c>
      <c r="P568">
        <v>7102629706</v>
      </c>
      <c r="Q568">
        <v>60025555</v>
      </c>
      <c r="R568" s="7">
        <v>33970</v>
      </c>
      <c r="S568" s="8">
        <f t="shared" si="64"/>
        <v>1993</v>
      </c>
      <c r="T568" s="8">
        <v>1993</v>
      </c>
      <c r="U568" s="8">
        <f t="shared" si="65"/>
        <v>29</v>
      </c>
      <c r="V568" s="7">
        <v>1993</v>
      </c>
      <c r="W568" t="s">
        <v>1720</v>
      </c>
      <c r="X568" s="2">
        <v>0.111</v>
      </c>
      <c r="Y568" s="6">
        <f t="shared" si="70"/>
        <v>2.9630816048690639E-3</v>
      </c>
      <c r="AA568">
        <v>87566621</v>
      </c>
      <c r="AB568">
        <v>24890</v>
      </c>
      <c r="AC568">
        <v>15206424</v>
      </c>
      <c r="AD568" t="s">
        <v>5</v>
      </c>
      <c r="AE568">
        <v>76</v>
      </c>
      <c r="AF568">
        <v>9</v>
      </c>
      <c r="AH568" t="s">
        <v>6663</v>
      </c>
      <c r="AI568" t="s">
        <v>6662</v>
      </c>
      <c r="AJ568" t="s">
        <v>6661</v>
      </c>
      <c r="AK568" t="s">
        <v>6660</v>
      </c>
      <c r="AL568">
        <v>11</v>
      </c>
      <c r="AM568" s="5">
        <f t="shared" si="66"/>
        <v>0.37931034482758619</v>
      </c>
      <c r="AN568" s="4">
        <f t="shared" si="71"/>
        <v>5.7449503192364435E-4</v>
      </c>
      <c r="AO568" s="3"/>
      <c r="AP568">
        <v>0</v>
      </c>
      <c r="AR568" t="s">
        <v>1</v>
      </c>
      <c r="AT568" s="2" t="s">
        <v>0</v>
      </c>
      <c r="AU568" s="1">
        <f t="shared" si="67"/>
        <v>0.22465056329854377</v>
      </c>
      <c r="AV568" s="1">
        <f t="shared" si="68"/>
        <v>0.1768788318396354</v>
      </c>
      <c r="AW568" s="1">
        <f t="shared" si="69"/>
        <v>0.12910710038072701</v>
      </c>
    </row>
    <row r="569" spans="1:49" x14ac:dyDescent="0.2">
      <c r="A569">
        <v>567</v>
      </c>
      <c r="B569" t="s">
        <v>6659</v>
      </c>
      <c r="C569" t="s">
        <v>6658</v>
      </c>
      <c r="F569" t="s">
        <v>6657</v>
      </c>
      <c r="G569" t="s">
        <v>15</v>
      </c>
      <c r="H569" t="s">
        <v>14</v>
      </c>
      <c r="I569" t="s">
        <v>6656</v>
      </c>
      <c r="J569">
        <v>60000221</v>
      </c>
      <c r="K569" t="s">
        <v>6568</v>
      </c>
      <c r="L569" t="s">
        <v>6567</v>
      </c>
      <c r="M569" t="s">
        <v>10</v>
      </c>
      <c r="N569">
        <v>4</v>
      </c>
      <c r="O569" t="s">
        <v>6655</v>
      </c>
      <c r="P569" t="s">
        <v>6654</v>
      </c>
      <c r="Q569" t="s">
        <v>6653</v>
      </c>
      <c r="R569" s="7">
        <v>33970</v>
      </c>
      <c r="S569" s="8">
        <f t="shared" si="64"/>
        <v>1993</v>
      </c>
      <c r="T569" s="8">
        <v>1993</v>
      </c>
      <c r="U569" s="8">
        <f t="shared" si="65"/>
        <v>29</v>
      </c>
      <c r="V569" s="7">
        <v>34213</v>
      </c>
      <c r="W569" t="s">
        <v>868</v>
      </c>
      <c r="X569" s="2">
        <v>0.375</v>
      </c>
      <c r="Y569" s="6">
        <f t="shared" si="70"/>
        <v>1.0010410827260351E-2</v>
      </c>
      <c r="AA569">
        <v>135194</v>
      </c>
      <c r="AB569">
        <v>24918</v>
      </c>
      <c r="AD569" t="s">
        <v>5</v>
      </c>
      <c r="AE569">
        <v>29</v>
      </c>
      <c r="AF569">
        <v>19</v>
      </c>
      <c r="AH569" t="s">
        <v>6652</v>
      </c>
      <c r="AI569" t="s">
        <v>6651</v>
      </c>
      <c r="AJ569" t="s">
        <v>6650</v>
      </c>
      <c r="AK569" t="s">
        <v>6649</v>
      </c>
      <c r="AL569">
        <v>18</v>
      </c>
      <c r="AM569" s="5">
        <f t="shared" si="66"/>
        <v>0.62068965517241381</v>
      </c>
      <c r="AN569" s="4">
        <f t="shared" si="71"/>
        <v>9.4008277951141816E-4</v>
      </c>
      <c r="AO569" s="3"/>
      <c r="AP569">
        <v>0</v>
      </c>
      <c r="AR569" t="s">
        <v>1</v>
      </c>
      <c r="AT569" s="2">
        <v>1.3140000000000001</v>
      </c>
      <c r="AU569" s="1">
        <f t="shared" si="67"/>
        <v>0.72893124129356712</v>
      </c>
      <c r="AV569" s="1">
        <f t="shared" si="68"/>
        <v>0.54752468033858848</v>
      </c>
      <c r="AW569" s="1">
        <f t="shared" si="69"/>
        <v>0.36611811938360977</v>
      </c>
    </row>
    <row r="570" spans="1:49" x14ac:dyDescent="0.2">
      <c r="A570">
        <v>568</v>
      </c>
      <c r="B570" t="s">
        <v>6648</v>
      </c>
      <c r="C570" t="s">
        <v>6647</v>
      </c>
      <c r="F570" t="s">
        <v>6646</v>
      </c>
      <c r="G570" t="s">
        <v>15</v>
      </c>
      <c r="H570" t="s">
        <v>14</v>
      </c>
      <c r="I570" t="s">
        <v>6645</v>
      </c>
      <c r="J570">
        <v>60028112</v>
      </c>
      <c r="K570" t="s">
        <v>6644</v>
      </c>
      <c r="L570" t="s">
        <v>6643</v>
      </c>
      <c r="M570" t="s">
        <v>303</v>
      </c>
      <c r="N570">
        <v>4</v>
      </c>
      <c r="O570" t="s">
        <v>6642</v>
      </c>
      <c r="P570" t="s">
        <v>6641</v>
      </c>
      <c r="Q570" t="s">
        <v>6640</v>
      </c>
      <c r="R570" s="7">
        <v>33970</v>
      </c>
      <c r="S570" s="8">
        <f t="shared" si="64"/>
        <v>1993</v>
      </c>
      <c r="T570" s="8">
        <v>1993</v>
      </c>
      <c r="U570" s="8">
        <f t="shared" si="65"/>
        <v>29</v>
      </c>
      <c r="V570" s="7">
        <v>34213</v>
      </c>
      <c r="W570" t="s">
        <v>814</v>
      </c>
      <c r="X570" s="2">
        <v>1.6519999999999999</v>
      </c>
      <c r="Y570" s="6">
        <f t="shared" si="70"/>
        <v>4.409919649769093E-2</v>
      </c>
      <c r="AA570" t="s">
        <v>813</v>
      </c>
      <c r="AB570">
        <v>17337</v>
      </c>
      <c r="AC570">
        <v>15582221</v>
      </c>
      <c r="AD570" t="s">
        <v>5</v>
      </c>
      <c r="AE570">
        <v>41</v>
      </c>
      <c r="AF570">
        <v>9</v>
      </c>
      <c r="AH570" t="s">
        <v>6639</v>
      </c>
      <c r="AI570" t="s">
        <v>6638</v>
      </c>
      <c r="AK570" t="s">
        <v>6637</v>
      </c>
      <c r="AL570">
        <v>17</v>
      </c>
      <c r="AM570" s="5">
        <f t="shared" si="66"/>
        <v>0.58620689655172409</v>
      </c>
      <c r="AN570" s="4">
        <f t="shared" si="71"/>
        <v>8.8785595842745036E-4</v>
      </c>
      <c r="AO570" s="3"/>
      <c r="AP570">
        <v>0</v>
      </c>
      <c r="AR570" t="s">
        <v>1</v>
      </c>
      <c r="AT570" s="2" t="s">
        <v>0</v>
      </c>
      <c r="AU570" s="1">
        <f t="shared" si="67"/>
        <v>3.1135794335911888</v>
      </c>
      <c r="AV570" s="1">
        <f t="shared" si="68"/>
        <v>2.2493526228059189</v>
      </c>
      <c r="AW570" s="1">
        <f t="shared" si="69"/>
        <v>1.3851258120206493</v>
      </c>
    </row>
    <row r="571" spans="1:49" x14ac:dyDescent="0.2">
      <c r="A571">
        <v>569</v>
      </c>
      <c r="B571" t="s">
        <v>6636</v>
      </c>
      <c r="C571" t="s">
        <v>6635</v>
      </c>
      <c r="F571" t="s">
        <v>6634</v>
      </c>
      <c r="G571" t="s">
        <v>15</v>
      </c>
      <c r="H571" t="s">
        <v>14</v>
      </c>
      <c r="I571" t="s">
        <v>6633</v>
      </c>
      <c r="J571">
        <v>60026851</v>
      </c>
      <c r="K571" t="s">
        <v>6632</v>
      </c>
      <c r="L571" t="s">
        <v>6631</v>
      </c>
      <c r="M571" t="s">
        <v>493</v>
      </c>
      <c r="N571">
        <v>1</v>
      </c>
      <c r="O571" t="s">
        <v>6630</v>
      </c>
      <c r="P571">
        <v>56221161400</v>
      </c>
      <c r="Q571">
        <v>60026851</v>
      </c>
      <c r="R571" s="7">
        <v>33970</v>
      </c>
      <c r="S571" s="8">
        <f t="shared" si="64"/>
        <v>1993</v>
      </c>
      <c r="T571" s="8">
        <v>1993</v>
      </c>
      <c r="U571" s="8">
        <f t="shared" si="65"/>
        <v>29</v>
      </c>
      <c r="V571" s="7">
        <v>34213</v>
      </c>
      <c r="W571" t="s">
        <v>868</v>
      </c>
      <c r="X571" s="2">
        <v>0.375</v>
      </c>
      <c r="Y571" s="6">
        <f t="shared" si="70"/>
        <v>1.0010410827260351E-2</v>
      </c>
      <c r="AA571">
        <v>135194</v>
      </c>
      <c r="AB571">
        <v>24918</v>
      </c>
      <c r="AD571" t="s">
        <v>5</v>
      </c>
      <c r="AE571">
        <v>29</v>
      </c>
      <c r="AF571">
        <v>19</v>
      </c>
      <c r="AH571" t="s">
        <v>6629</v>
      </c>
      <c r="AI571" t="s">
        <v>6628</v>
      </c>
      <c r="AJ571" t="s">
        <v>6627</v>
      </c>
      <c r="AK571" t="s">
        <v>6626</v>
      </c>
      <c r="AL571">
        <v>8</v>
      </c>
      <c r="AM571" s="5">
        <f t="shared" si="66"/>
        <v>0.27586206896551724</v>
      </c>
      <c r="AN571" s="4">
        <f t="shared" si="71"/>
        <v>4.1781456867174139E-4</v>
      </c>
      <c r="AO571" s="3"/>
      <c r="AP571">
        <v>0</v>
      </c>
      <c r="AR571" t="s">
        <v>1</v>
      </c>
      <c r="AT571" s="2">
        <v>1.3140000000000001</v>
      </c>
      <c r="AU571" s="1">
        <f t="shared" si="67"/>
        <v>0.71326319496837676</v>
      </c>
      <c r="AV571" s="1">
        <f t="shared" si="68"/>
        <v>0.52141126979660457</v>
      </c>
      <c r="AW571" s="1">
        <f t="shared" si="69"/>
        <v>0.32955934462483244</v>
      </c>
    </row>
    <row r="572" spans="1:49" x14ac:dyDescent="0.2">
      <c r="A572">
        <v>570</v>
      </c>
      <c r="B572" t="s">
        <v>6625</v>
      </c>
      <c r="C572" t="s">
        <v>6624</v>
      </c>
      <c r="F572" t="s">
        <v>6623</v>
      </c>
      <c r="G572" t="s">
        <v>15</v>
      </c>
      <c r="H572" t="s">
        <v>14</v>
      </c>
      <c r="I572" t="s">
        <v>6622</v>
      </c>
      <c r="J572">
        <v>60021902</v>
      </c>
      <c r="K572" t="s">
        <v>2373</v>
      </c>
      <c r="L572" t="s">
        <v>2372</v>
      </c>
      <c r="M572" t="s">
        <v>2371</v>
      </c>
      <c r="N572">
        <v>2</v>
      </c>
      <c r="O572" t="s">
        <v>6621</v>
      </c>
      <c r="P572" t="s">
        <v>6620</v>
      </c>
      <c r="Q572" t="s">
        <v>2368</v>
      </c>
      <c r="R572" s="7">
        <v>33970</v>
      </c>
      <c r="S572" s="8">
        <f t="shared" si="64"/>
        <v>1993</v>
      </c>
      <c r="T572" s="8">
        <v>1993</v>
      </c>
      <c r="U572" s="8">
        <f t="shared" si="65"/>
        <v>29</v>
      </c>
      <c r="V572" s="7">
        <v>34213</v>
      </c>
      <c r="W572" t="s">
        <v>814</v>
      </c>
      <c r="X572" s="2">
        <v>1.6519999999999999</v>
      </c>
      <c r="Y572" s="6">
        <f t="shared" si="70"/>
        <v>4.409919649769093E-2</v>
      </c>
      <c r="AA572" t="s">
        <v>813</v>
      </c>
      <c r="AB572">
        <v>17337</v>
      </c>
      <c r="AC572">
        <v>15582221</v>
      </c>
      <c r="AD572" t="s">
        <v>5</v>
      </c>
      <c r="AE572">
        <v>41</v>
      </c>
      <c r="AF572">
        <v>9</v>
      </c>
      <c r="AH572" t="s">
        <v>6619</v>
      </c>
      <c r="AI572" t="s">
        <v>6618</v>
      </c>
      <c r="AK572" t="s">
        <v>6617</v>
      </c>
      <c r="AL572">
        <v>17</v>
      </c>
      <c r="AM572" s="5">
        <f t="shared" si="66"/>
        <v>0.58620689655172409</v>
      </c>
      <c r="AN572" s="4">
        <f t="shared" si="71"/>
        <v>8.8785595842745036E-4</v>
      </c>
      <c r="AO572" s="3"/>
      <c r="AP572">
        <v>0</v>
      </c>
      <c r="AR572" t="s">
        <v>1</v>
      </c>
      <c r="AT572" s="2" t="s">
        <v>0</v>
      </c>
      <c r="AU572" s="1">
        <f t="shared" si="67"/>
        <v>3.1135794335911888</v>
      </c>
      <c r="AV572" s="1">
        <f t="shared" si="68"/>
        <v>2.2493526228059189</v>
      </c>
      <c r="AW572" s="1">
        <f t="shared" si="69"/>
        <v>1.3851258120206493</v>
      </c>
    </row>
    <row r="573" spans="1:49" x14ac:dyDescent="0.2">
      <c r="A573">
        <v>571</v>
      </c>
      <c r="B573" t="s">
        <v>6616</v>
      </c>
      <c r="C573" t="s">
        <v>6615</v>
      </c>
      <c r="F573" t="s">
        <v>6614</v>
      </c>
      <c r="G573" t="s">
        <v>15</v>
      </c>
      <c r="H573" t="s">
        <v>14</v>
      </c>
      <c r="I573" t="s">
        <v>6613</v>
      </c>
      <c r="J573">
        <v>60031004</v>
      </c>
      <c r="K573" t="s">
        <v>2997</v>
      </c>
      <c r="L573" t="s">
        <v>819</v>
      </c>
      <c r="M573" t="s">
        <v>818</v>
      </c>
      <c r="N573">
        <v>2</v>
      </c>
      <c r="O573" t="s">
        <v>6612</v>
      </c>
      <c r="P573" t="s">
        <v>6611</v>
      </c>
      <c r="Q573" t="s">
        <v>3474</v>
      </c>
      <c r="R573" s="7">
        <v>33970</v>
      </c>
      <c r="S573" s="8">
        <f t="shared" si="64"/>
        <v>1993</v>
      </c>
      <c r="T573" s="8">
        <v>1993</v>
      </c>
      <c r="U573" s="8">
        <f t="shared" si="65"/>
        <v>29</v>
      </c>
      <c r="V573" s="7">
        <v>34213</v>
      </c>
      <c r="W573" t="s">
        <v>814</v>
      </c>
      <c r="X573" s="2">
        <v>1.6519999999999999</v>
      </c>
      <c r="Y573" s="6">
        <f t="shared" si="70"/>
        <v>4.409919649769093E-2</v>
      </c>
      <c r="AA573" t="s">
        <v>813</v>
      </c>
      <c r="AB573">
        <v>17337</v>
      </c>
      <c r="AC573">
        <v>15582221</v>
      </c>
      <c r="AD573" t="s">
        <v>5</v>
      </c>
      <c r="AE573">
        <v>41</v>
      </c>
      <c r="AF573">
        <v>9</v>
      </c>
      <c r="AH573" t="s">
        <v>6610</v>
      </c>
      <c r="AI573" t="s">
        <v>6609</v>
      </c>
      <c r="AK573" t="s">
        <v>6608</v>
      </c>
      <c r="AL573">
        <v>22</v>
      </c>
      <c r="AM573" s="5">
        <f t="shared" si="66"/>
        <v>0.75862068965517238</v>
      </c>
      <c r="AN573" s="4">
        <f t="shared" si="71"/>
        <v>1.1489900638472887E-3</v>
      </c>
      <c r="AO573" s="3"/>
      <c r="AP573">
        <v>0</v>
      </c>
      <c r="AR573" t="s">
        <v>1</v>
      </c>
      <c r="AT573" s="2" t="s">
        <v>0</v>
      </c>
      <c r="AU573" s="1">
        <f t="shared" si="67"/>
        <v>3.1214134567537837</v>
      </c>
      <c r="AV573" s="1">
        <f t="shared" si="68"/>
        <v>2.2624093280769109</v>
      </c>
      <c r="AW573" s="1">
        <f t="shared" si="69"/>
        <v>1.4034051994000381</v>
      </c>
    </row>
    <row r="574" spans="1:49" x14ac:dyDescent="0.2">
      <c r="A574">
        <v>572</v>
      </c>
      <c r="B574" t="s">
        <v>6607</v>
      </c>
      <c r="C574" t="s">
        <v>6606</v>
      </c>
      <c r="F574" t="s">
        <v>6605</v>
      </c>
      <c r="G574" t="s">
        <v>15</v>
      </c>
      <c r="H574" t="s">
        <v>14</v>
      </c>
      <c r="I574" t="s">
        <v>6604</v>
      </c>
      <c r="J574">
        <v>60101699</v>
      </c>
      <c r="K574" t="s">
        <v>3302</v>
      </c>
      <c r="L574" t="s">
        <v>151</v>
      </c>
      <c r="M574" t="s">
        <v>150</v>
      </c>
      <c r="N574">
        <v>5</v>
      </c>
      <c r="O574" t="s">
        <v>6603</v>
      </c>
      <c r="P574" t="s">
        <v>6602</v>
      </c>
      <c r="Q574" t="s">
        <v>6601</v>
      </c>
      <c r="R574" s="7">
        <v>33970</v>
      </c>
      <c r="S574" s="8">
        <f t="shared" si="64"/>
        <v>1993</v>
      </c>
      <c r="T574" s="8">
        <v>1993</v>
      </c>
      <c r="U574" s="8">
        <f t="shared" si="65"/>
        <v>29</v>
      </c>
      <c r="V574" s="7">
        <v>34213</v>
      </c>
      <c r="W574" t="s">
        <v>814</v>
      </c>
      <c r="X574" s="2">
        <v>1.6519999999999999</v>
      </c>
      <c r="Y574" s="6">
        <f t="shared" si="70"/>
        <v>4.409919649769093E-2</v>
      </c>
      <c r="AA574" t="s">
        <v>813</v>
      </c>
      <c r="AB574">
        <v>17337</v>
      </c>
      <c r="AC574">
        <v>15582221</v>
      </c>
      <c r="AD574" t="s">
        <v>5</v>
      </c>
      <c r="AE574">
        <v>41</v>
      </c>
      <c r="AF574">
        <v>9</v>
      </c>
      <c r="AH574" t="s">
        <v>6600</v>
      </c>
      <c r="AI574" t="s">
        <v>6599</v>
      </c>
      <c r="AK574" t="s">
        <v>6598</v>
      </c>
      <c r="AL574">
        <v>5</v>
      </c>
      <c r="AM574" s="5">
        <f t="shared" si="66"/>
        <v>0.17241379310344829</v>
      </c>
      <c r="AN574" s="4">
        <f t="shared" si="71"/>
        <v>2.6113410541983838E-4</v>
      </c>
      <c r="AO574" s="3"/>
      <c r="AP574">
        <v>0</v>
      </c>
      <c r="AR574" t="s">
        <v>1</v>
      </c>
      <c r="AT574" s="2" t="s">
        <v>0</v>
      </c>
      <c r="AU574" s="1">
        <f t="shared" si="67"/>
        <v>3.0947777780009602</v>
      </c>
      <c r="AV574" s="1">
        <f t="shared" si="68"/>
        <v>2.2180165301555381</v>
      </c>
      <c r="AW574" s="1">
        <f t="shared" si="69"/>
        <v>1.3412552823101165</v>
      </c>
    </row>
    <row r="575" spans="1:49" x14ac:dyDescent="0.2">
      <c r="A575">
        <v>573</v>
      </c>
      <c r="B575" t="s">
        <v>6597</v>
      </c>
      <c r="C575" t="s">
        <v>6596</v>
      </c>
      <c r="F575" t="s">
        <v>6595</v>
      </c>
      <c r="G575" t="s">
        <v>15</v>
      </c>
      <c r="H575" t="s">
        <v>14</v>
      </c>
      <c r="I575" t="s">
        <v>6594</v>
      </c>
      <c r="J575">
        <v>100344020</v>
      </c>
      <c r="K575" t="s">
        <v>6593</v>
      </c>
      <c r="L575" t="s">
        <v>6592</v>
      </c>
      <c r="M575" t="s">
        <v>576</v>
      </c>
      <c r="N575">
        <v>6</v>
      </c>
      <c r="O575" t="s">
        <v>6591</v>
      </c>
      <c r="P575" t="s">
        <v>6590</v>
      </c>
      <c r="Q575" t="s">
        <v>6589</v>
      </c>
      <c r="R575" s="7">
        <v>33970</v>
      </c>
      <c r="S575" s="8">
        <f t="shared" si="64"/>
        <v>1993</v>
      </c>
      <c r="T575" s="8">
        <v>1993</v>
      </c>
      <c r="U575" s="8">
        <f t="shared" si="65"/>
        <v>29</v>
      </c>
      <c r="V575" s="7">
        <v>34217</v>
      </c>
      <c r="W575" t="s">
        <v>2382</v>
      </c>
      <c r="X575" s="2">
        <v>0.30399999999999999</v>
      </c>
      <c r="Y575" s="6">
        <f t="shared" si="70"/>
        <v>8.115106377299057E-3</v>
      </c>
      <c r="AA575">
        <v>8952477</v>
      </c>
      <c r="AB575">
        <v>12250</v>
      </c>
      <c r="AC575">
        <v>10982760</v>
      </c>
      <c r="AD575" t="s">
        <v>5</v>
      </c>
      <c r="AE575">
        <v>6</v>
      </c>
      <c r="AF575">
        <v>12</v>
      </c>
      <c r="AH575" t="s">
        <v>3463</v>
      </c>
      <c r="AI575" t="s">
        <v>6588</v>
      </c>
      <c r="AJ575" t="s">
        <v>6587</v>
      </c>
      <c r="AK575" t="s">
        <v>6586</v>
      </c>
      <c r="AL575">
        <v>0</v>
      </c>
      <c r="AM575" s="5">
        <f t="shared" si="66"/>
        <v>0</v>
      </c>
      <c r="AN575" s="4">
        <f t="shared" si="71"/>
        <v>0</v>
      </c>
      <c r="AO575" s="3"/>
      <c r="AP575">
        <v>0</v>
      </c>
      <c r="AR575" t="s">
        <v>1</v>
      </c>
      <c r="AT575" s="2" t="s">
        <v>0</v>
      </c>
      <c r="AU575" s="1">
        <f t="shared" si="67"/>
        <v>0.56805744641093392</v>
      </c>
      <c r="AV575" s="1">
        <f t="shared" si="68"/>
        <v>0.40575531886495286</v>
      </c>
      <c r="AW575" s="1">
        <f t="shared" si="69"/>
        <v>0.24345319131897172</v>
      </c>
    </row>
    <row r="576" spans="1:49" x14ac:dyDescent="0.2">
      <c r="A576">
        <v>574</v>
      </c>
      <c r="B576" t="s">
        <v>6585</v>
      </c>
      <c r="C576" t="s">
        <v>6584</v>
      </c>
      <c r="F576" t="s">
        <v>6583</v>
      </c>
      <c r="G576" t="s">
        <v>15</v>
      </c>
      <c r="H576" t="s">
        <v>14</v>
      </c>
      <c r="I576" t="s">
        <v>6582</v>
      </c>
      <c r="J576">
        <v>60030480</v>
      </c>
      <c r="K576" t="s">
        <v>6581</v>
      </c>
      <c r="L576" t="s">
        <v>6580</v>
      </c>
      <c r="M576" t="s">
        <v>493</v>
      </c>
      <c r="N576">
        <v>2</v>
      </c>
      <c r="O576" t="s">
        <v>6579</v>
      </c>
      <c r="P576" t="s">
        <v>6578</v>
      </c>
      <c r="Q576" t="s">
        <v>6577</v>
      </c>
      <c r="R576" s="7">
        <v>33970</v>
      </c>
      <c r="S576" s="8">
        <f t="shared" si="64"/>
        <v>1993</v>
      </c>
      <c r="T576" s="8">
        <v>1993</v>
      </c>
      <c r="U576" s="8">
        <f t="shared" si="65"/>
        <v>29</v>
      </c>
      <c r="V576" s="7">
        <v>34213</v>
      </c>
      <c r="W576" t="s">
        <v>1064</v>
      </c>
      <c r="X576" s="2">
        <v>2.141</v>
      </c>
      <c r="Y576" s="6">
        <f t="shared" si="70"/>
        <v>5.7152772216438434E-2</v>
      </c>
      <c r="AA576">
        <v>1962892</v>
      </c>
      <c r="AB576">
        <v>17360</v>
      </c>
      <c r="AC576">
        <v>15580644</v>
      </c>
      <c r="AD576" t="s">
        <v>5</v>
      </c>
      <c r="AE576">
        <v>31</v>
      </c>
      <c r="AF576">
        <v>5</v>
      </c>
      <c r="AH576" t="s">
        <v>6576</v>
      </c>
      <c r="AI576" t="s">
        <v>6575</v>
      </c>
      <c r="AK576" t="s">
        <v>6574</v>
      </c>
      <c r="AL576">
        <v>11</v>
      </c>
      <c r="AM576" s="5">
        <f t="shared" si="66"/>
        <v>0.37931034482758619</v>
      </c>
      <c r="AN576" s="4">
        <f t="shared" si="71"/>
        <v>5.7449503192364435E-4</v>
      </c>
      <c r="AO576" s="3"/>
      <c r="AP576">
        <v>0</v>
      </c>
      <c r="AR576" t="s">
        <v>6573</v>
      </c>
      <c r="AT576" s="2" t="s">
        <v>0</v>
      </c>
      <c r="AU576" s="1">
        <f t="shared" si="67"/>
        <v>4.0179289061083994</v>
      </c>
      <c r="AV576" s="1">
        <f t="shared" si="68"/>
        <v>2.8863633624181038</v>
      </c>
      <c r="AW576" s="1">
        <f t="shared" si="69"/>
        <v>1.7547978187278082</v>
      </c>
    </row>
    <row r="577" spans="1:49" x14ac:dyDescent="0.2">
      <c r="A577">
        <v>575</v>
      </c>
      <c r="B577" t="s">
        <v>6572</v>
      </c>
      <c r="C577" t="s">
        <v>6571</v>
      </c>
      <c r="F577" t="s">
        <v>6570</v>
      </c>
      <c r="G577" t="s">
        <v>15</v>
      </c>
      <c r="H577" t="s">
        <v>14</v>
      </c>
      <c r="I577" t="s">
        <v>6569</v>
      </c>
      <c r="J577">
        <v>60000221</v>
      </c>
      <c r="K577" t="s">
        <v>6568</v>
      </c>
      <c r="L577" t="s">
        <v>6567</v>
      </c>
      <c r="M577" t="s">
        <v>10</v>
      </c>
      <c r="N577">
        <v>3</v>
      </c>
      <c r="O577" t="s">
        <v>6566</v>
      </c>
      <c r="P577" t="s">
        <v>6565</v>
      </c>
      <c r="Q577" t="s">
        <v>6564</v>
      </c>
      <c r="R577" s="7">
        <v>33970</v>
      </c>
      <c r="S577" s="8">
        <f t="shared" ref="S577:S640" si="72">YEAR(R577)</f>
        <v>1993</v>
      </c>
      <c r="T577" s="8">
        <v>1993</v>
      </c>
      <c r="U577" s="8">
        <f t="shared" ref="U577:U640" si="73">2022-T577</f>
        <v>29</v>
      </c>
      <c r="V577" s="7">
        <v>34213</v>
      </c>
      <c r="W577" t="s">
        <v>6563</v>
      </c>
      <c r="X577" s="2">
        <v>1.3460000000000001</v>
      </c>
      <c r="Y577" s="6">
        <f t="shared" si="70"/>
        <v>3.593070126264649E-2</v>
      </c>
      <c r="AA577">
        <v>7338724</v>
      </c>
      <c r="AB577">
        <v>12178</v>
      </c>
      <c r="AC577">
        <v>15582213</v>
      </c>
      <c r="AD577" t="s">
        <v>5</v>
      </c>
      <c r="AE577">
        <v>11</v>
      </c>
      <c r="AF577">
        <v>9</v>
      </c>
      <c r="AH577" t="s">
        <v>6562</v>
      </c>
      <c r="AI577" t="s">
        <v>6561</v>
      </c>
      <c r="AK577" t="s">
        <v>6560</v>
      </c>
      <c r="AL577">
        <v>14</v>
      </c>
      <c r="AM577" s="5">
        <f t="shared" ref="AM577:AM640" si="74">AL577/U577</f>
        <v>0.48275862068965519</v>
      </c>
      <c r="AN577" s="4">
        <f t="shared" si="71"/>
        <v>7.3117549517554741E-4</v>
      </c>
      <c r="AO577" s="3"/>
      <c r="AP577">
        <v>0</v>
      </c>
      <c r="AQ577" t="s">
        <v>1358</v>
      </c>
      <c r="AR577" t="s">
        <v>6559</v>
      </c>
      <c r="AS577" t="s">
        <v>1356</v>
      </c>
      <c r="AT577" s="2">
        <v>4.1420000000000003</v>
      </c>
      <c r="AU577" s="1">
        <f t="shared" ref="AU577:AU640" si="75">(Y577*0.7+AN577*0.3)*100</f>
        <v>2.5370843532405205</v>
      </c>
      <c r="AV577" s="1">
        <f t="shared" ref="AV577:AV640" si="76">(Y577*0.5+AN577*0.5)*100</f>
        <v>1.8330938378911019</v>
      </c>
      <c r="AW577" s="1">
        <f t="shared" ref="AW577:AW640" si="77">(Y577*0.3+AN577*0.7)*100</f>
        <v>1.1291033225416829</v>
      </c>
    </row>
    <row r="578" spans="1:49" x14ac:dyDescent="0.2">
      <c r="A578">
        <v>576</v>
      </c>
      <c r="B578" t="s">
        <v>6558</v>
      </c>
      <c r="C578" t="s">
        <v>6557</v>
      </c>
      <c r="F578" t="s">
        <v>6556</v>
      </c>
      <c r="G578" t="s">
        <v>15</v>
      </c>
      <c r="H578" t="s">
        <v>14</v>
      </c>
      <c r="I578" t="s">
        <v>6555</v>
      </c>
      <c r="J578" t="s">
        <v>6550</v>
      </c>
      <c r="K578" t="s">
        <v>6554</v>
      </c>
      <c r="L578" t="s">
        <v>6553</v>
      </c>
      <c r="M578" t="s">
        <v>235</v>
      </c>
      <c r="N578">
        <v>2</v>
      </c>
      <c r="O578" t="s">
        <v>6552</v>
      </c>
      <c r="P578" t="s">
        <v>6551</v>
      </c>
      <c r="Q578" t="s">
        <v>6550</v>
      </c>
      <c r="R578" s="7">
        <v>33970</v>
      </c>
      <c r="S578" s="8">
        <f t="shared" si="72"/>
        <v>1993</v>
      </c>
      <c r="T578" s="8">
        <v>1993</v>
      </c>
      <c r="U578" s="8">
        <f t="shared" si="73"/>
        <v>29</v>
      </c>
      <c r="V578" s="7">
        <v>34213</v>
      </c>
      <c r="W578" t="s">
        <v>814</v>
      </c>
      <c r="X578" s="2">
        <v>1.6519999999999999</v>
      </c>
      <c r="Y578" s="6">
        <f t="shared" ref="Y578:Y641" si="78">(X578-$Z$4)/($Z$3-$Z$4)</f>
        <v>4.409919649769093E-2</v>
      </c>
      <c r="AA578" t="s">
        <v>813</v>
      </c>
      <c r="AB578">
        <v>17337</v>
      </c>
      <c r="AC578">
        <v>15582221</v>
      </c>
      <c r="AD578" t="s">
        <v>5</v>
      </c>
      <c r="AE578">
        <v>41</v>
      </c>
      <c r="AF578">
        <v>9</v>
      </c>
      <c r="AH578" t="s">
        <v>6549</v>
      </c>
      <c r="AI578" t="s">
        <v>6548</v>
      </c>
      <c r="AK578" t="s">
        <v>6547</v>
      </c>
      <c r="AL578">
        <v>13</v>
      </c>
      <c r="AM578" s="5">
        <f t="shared" si="74"/>
        <v>0.44827586206896552</v>
      </c>
      <c r="AN578" s="4">
        <f t="shared" ref="AN578:AN641" si="79">(AM578-$AO$4)/($AO$3-$AO$4)</f>
        <v>6.7894867409157972E-4</v>
      </c>
      <c r="AO578" s="3"/>
      <c r="AP578">
        <v>0</v>
      </c>
      <c r="AR578" t="s">
        <v>1</v>
      </c>
      <c r="AT578" s="2" t="s">
        <v>0</v>
      </c>
      <c r="AU578" s="1">
        <f t="shared" si="75"/>
        <v>3.1073122150611128</v>
      </c>
      <c r="AV578" s="1">
        <f t="shared" si="76"/>
        <v>2.2389072585891254</v>
      </c>
      <c r="AW578" s="1">
        <f t="shared" si="77"/>
        <v>1.3705023021171385</v>
      </c>
    </row>
    <row r="579" spans="1:49" x14ac:dyDescent="0.2">
      <c r="A579">
        <v>577</v>
      </c>
      <c r="B579" t="s">
        <v>6546</v>
      </c>
      <c r="C579" t="s">
        <v>6545</v>
      </c>
      <c r="F579" t="s">
        <v>6544</v>
      </c>
      <c r="G579" t="s">
        <v>15</v>
      </c>
      <c r="H579" t="s">
        <v>14</v>
      </c>
      <c r="I579" t="s">
        <v>6543</v>
      </c>
      <c r="J579">
        <v>60022134</v>
      </c>
      <c r="K579" t="s">
        <v>4908</v>
      </c>
      <c r="L579" t="s">
        <v>4907</v>
      </c>
      <c r="M579" t="s">
        <v>361</v>
      </c>
      <c r="N579">
        <v>3</v>
      </c>
      <c r="O579" t="s">
        <v>6542</v>
      </c>
      <c r="P579" t="s">
        <v>6541</v>
      </c>
      <c r="Q579" t="s">
        <v>4904</v>
      </c>
      <c r="R579" s="7">
        <v>33970</v>
      </c>
      <c r="S579" s="8">
        <f t="shared" si="72"/>
        <v>1993</v>
      </c>
      <c r="T579" s="8">
        <v>1993</v>
      </c>
      <c r="U579" s="8">
        <f t="shared" si="73"/>
        <v>29</v>
      </c>
      <c r="V579" s="7">
        <v>34213</v>
      </c>
      <c r="W579" t="s">
        <v>1078</v>
      </c>
      <c r="X579" s="2">
        <v>2.9860000000000002</v>
      </c>
      <c r="Y579" s="6">
        <f t="shared" si="78"/>
        <v>7.9709564613865094E-2</v>
      </c>
      <c r="AA579">
        <v>7338716</v>
      </c>
      <c r="AB579">
        <v>18902</v>
      </c>
      <c r="AD579" t="s">
        <v>5</v>
      </c>
      <c r="AE579">
        <v>11</v>
      </c>
      <c r="AF579">
        <v>7</v>
      </c>
      <c r="AH579" t="s">
        <v>6540</v>
      </c>
      <c r="AI579" t="s">
        <v>6539</v>
      </c>
      <c r="AK579" t="s">
        <v>6538</v>
      </c>
      <c r="AL579">
        <v>48</v>
      </c>
      <c r="AM579" s="5">
        <f t="shared" si="74"/>
        <v>1.6551724137931034</v>
      </c>
      <c r="AN579" s="4">
        <f t="shared" si="79"/>
        <v>2.5068874120304481E-3</v>
      </c>
      <c r="AO579" s="3"/>
      <c r="AP579">
        <v>0</v>
      </c>
      <c r="AR579" t="s">
        <v>1</v>
      </c>
      <c r="AT579" s="2" t="s">
        <v>0</v>
      </c>
      <c r="AU579" s="1">
        <f t="shared" si="75"/>
        <v>5.6548761453314693</v>
      </c>
      <c r="AV579" s="1">
        <f t="shared" si="76"/>
        <v>4.1108226012947773</v>
      </c>
      <c r="AW579" s="1">
        <f t="shared" si="77"/>
        <v>2.5667690572580839</v>
      </c>
    </row>
    <row r="580" spans="1:49" x14ac:dyDescent="0.2">
      <c r="A580">
        <v>578</v>
      </c>
      <c r="B580" t="s">
        <v>6537</v>
      </c>
      <c r="C580" t="s">
        <v>6536</v>
      </c>
      <c r="F580" t="s">
        <v>6535</v>
      </c>
      <c r="G580" t="s">
        <v>15</v>
      </c>
      <c r="H580" t="s">
        <v>14</v>
      </c>
      <c r="I580" t="s">
        <v>6534</v>
      </c>
      <c r="J580" t="s">
        <v>6533</v>
      </c>
      <c r="K580" t="s">
        <v>6532</v>
      </c>
      <c r="L580" t="s">
        <v>6531</v>
      </c>
      <c r="M580" t="s">
        <v>219</v>
      </c>
      <c r="N580">
        <v>3</v>
      </c>
      <c r="O580" t="s">
        <v>6530</v>
      </c>
      <c r="P580" t="s">
        <v>6529</v>
      </c>
      <c r="Q580" t="s">
        <v>6528</v>
      </c>
      <c r="R580" s="7">
        <v>33970</v>
      </c>
      <c r="S580" s="8">
        <f t="shared" si="72"/>
        <v>1993</v>
      </c>
      <c r="T580" s="8">
        <v>1993</v>
      </c>
      <c r="U580" s="8">
        <f t="shared" si="73"/>
        <v>29</v>
      </c>
      <c r="V580" s="7">
        <v>34213</v>
      </c>
      <c r="W580" t="s">
        <v>814</v>
      </c>
      <c r="X580" s="2">
        <v>1.6519999999999999</v>
      </c>
      <c r="Y580" s="6">
        <f t="shared" si="78"/>
        <v>4.409919649769093E-2</v>
      </c>
      <c r="AA580" t="s">
        <v>813</v>
      </c>
      <c r="AB580">
        <v>17337</v>
      </c>
      <c r="AC580">
        <v>15582221</v>
      </c>
      <c r="AD580" t="s">
        <v>5</v>
      </c>
      <c r="AE580">
        <v>41</v>
      </c>
      <c r="AF580">
        <v>9</v>
      </c>
      <c r="AH580" t="s">
        <v>6527</v>
      </c>
      <c r="AI580" t="s">
        <v>6526</v>
      </c>
      <c r="AK580" t="s">
        <v>6525</v>
      </c>
      <c r="AL580">
        <v>11</v>
      </c>
      <c r="AM580" s="5">
        <f t="shared" si="74"/>
        <v>0.37931034482758619</v>
      </c>
      <c r="AN580" s="4">
        <f t="shared" si="79"/>
        <v>5.7449503192364435E-4</v>
      </c>
      <c r="AO580" s="3"/>
      <c r="AP580">
        <v>0</v>
      </c>
      <c r="AR580" t="s">
        <v>1</v>
      </c>
      <c r="AT580" s="2" t="s">
        <v>0</v>
      </c>
      <c r="AU580" s="1">
        <f t="shared" si="75"/>
        <v>3.1041786057960743</v>
      </c>
      <c r="AV580" s="1">
        <f t="shared" si="76"/>
        <v>2.2336845764807287</v>
      </c>
      <c r="AW580" s="1">
        <f t="shared" si="77"/>
        <v>1.3631905471653829</v>
      </c>
    </row>
    <row r="581" spans="1:49" x14ac:dyDescent="0.2">
      <c r="A581">
        <v>579</v>
      </c>
      <c r="B581" t="s">
        <v>6524</v>
      </c>
      <c r="C581" t="s">
        <v>6523</v>
      </c>
      <c r="F581" t="s">
        <v>6522</v>
      </c>
      <c r="G581" t="s">
        <v>15</v>
      </c>
      <c r="H581" t="s">
        <v>14</v>
      </c>
      <c r="I581" t="s">
        <v>2744</v>
      </c>
      <c r="J581">
        <v>60017103</v>
      </c>
      <c r="K581" t="s">
        <v>2743</v>
      </c>
      <c r="L581" t="s">
        <v>2742</v>
      </c>
      <c r="M581" t="s">
        <v>521</v>
      </c>
      <c r="N581">
        <v>2</v>
      </c>
      <c r="O581" t="s">
        <v>6521</v>
      </c>
      <c r="P581" t="s">
        <v>4624</v>
      </c>
      <c r="Q581" t="s">
        <v>4623</v>
      </c>
      <c r="R581" s="7">
        <v>33970</v>
      </c>
      <c r="S581" s="8">
        <f t="shared" si="72"/>
        <v>1993</v>
      </c>
      <c r="T581" s="8">
        <v>1993</v>
      </c>
      <c r="U581" s="8">
        <f t="shared" si="73"/>
        <v>29</v>
      </c>
      <c r="V581" s="7">
        <v>34217</v>
      </c>
      <c r="W581" t="s">
        <v>2382</v>
      </c>
      <c r="X581" s="2">
        <v>0.30399999999999999</v>
      </c>
      <c r="Y581" s="6">
        <f t="shared" si="78"/>
        <v>8.115106377299057E-3</v>
      </c>
      <c r="AA581">
        <v>8952477</v>
      </c>
      <c r="AB581">
        <v>12250</v>
      </c>
      <c r="AC581">
        <v>10982760</v>
      </c>
      <c r="AD581" t="s">
        <v>5</v>
      </c>
      <c r="AE581">
        <v>6</v>
      </c>
      <c r="AF581">
        <v>12</v>
      </c>
      <c r="AH581" t="s">
        <v>6520</v>
      </c>
      <c r="AI581" t="s">
        <v>6519</v>
      </c>
      <c r="AJ581" t="s">
        <v>6518</v>
      </c>
      <c r="AK581" t="s">
        <v>6517</v>
      </c>
      <c r="AL581">
        <v>27</v>
      </c>
      <c r="AM581" s="5">
        <f t="shared" si="74"/>
        <v>0.93103448275862066</v>
      </c>
      <c r="AN581" s="4">
        <f t="shared" si="79"/>
        <v>1.410124169267127E-3</v>
      </c>
      <c r="AO581" s="3"/>
      <c r="AP581">
        <v>0</v>
      </c>
      <c r="AR581" t="s">
        <v>1</v>
      </c>
      <c r="AT581" s="2" t="s">
        <v>0</v>
      </c>
      <c r="AU581" s="1">
        <f t="shared" si="75"/>
        <v>0.61036117148894775</v>
      </c>
      <c r="AV581" s="1">
        <f t="shared" si="76"/>
        <v>0.47626152732830918</v>
      </c>
      <c r="AW581" s="1">
        <f t="shared" si="77"/>
        <v>0.3421618831676706</v>
      </c>
    </row>
    <row r="582" spans="1:49" x14ac:dyDescent="0.2">
      <c r="A582">
        <v>580</v>
      </c>
      <c r="B582" t="s">
        <v>6516</v>
      </c>
      <c r="C582" t="s">
        <v>6515</v>
      </c>
      <c r="F582" t="s">
        <v>6514</v>
      </c>
      <c r="G582" t="s">
        <v>15</v>
      </c>
      <c r="H582" t="s">
        <v>14</v>
      </c>
      <c r="I582" t="s">
        <v>6513</v>
      </c>
      <c r="J582">
        <v>60031293</v>
      </c>
      <c r="K582" t="s">
        <v>6409</v>
      </c>
      <c r="L582" t="s">
        <v>151</v>
      </c>
      <c r="M582" t="s">
        <v>150</v>
      </c>
      <c r="N582">
        <v>5</v>
      </c>
      <c r="O582" t="s">
        <v>6512</v>
      </c>
      <c r="P582" t="s">
        <v>6511</v>
      </c>
      <c r="Q582" t="s">
        <v>6510</v>
      </c>
      <c r="R582" s="7">
        <v>33970</v>
      </c>
      <c r="S582" s="8">
        <f t="shared" si="72"/>
        <v>1993</v>
      </c>
      <c r="T582" s="8">
        <v>1993</v>
      </c>
      <c r="U582" s="8">
        <f t="shared" si="73"/>
        <v>29</v>
      </c>
      <c r="V582" s="7">
        <v>34213</v>
      </c>
      <c r="W582" t="s">
        <v>1078</v>
      </c>
      <c r="X582" s="2">
        <v>2.9860000000000002</v>
      </c>
      <c r="Y582" s="6">
        <f t="shared" si="78"/>
        <v>7.9709564613865094E-2</v>
      </c>
      <c r="AA582">
        <v>7338716</v>
      </c>
      <c r="AB582">
        <v>18902</v>
      </c>
      <c r="AD582" t="s">
        <v>5</v>
      </c>
      <c r="AE582">
        <v>11</v>
      </c>
      <c r="AF582">
        <v>7</v>
      </c>
      <c r="AH582" t="s">
        <v>6509</v>
      </c>
      <c r="AI582" t="s">
        <v>6508</v>
      </c>
      <c r="AK582" t="s">
        <v>6507</v>
      </c>
      <c r="AL582">
        <v>44</v>
      </c>
      <c r="AM582" s="5">
        <f t="shared" si="74"/>
        <v>1.5172413793103448</v>
      </c>
      <c r="AN582" s="4">
        <f t="shared" si="79"/>
        <v>2.2979801276945774E-3</v>
      </c>
      <c r="AO582" s="3"/>
      <c r="AP582">
        <v>0</v>
      </c>
      <c r="AR582" t="s">
        <v>1</v>
      </c>
      <c r="AT582" s="2" t="s">
        <v>0</v>
      </c>
      <c r="AU582" s="1">
        <f t="shared" si="75"/>
        <v>5.6486089268013933</v>
      </c>
      <c r="AV582" s="1">
        <f t="shared" si="76"/>
        <v>4.1003772370779838</v>
      </c>
      <c r="AW582" s="1">
        <f t="shared" si="77"/>
        <v>2.5521455473545731</v>
      </c>
    </row>
    <row r="583" spans="1:49" x14ac:dyDescent="0.2">
      <c r="A583">
        <v>581</v>
      </c>
      <c r="B583" t="s">
        <v>6506</v>
      </c>
      <c r="C583" t="s">
        <v>6505</v>
      </c>
      <c r="F583" t="s">
        <v>6504</v>
      </c>
      <c r="G583" t="s">
        <v>15</v>
      </c>
      <c r="H583" t="s">
        <v>14</v>
      </c>
      <c r="I583" t="s">
        <v>6503</v>
      </c>
      <c r="J583">
        <v>60011357</v>
      </c>
      <c r="K583" t="s">
        <v>2437</v>
      </c>
      <c r="L583" t="s">
        <v>2436</v>
      </c>
      <c r="M583" t="s">
        <v>1909</v>
      </c>
      <c r="N583">
        <v>2</v>
      </c>
      <c r="O583" t="s">
        <v>6502</v>
      </c>
      <c r="P583" t="s">
        <v>6501</v>
      </c>
      <c r="Q583" t="s">
        <v>2433</v>
      </c>
      <c r="R583" s="7">
        <v>33970</v>
      </c>
      <c r="S583" s="8">
        <f t="shared" si="72"/>
        <v>1993</v>
      </c>
      <c r="T583" s="8">
        <v>1993</v>
      </c>
      <c r="U583" s="8">
        <f t="shared" si="73"/>
        <v>29</v>
      </c>
      <c r="V583" s="7">
        <v>34217</v>
      </c>
      <c r="W583" t="s">
        <v>2382</v>
      </c>
      <c r="X583" s="2">
        <v>0.30399999999999999</v>
      </c>
      <c r="Y583" s="6">
        <f t="shared" si="78"/>
        <v>8.115106377299057E-3</v>
      </c>
      <c r="AA583">
        <v>8952477</v>
      </c>
      <c r="AB583">
        <v>12250</v>
      </c>
      <c r="AC583">
        <v>10982760</v>
      </c>
      <c r="AD583" t="s">
        <v>5</v>
      </c>
      <c r="AE583">
        <v>6</v>
      </c>
      <c r="AF583">
        <v>12</v>
      </c>
      <c r="AH583" t="s">
        <v>6500</v>
      </c>
      <c r="AI583" t="s">
        <v>6499</v>
      </c>
      <c r="AJ583" t="s">
        <v>6498</v>
      </c>
      <c r="AK583" t="s">
        <v>6497</v>
      </c>
      <c r="AL583">
        <v>12</v>
      </c>
      <c r="AM583" s="5">
        <f t="shared" si="74"/>
        <v>0.41379310344827586</v>
      </c>
      <c r="AN583" s="4">
        <f t="shared" si="79"/>
        <v>6.2672185300761203E-4</v>
      </c>
      <c r="AO583" s="3"/>
      <c r="AP583">
        <v>0</v>
      </c>
      <c r="AR583" t="s">
        <v>1</v>
      </c>
      <c r="AT583" s="2" t="s">
        <v>0</v>
      </c>
      <c r="AU583" s="1">
        <f t="shared" si="75"/>
        <v>0.58685910200116231</v>
      </c>
      <c r="AV583" s="1">
        <f t="shared" si="76"/>
        <v>0.43709141151533348</v>
      </c>
      <c r="AW583" s="1">
        <f t="shared" si="77"/>
        <v>0.28732372102950454</v>
      </c>
    </row>
    <row r="584" spans="1:49" x14ac:dyDescent="0.2">
      <c r="A584">
        <v>582</v>
      </c>
      <c r="B584" t="s">
        <v>6496</v>
      </c>
      <c r="C584" t="s">
        <v>6495</v>
      </c>
      <c r="F584" t="s">
        <v>6494</v>
      </c>
      <c r="G584" t="s">
        <v>15</v>
      </c>
      <c r="H584" t="s">
        <v>14</v>
      </c>
      <c r="I584" t="s">
        <v>6493</v>
      </c>
      <c r="J584">
        <v>60102562</v>
      </c>
      <c r="K584" t="s">
        <v>6492</v>
      </c>
      <c r="L584" t="s">
        <v>896</v>
      </c>
      <c r="M584" t="s">
        <v>10</v>
      </c>
      <c r="N584">
        <v>2</v>
      </c>
      <c r="O584" t="s">
        <v>6491</v>
      </c>
      <c r="P584" t="s">
        <v>6490</v>
      </c>
      <c r="Q584" t="s">
        <v>6489</v>
      </c>
      <c r="R584" s="7">
        <v>33970</v>
      </c>
      <c r="S584" s="8">
        <f t="shared" si="72"/>
        <v>1993</v>
      </c>
      <c r="T584" s="8">
        <v>1993</v>
      </c>
      <c r="U584" s="8">
        <f t="shared" si="73"/>
        <v>29</v>
      </c>
      <c r="V584" s="7">
        <v>34217</v>
      </c>
      <c r="W584" t="s">
        <v>2382</v>
      </c>
      <c r="X584" s="2">
        <v>0.30399999999999999</v>
      </c>
      <c r="Y584" s="6">
        <f t="shared" si="78"/>
        <v>8.115106377299057E-3</v>
      </c>
      <c r="AA584">
        <v>8952477</v>
      </c>
      <c r="AB584">
        <v>12250</v>
      </c>
      <c r="AC584">
        <v>10982760</v>
      </c>
      <c r="AD584" t="s">
        <v>5</v>
      </c>
      <c r="AE584">
        <v>6</v>
      </c>
      <c r="AF584">
        <v>12</v>
      </c>
      <c r="AH584" t="s">
        <v>6488</v>
      </c>
      <c r="AI584" t="s">
        <v>6487</v>
      </c>
      <c r="AJ584" t="s">
        <v>6486</v>
      </c>
      <c r="AK584" t="s">
        <v>6485</v>
      </c>
      <c r="AL584">
        <v>6</v>
      </c>
      <c r="AM584" s="5">
        <f t="shared" si="74"/>
        <v>0.20689655172413793</v>
      </c>
      <c r="AN584" s="4">
        <f t="shared" si="79"/>
        <v>3.1336092650380602E-4</v>
      </c>
      <c r="AO584" s="3"/>
      <c r="AP584">
        <v>0</v>
      </c>
      <c r="AR584" t="s">
        <v>1</v>
      </c>
      <c r="AT584" s="2" t="s">
        <v>0</v>
      </c>
      <c r="AU584" s="1">
        <f t="shared" si="75"/>
        <v>0.57745827420604812</v>
      </c>
      <c r="AV584" s="1">
        <f t="shared" si="76"/>
        <v>0.42142336519014317</v>
      </c>
      <c r="AW584" s="1">
        <f t="shared" si="77"/>
        <v>0.26538845617423812</v>
      </c>
    </row>
    <row r="585" spans="1:49" x14ac:dyDescent="0.2">
      <c r="A585">
        <v>583</v>
      </c>
      <c r="B585" t="s">
        <v>6484</v>
      </c>
      <c r="C585" t="s">
        <v>6483</v>
      </c>
      <c r="F585" t="s">
        <v>6482</v>
      </c>
      <c r="G585" t="s">
        <v>15</v>
      </c>
      <c r="H585" t="s">
        <v>14</v>
      </c>
      <c r="I585" t="s">
        <v>6481</v>
      </c>
      <c r="J585">
        <v>60000745</v>
      </c>
      <c r="K585" t="s">
        <v>769</v>
      </c>
      <c r="L585" t="s">
        <v>768</v>
      </c>
      <c r="M585" t="s">
        <v>10</v>
      </c>
      <c r="N585">
        <v>2</v>
      </c>
      <c r="O585" t="s">
        <v>6480</v>
      </c>
      <c r="P585" t="s">
        <v>6479</v>
      </c>
      <c r="Q585" t="s">
        <v>765</v>
      </c>
      <c r="R585" s="7">
        <v>33970</v>
      </c>
      <c r="S585" s="8">
        <f t="shared" si="72"/>
        <v>1993</v>
      </c>
      <c r="T585" s="8">
        <v>1993</v>
      </c>
      <c r="U585" s="8">
        <f t="shared" si="73"/>
        <v>29</v>
      </c>
      <c r="V585" s="7">
        <v>34213</v>
      </c>
      <c r="W585" t="s">
        <v>1272</v>
      </c>
      <c r="X585" s="2">
        <v>0.94</v>
      </c>
      <c r="Y585" s="6">
        <f t="shared" si="78"/>
        <v>2.5092763140332611E-2</v>
      </c>
      <c r="AA585">
        <v>10518207</v>
      </c>
      <c r="AB585">
        <v>63372</v>
      </c>
      <c r="AD585" t="s">
        <v>5</v>
      </c>
      <c r="AE585">
        <v>3</v>
      </c>
      <c r="AF585">
        <v>9</v>
      </c>
      <c r="AH585" t="s">
        <v>6478</v>
      </c>
      <c r="AI585" t="s">
        <v>6477</v>
      </c>
      <c r="AK585" t="s">
        <v>6476</v>
      </c>
      <c r="AL585">
        <v>15</v>
      </c>
      <c r="AM585" s="5">
        <f t="shared" si="74"/>
        <v>0.51724137931034486</v>
      </c>
      <c r="AN585" s="4">
        <f t="shared" si="79"/>
        <v>7.834023162595151E-4</v>
      </c>
      <c r="AO585" s="3"/>
      <c r="AP585">
        <v>0</v>
      </c>
      <c r="AR585" t="s">
        <v>1</v>
      </c>
      <c r="AT585" s="2" t="s">
        <v>0</v>
      </c>
      <c r="AU585" s="1">
        <f t="shared" si="75"/>
        <v>1.7799954893110683</v>
      </c>
      <c r="AV585" s="1">
        <f t="shared" si="76"/>
        <v>1.2938082728296063</v>
      </c>
      <c r="AW585" s="1">
        <f t="shared" si="77"/>
        <v>0.80762105634814441</v>
      </c>
    </row>
    <row r="586" spans="1:49" x14ac:dyDescent="0.2">
      <c r="A586">
        <v>584</v>
      </c>
      <c r="B586" t="s">
        <v>6475</v>
      </c>
      <c r="C586" t="s">
        <v>6474</v>
      </c>
      <c r="F586" t="s">
        <v>6473</v>
      </c>
      <c r="G586" t="s">
        <v>15</v>
      </c>
      <c r="H586" t="s">
        <v>14</v>
      </c>
      <c r="I586" t="s">
        <v>6472</v>
      </c>
      <c r="J586">
        <v>60015815</v>
      </c>
      <c r="K586" t="s">
        <v>2849</v>
      </c>
      <c r="L586" t="s">
        <v>2003</v>
      </c>
      <c r="M586" t="s">
        <v>59</v>
      </c>
      <c r="N586">
        <v>2</v>
      </c>
      <c r="O586" t="s">
        <v>6471</v>
      </c>
      <c r="P586" t="s">
        <v>6470</v>
      </c>
      <c r="Q586" t="s">
        <v>6469</v>
      </c>
      <c r="R586" s="7">
        <v>33970</v>
      </c>
      <c r="S586" s="8">
        <f t="shared" si="72"/>
        <v>1993</v>
      </c>
      <c r="T586" s="8">
        <v>1993</v>
      </c>
      <c r="U586" s="8">
        <f t="shared" si="73"/>
        <v>29</v>
      </c>
      <c r="V586" s="7">
        <v>34213</v>
      </c>
      <c r="W586" t="s">
        <v>1272</v>
      </c>
      <c r="X586" s="2">
        <v>0.94</v>
      </c>
      <c r="Y586" s="6">
        <f t="shared" si="78"/>
        <v>2.5092763140332611E-2</v>
      </c>
      <c r="AA586">
        <v>10518207</v>
      </c>
      <c r="AB586">
        <v>63372</v>
      </c>
      <c r="AD586" t="s">
        <v>5</v>
      </c>
      <c r="AE586">
        <v>3</v>
      </c>
      <c r="AF586">
        <v>9</v>
      </c>
      <c r="AH586" t="s">
        <v>6468</v>
      </c>
      <c r="AI586" t="s">
        <v>6467</v>
      </c>
      <c r="AK586" t="s">
        <v>6466</v>
      </c>
      <c r="AL586">
        <v>9</v>
      </c>
      <c r="AM586" s="5">
        <f t="shared" si="74"/>
        <v>0.31034482758620691</v>
      </c>
      <c r="AN586" s="4">
        <f t="shared" si="79"/>
        <v>4.7004138975570908E-4</v>
      </c>
      <c r="AO586" s="3"/>
      <c r="AP586">
        <v>0</v>
      </c>
      <c r="AQ586" t="s">
        <v>172</v>
      </c>
      <c r="AR586" t="s">
        <v>6465</v>
      </c>
      <c r="AS586" t="s">
        <v>170</v>
      </c>
      <c r="AT586" s="2" t="s">
        <v>0</v>
      </c>
      <c r="AU586" s="1">
        <f t="shared" si="75"/>
        <v>1.7705946615159538</v>
      </c>
      <c r="AV586" s="1">
        <f t="shared" si="76"/>
        <v>1.2781402265044159</v>
      </c>
      <c r="AW586" s="1">
        <f t="shared" si="77"/>
        <v>0.78568579149287787</v>
      </c>
    </row>
    <row r="587" spans="1:49" x14ac:dyDescent="0.2">
      <c r="A587">
        <v>585</v>
      </c>
      <c r="B587" t="s">
        <v>6464</v>
      </c>
      <c r="C587" t="s">
        <v>6463</v>
      </c>
      <c r="F587" t="s">
        <v>6462</v>
      </c>
      <c r="G587" t="s">
        <v>15</v>
      </c>
      <c r="H587" t="s">
        <v>14</v>
      </c>
      <c r="I587" t="s">
        <v>6461</v>
      </c>
      <c r="N587">
        <v>4</v>
      </c>
      <c r="O587" t="s">
        <v>6460</v>
      </c>
      <c r="P587" t="s">
        <v>6459</v>
      </c>
      <c r="Q587" t="s">
        <v>6458</v>
      </c>
      <c r="R587" s="7">
        <v>33970</v>
      </c>
      <c r="S587" s="8">
        <f t="shared" si="72"/>
        <v>1993</v>
      </c>
      <c r="T587" s="8">
        <v>1993</v>
      </c>
      <c r="U587" s="8">
        <f t="shared" si="73"/>
        <v>29</v>
      </c>
      <c r="V587" s="7" t="s">
        <v>6426</v>
      </c>
      <c r="W587" t="s">
        <v>1555</v>
      </c>
      <c r="X587" s="2">
        <v>0.371</v>
      </c>
      <c r="Y587" s="6">
        <f t="shared" si="78"/>
        <v>9.9036331117695747E-3</v>
      </c>
      <c r="AA587">
        <v>486604</v>
      </c>
      <c r="AB587">
        <v>28580</v>
      </c>
      <c r="AC587" t="s">
        <v>1554</v>
      </c>
      <c r="AD587" t="s">
        <v>5</v>
      </c>
      <c r="AE587">
        <v>28</v>
      </c>
      <c r="AF587">
        <v>5</v>
      </c>
      <c r="AH587" t="s">
        <v>6457</v>
      </c>
      <c r="AI587" t="s">
        <v>6456</v>
      </c>
      <c r="AK587" t="s">
        <v>6455</v>
      </c>
      <c r="AL587">
        <v>10</v>
      </c>
      <c r="AM587" s="5">
        <f t="shared" si="74"/>
        <v>0.34482758620689657</v>
      </c>
      <c r="AN587" s="4">
        <f t="shared" si="79"/>
        <v>5.2226821083967677E-4</v>
      </c>
      <c r="AO587" s="3"/>
      <c r="AP587">
        <v>0</v>
      </c>
      <c r="AR587" t="s">
        <v>1</v>
      </c>
      <c r="AT587" s="2">
        <v>1.431</v>
      </c>
      <c r="AU587" s="1">
        <f t="shared" si="75"/>
        <v>0.70892236414906051</v>
      </c>
      <c r="AV587" s="1">
        <f t="shared" si="76"/>
        <v>0.52129506613046261</v>
      </c>
      <c r="AW587" s="1">
        <f t="shared" si="77"/>
        <v>0.33366776811186466</v>
      </c>
    </row>
    <row r="588" spans="1:49" x14ac:dyDescent="0.2">
      <c r="A588">
        <v>586</v>
      </c>
      <c r="B588" t="s">
        <v>6454</v>
      </c>
      <c r="C588" t="s">
        <v>6453</v>
      </c>
      <c r="F588" t="s">
        <v>6452</v>
      </c>
      <c r="G588" t="s">
        <v>15</v>
      </c>
      <c r="H588" t="s">
        <v>14</v>
      </c>
      <c r="I588" t="s">
        <v>4790</v>
      </c>
      <c r="J588">
        <v>60022403</v>
      </c>
      <c r="K588" t="s">
        <v>4789</v>
      </c>
      <c r="L588" t="s">
        <v>4788</v>
      </c>
      <c r="M588" t="s">
        <v>1118</v>
      </c>
      <c r="N588">
        <v>3</v>
      </c>
      <c r="O588" t="s">
        <v>4787</v>
      </c>
      <c r="P588" t="s">
        <v>4786</v>
      </c>
      <c r="Q588" t="s">
        <v>4785</v>
      </c>
      <c r="R588" s="7">
        <v>33970</v>
      </c>
      <c r="S588" s="8">
        <f t="shared" si="72"/>
        <v>1993</v>
      </c>
      <c r="T588" s="8">
        <v>1993</v>
      </c>
      <c r="U588" s="8">
        <f t="shared" si="73"/>
        <v>29</v>
      </c>
      <c r="V588" s="7">
        <v>34213</v>
      </c>
      <c r="W588" t="s">
        <v>814</v>
      </c>
      <c r="X588" s="2">
        <v>1.6519999999999999</v>
      </c>
      <c r="Y588" s="6">
        <f t="shared" si="78"/>
        <v>4.409919649769093E-2</v>
      </c>
      <c r="AA588" t="s">
        <v>813</v>
      </c>
      <c r="AB588">
        <v>17337</v>
      </c>
      <c r="AC588">
        <v>15582221</v>
      </c>
      <c r="AD588" t="s">
        <v>5</v>
      </c>
      <c r="AE588">
        <v>41</v>
      </c>
      <c r="AF588">
        <v>9</v>
      </c>
      <c r="AH588" t="s">
        <v>6451</v>
      </c>
      <c r="AI588" t="s">
        <v>6450</v>
      </c>
      <c r="AK588" t="s">
        <v>6449</v>
      </c>
      <c r="AL588">
        <v>6</v>
      </c>
      <c r="AM588" s="5">
        <f t="shared" si="74"/>
        <v>0.20689655172413793</v>
      </c>
      <c r="AN588" s="4">
        <f t="shared" si="79"/>
        <v>3.1336092650380602E-4</v>
      </c>
      <c r="AO588" s="3"/>
      <c r="AP588">
        <v>0</v>
      </c>
      <c r="AR588" t="s">
        <v>1</v>
      </c>
      <c r="AT588" s="2" t="s">
        <v>0</v>
      </c>
      <c r="AU588" s="1">
        <f t="shared" si="75"/>
        <v>3.096344582633479</v>
      </c>
      <c r="AV588" s="1">
        <f t="shared" si="76"/>
        <v>2.2206278712097367</v>
      </c>
      <c r="AW588" s="1">
        <f t="shared" si="77"/>
        <v>1.3449111597859942</v>
      </c>
    </row>
    <row r="589" spans="1:49" x14ac:dyDescent="0.2">
      <c r="A589">
        <v>587</v>
      </c>
      <c r="B589" t="s">
        <v>6448</v>
      </c>
      <c r="C589" t="s">
        <v>6447</v>
      </c>
      <c r="F589" t="s">
        <v>6446</v>
      </c>
      <c r="G589" t="s">
        <v>15</v>
      </c>
      <c r="H589" t="s">
        <v>14</v>
      </c>
      <c r="I589" t="s">
        <v>6445</v>
      </c>
      <c r="N589">
        <v>1</v>
      </c>
      <c r="O589" t="s">
        <v>6444</v>
      </c>
      <c r="P589">
        <v>7003336209</v>
      </c>
      <c r="R589" s="7">
        <v>33970</v>
      </c>
      <c r="S589" s="8">
        <f t="shared" si="72"/>
        <v>1993</v>
      </c>
      <c r="T589" s="8">
        <v>1993</v>
      </c>
      <c r="U589" s="8">
        <f t="shared" si="73"/>
        <v>29</v>
      </c>
      <c r="V589" s="7">
        <v>34213</v>
      </c>
      <c r="W589" t="s">
        <v>1064</v>
      </c>
      <c r="X589" s="2">
        <v>2.141</v>
      </c>
      <c r="Y589" s="6">
        <f t="shared" si="78"/>
        <v>5.7152772216438434E-2</v>
      </c>
      <c r="AA589">
        <v>1962892</v>
      </c>
      <c r="AB589">
        <v>17360</v>
      </c>
      <c r="AC589">
        <v>15580644</v>
      </c>
      <c r="AD589" t="s">
        <v>5</v>
      </c>
      <c r="AE589">
        <v>31</v>
      </c>
      <c r="AF589">
        <v>5</v>
      </c>
      <c r="AH589" t="s">
        <v>6443</v>
      </c>
      <c r="AI589" t="s">
        <v>6442</v>
      </c>
      <c r="AK589" t="s">
        <v>6441</v>
      </c>
      <c r="AL589">
        <v>4</v>
      </c>
      <c r="AM589" s="5">
        <f t="shared" si="74"/>
        <v>0.13793103448275862</v>
      </c>
      <c r="AN589" s="4">
        <f t="shared" si="79"/>
        <v>2.089072843358707E-4</v>
      </c>
      <c r="AO589" s="3"/>
      <c r="AP589">
        <v>0</v>
      </c>
      <c r="AR589" t="s">
        <v>1</v>
      </c>
      <c r="AT589" s="2" t="s">
        <v>0</v>
      </c>
      <c r="AU589" s="1">
        <f t="shared" si="75"/>
        <v>4.0069612736807665</v>
      </c>
      <c r="AV589" s="1">
        <f t="shared" si="76"/>
        <v>2.868083975038715</v>
      </c>
      <c r="AW589" s="1">
        <f t="shared" si="77"/>
        <v>1.7292066763966638</v>
      </c>
    </row>
    <row r="590" spans="1:49" x14ac:dyDescent="0.2">
      <c r="A590">
        <v>588</v>
      </c>
      <c r="B590" t="s">
        <v>6440</v>
      </c>
      <c r="C590" t="s">
        <v>6439</v>
      </c>
      <c r="F590" t="s">
        <v>6438</v>
      </c>
      <c r="G590" t="s">
        <v>15</v>
      </c>
      <c r="H590" t="s">
        <v>14</v>
      </c>
      <c r="I590" t="s">
        <v>6437</v>
      </c>
      <c r="N590">
        <v>1</v>
      </c>
      <c r="O590" t="s">
        <v>6436</v>
      </c>
      <c r="P590">
        <v>35581830600</v>
      </c>
      <c r="R590" s="7">
        <v>33970</v>
      </c>
      <c r="S590" s="8">
        <f t="shared" si="72"/>
        <v>1993</v>
      </c>
      <c r="T590" s="8">
        <v>1993</v>
      </c>
      <c r="U590" s="8">
        <f t="shared" si="73"/>
        <v>29</v>
      </c>
      <c r="V590" s="7" t="s">
        <v>6426</v>
      </c>
      <c r="W590" t="s">
        <v>1555</v>
      </c>
      <c r="X590" s="2">
        <v>0.371</v>
      </c>
      <c r="Y590" s="6">
        <f t="shared" si="78"/>
        <v>9.9036331117695747E-3</v>
      </c>
      <c r="AA590">
        <v>486604</v>
      </c>
      <c r="AB590">
        <v>28580</v>
      </c>
      <c r="AC590" t="s">
        <v>1554</v>
      </c>
      <c r="AD590" t="s">
        <v>5</v>
      </c>
      <c r="AE590">
        <v>28</v>
      </c>
      <c r="AF590">
        <v>5</v>
      </c>
      <c r="AH590" t="s">
        <v>6435</v>
      </c>
      <c r="AI590" t="s">
        <v>6434</v>
      </c>
      <c r="AK590" t="s">
        <v>6433</v>
      </c>
      <c r="AL590">
        <v>8</v>
      </c>
      <c r="AM590" s="5">
        <f t="shared" si="74"/>
        <v>0.27586206896551724</v>
      </c>
      <c r="AN590" s="4">
        <f t="shared" si="79"/>
        <v>4.1781456867174139E-4</v>
      </c>
      <c r="AO590" s="3"/>
      <c r="AP590">
        <v>0</v>
      </c>
      <c r="AR590" t="s">
        <v>1</v>
      </c>
      <c r="AT590" s="2">
        <v>1.431</v>
      </c>
      <c r="AU590" s="1">
        <f t="shared" si="75"/>
        <v>0.70578875488402237</v>
      </c>
      <c r="AV590" s="1">
        <f t="shared" si="76"/>
        <v>0.51607238402206579</v>
      </c>
      <c r="AW590" s="1">
        <f t="shared" si="77"/>
        <v>0.32635601316010915</v>
      </c>
    </row>
    <row r="591" spans="1:49" x14ac:dyDescent="0.2">
      <c r="A591">
        <v>589</v>
      </c>
      <c r="B591" t="s">
        <v>6432</v>
      </c>
      <c r="C591" t="s">
        <v>6431</v>
      </c>
      <c r="F591" t="s">
        <v>6430</v>
      </c>
      <c r="G591" t="s">
        <v>15</v>
      </c>
      <c r="H591" t="s">
        <v>14</v>
      </c>
      <c r="I591" t="s">
        <v>6429</v>
      </c>
      <c r="N591">
        <v>3</v>
      </c>
      <c r="O591" t="s">
        <v>6428</v>
      </c>
      <c r="P591" t="s">
        <v>6427</v>
      </c>
      <c r="Q591" t="s">
        <v>2929</v>
      </c>
      <c r="R591" s="7">
        <v>33970</v>
      </c>
      <c r="S591" s="8">
        <f t="shared" si="72"/>
        <v>1993</v>
      </c>
      <c r="T591" s="8">
        <v>1993</v>
      </c>
      <c r="U591" s="8">
        <f t="shared" si="73"/>
        <v>29</v>
      </c>
      <c r="V591" s="7" t="s">
        <v>6426</v>
      </c>
      <c r="W591" t="s">
        <v>1555</v>
      </c>
      <c r="X591" s="2">
        <v>0.371</v>
      </c>
      <c r="Y591" s="6">
        <f t="shared" si="78"/>
        <v>9.9036331117695747E-3</v>
      </c>
      <c r="AA591">
        <v>486604</v>
      </c>
      <c r="AB591">
        <v>28580</v>
      </c>
      <c r="AC591" t="s">
        <v>1554</v>
      </c>
      <c r="AD591" t="s">
        <v>5</v>
      </c>
      <c r="AE591">
        <v>28</v>
      </c>
      <c r="AF591">
        <v>5</v>
      </c>
      <c r="AH591" t="s">
        <v>6425</v>
      </c>
      <c r="AI591" t="s">
        <v>6424</v>
      </c>
      <c r="AK591" t="s">
        <v>6423</v>
      </c>
      <c r="AL591">
        <v>12</v>
      </c>
      <c r="AM591" s="5">
        <f t="shared" si="74"/>
        <v>0.41379310344827586</v>
      </c>
      <c r="AN591" s="4">
        <f t="shared" si="79"/>
        <v>6.2672185300761203E-4</v>
      </c>
      <c r="AO591" s="3"/>
      <c r="AP591">
        <v>0</v>
      </c>
      <c r="AR591" t="s">
        <v>1</v>
      </c>
      <c r="AT591" s="2">
        <v>1.431</v>
      </c>
      <c r="AU591" s="1">
        <f t="shared" si="75"/>
        <v>0.71205597341409854</v>
      </c>
      <c r="AV591" s="1">
        <f t="shared" si="76"/>
        <v>0.52651774823885933</v>
      </c>
      <c r="AW591" s="1">
        <f t="shared" si="77"/>
        <v>0.34097952306362006</v>
      </c>
    </row>
    <row r="592" spans="1:49" x14ac:dyDescent="0.2">
      <c r="A592">
        <v>590</v>
      </c>
      <c r="B592" t="s">
        <v>6422</v>
      </c>
      <c r="C592" t="s">
        <v>6421</v>
      </c>
      <c r="F592" t="s">
        <v>6420</v>
      </c>
      <c r="G592" t="s">
        <v>15</v>
      </c>
      <c r="H592" t="s">
        <v>14</v>
      </c>
      <c r="I592" t="s">
        <v>6419</v>
      </c>
      <c r="J592" t="s">
        <v>6418</v>
      </c>
      <c r="K592" t="s">
        <v>6417</v>
      </c>
      <c r="L592" t="s">
        <v>6416</v>
      </c>
      <c r="M592" t="s">
        <v>235</v>
      </c>
      <c r="N592">
        <v>3</v>
      </c>
      <c r="O592" t="s">
        <v>6415</v>
      </c>
      <c r="P592" t="s">
        <v>6414</v>
      </c>
      <c r="Q592" t="s">
        <v>6413</v>
      </c>
      <c r="R592" s="7">
        <v>33970</v>
      </c>
      <c r="S592" s="8">
        <f t="shared" si="72"/>
        <v>1993</v>
      </c>
      <c r="T592" s="8">
        <v>1993</v>
      </c>
      <c r="U592" s="8">
        <f t="shared" si="73"/>
        <v>29</v>
      </c>
      <c r="V592" s="7">
        <v>34213</v>
      </c>
      <c r="W592" t="s">
        <v>1078</v>
      </c>
      <c r="X592" s="2">
        <v>2.9860000000000002</v>
      </c>
      <c r="Y592" s="6">
        <f t="shared" si="78"/>
        <v>7.9709564613865094E-2</v>
      </c>
      <c r="AA592">
        <v>7338716</v>
      </c>
      <c r="AB592">
        <v>18902</v>
      </c>
      <c r="AD592" t="s">
        <v>5</v>
      </c>
      <c r="AE592">
        <v>11</v>
      </c>
      <c r="AF592">
        <v>7</v>
      </c>
      <c r="AH592" t="s">
        <v>6412</v>
      </c>
      <c r="AI592" t="s">
        <v>6411</v>
      </c>
      <c r="AK592" t="s">
        <v>6410</v>
      </c>
      <c r="AL592">
        <v>380</v>
      </c>
      <c r="AM592" s="5">
        <f t="shared" si="74"/>
        <v>13.103448275862069</v>
      </c>
      <c r="AN592" s="4">
        <f t="shared" si="79"/>
        <v>1.9846192011907716E-2</v>
      </c>
      <c r="AO592" s="3"/>
      <c r="AP592">
        <v>0</v>
      </c>
      <c r="AR592" t="s">
        <v>1</v>
      </c>
      <c r="AS592" t="s">
        <v>6409</v>
      </c>
      <c r="AT592" s="2" t="s">
        <v>0</v>
      </c>
      <c r="AU592" s="1">
        <f t="shared" si="75"/>
        <v>6.1750552833277874</v>
      </c>
      <c r="AV592" s="1">
        <f t="shared" si="76"/>
        <v>4.9777878312886408</v>
      </c>
      <c r="AW592" s="1">
        <f t="shared" si="77"/>
        <v>3.7805203792494928</v>
      </c>
    </row>
    <row r="593" spans="1:49" x14ac:dyDescent="0.2">
      <c r="A593">
        <v>591</v>
      </c>
      <c r="B593" t="s">
        <v>6408</v>
      </c>
      <c r="C593" t="s">
        <v>6407</v>
      </c>
      <c r="F593" t="s">
        <v>6406</v>
      </c>
      <c r="G593" t="s">
        <v>15</v>
      </c>
      <c r="H593" t="s">
        <v>14</v>
      </c>
      <c r="I593" t="s">
        <v>6405</v>
      </c>
      <c r="J593">
        <v>60002947</v>
      </c>
      <c r="K593" t="s">
        <v>6404</v>
      </c>
      <c r="L593" t="s">
        <v>6403</v>
      </c>
      <c r="M593" t="s">
        <v>6402</v>
      </c>
      <c r="N593">
        <v>3</v>
      </c>
      <c r="O593" t="s">
        <v>6401</v>
      </c>
      <c r="P593" t="s">
        <v>6400</v>
      </c>
      <c r="Q593" t="s">
        <v>6399</v>
      </c>
      <c r="R593" s="7">
        <v>33970</v>
      </c>
      <c r="S593" s="8">
        <f t="shared" si="72"/>
        <v>1993</v>
      </c>
      <c r="T593" s="8">
        <v>1993</v>
      </c>
      <c r="U593" s="8">
        <f t="shared" si="73"/>
        <v>29</v>
      </c>
      <c r="V593" s="7">
        <v>34213</v>
      </c>
      <c r="W593" t="s">
        <v>814</v>
      </c>
      <c r="X593" s="2">
        <v>1.6519999999999999</v>
      </c>
      <c r="Y593" s="6">
        <f t="shared" si="78"/>
        <v>4.409919649769093E-2</v>
      </c>
      <c r="AA593" t="s">
        <v>813</v>
      </c>
      <c r="AB593">
        <v>17337</v>
      </c>
      <c r="AC593">
        <v>15582221</v>
      </c>
      <c r="AD593" t="s">
        <v>5</v>
      </c>
      <c r="AE593">
        <v>41</v>
      </c>
      <c r="AF593">
        <v>9</v>
      </c>
      <c r="AH593" t="s">
        <v>6398</v>
      </c>
      <c r="AI593" t="s">
        <v>6397</v>
      </c>
      <c r="AK593" t="s">
        <v>6396</v>
      </c>
      <c r="AL593">
        <v>2</v>
      </c>
      <c r="AM593" s="5">
        <f t="shared" si="74"/>
        <v>6.8965517241379309E-2</v>
      </c>
      <c r="AN593" s="4">
        <f t="shared" si="79"/>
        <v>1.0445364216793535E-4</v>
      </c>
      <c r="AO593" s="3"/>
      <c r="AP593">
        <v>0</v>
      </c>
      <c r="AR593" t="s">
        <v>1</v>
      </c>
      <c r="AT593" s="2" t="s">
        <v>0</v>
      </c>
      <c r="AU593" s="1">
        <f t="shared" si="75"/>
        <v>3.0900773641034029</v>
      </c>
      <c r="AV593" s="1">
        <f t="shared" si="76"/>
        <v>2.2101825069929433</v>
      </c>
      <c r="AW593" s="1">
        <f t="shared" si="77"/>
        <v>1.3302876498824832</v>
      </c>
    </row>
    <row r="594" spans="1:49" x14ac:dyDescent="0.2">
      <c r="A594">
        <v>592</v>
      </c>
      <c r="B594" t="s">
        <v>6395</v>
      </c>
      <c r="C594" t="s">
        <v>6394</v>
      </c>
      <c r="F594" t="s">
        <v>6393</v>
      </c>
      <c r="G594" t="s">
        <v>15</v>
      </c>
      <c r="H594" t="s">
        <v>14</v>
      </c>
      <c r="I594" t="s">
        <v>6392</v>
      </c>
      <c r="J594">
        <v>60020547</v>
      </c>
      <c r="K594" t="s">
        <v>3199</v>
      </c>
      <c r="L594" t="s">
        <v>3198</v>
      </c>
      <c r="M594" t="s">
        <v>10</v>
      </c>
      <c r="N594">
        <v>3</v>
      </c>
      <c r="O594" t="s">
        <v>6391</v>
      </c>
      <c r="P594" t="s">
        <v>6390</v>
      </c>
      <c r="Q594" t="s">
        <v>3195</v>
      </c>
      <c r="R594" s="7">
        <v>33970</v>
      </c>
      <c r="S594" s="8">
        <f t="shared" si="72"/>
        <v>1993</v>
      </c>
      <c r="T594" s="8">
        <v>1993</v>
      </c>
      <c r="U594" s="8">
        <f t="shared" si="73"/>
        <v>29</v>
      </c>
      <c r="V594" s="7">
        <v>34213</v>
      </c>
      <c r="W594" t="s">
        <v>548</v>
      </c>
      <c r="X594" s="2">
        <v>1.3720000000000001</v>
      </c>
      <c r="Y594" s="6">
        <f t="shared" si="78"/>
        <v>3.662475641333654E-2</v>
      </c>
      <c r="AA594">
        <v>189480</v>
      </c>
      <c r="AB594">
        <v>17366</v>
      </c>
      <c r="AC594">
        <v>15579670</v>
      </c>
      <c r="AD594" t="s">
        <v>5</v>
      </c>
      <c r="AE594">
        <v>41</v>
      </c>
      <c r="AF594">
        <v>9</v>
      </c>
      <c r="AH594" t="s">
        <v>6389</v>
      </c>
      <c r="AI594" t="s">
        <v>6388</v>
      </c>
      <c r="AK594" t="s">
        <v>6387</v>
      </c>
      <c r="AL594">
        <v>6</v>
      </c>
      <c r="AM594" s="5">
        <f t="shared" si="74"/>
        <v>0.20689655172413793</v>
      </c>
      <c r="AN594" s="4">
        <f t="shared" si="79"/>
        <v>3.1336092650380602E-4</v>
      </c>
      <c r="AO594" s="3"/>
      <c r="AP594">
        <v>0</v>
      </c>
      <c r="AQ594" t="s">
        <v>6386</v>
      </c>
      <c r="AR594" t="s">
        <v>1</v>
      </c>
      <c r="AS594" t="s">
        <v>6385</v>
      </c>
      <c r="AT594" s="2" t="s">
        <v>0</v>
      </c>
      <c r="AU594" s="1">
        <f t="shared" si="75"/>
        <v>2.5731337767286715</v>
      </c>
      <c r="AV594" s="1">
        <f t="shared" si="76"/>
        <v>1.8469058669920171</v>
      </c>
      <c r="AW594" s="1">
        <f t="shared" si="77"/>
        <v>1.1206779572553627</v>
      </c>
    </row>
    <row r="595" spans="1:49" x14ac:dyDescent="0.2">
      <c r="A595">
        <v>593</v>
      </c>
      <c r="B595" t="s">
        <v>6384</v>
      </c>
      <c r="C595" t="s">
        <v>6383</v>
      </c>
      <c r="F595" t="s">
        <v>6382</v>
      </c>
      <c r="G595" t="s">
        <v>15</v>
      </c>
      <c r="H595" t="s">
        <v>14</v>
      </c>
      <c r="I595" t="s">
        <v>6381</v>
      </c>
      <c r="J595" t="s">
        <v>6380</v>
      </c>
      <c r="K595" t="s">
        <v>6379</v>
      </c>
      <c r="L595" t="s">
        <v>6378</v>
      </c>
      <c r="M595" t="s">
        <v>235</v>
      </c>
      <c r="N595">
        <v>4</v>
      </c>
      <c r="O595" t="s">
        <v>6377</v>
      </c>
      <c r="P595" t="s">
        <v>6376</v>
      </c>
      <c r="Q595" t="s">
        <v>6375</v>
      </c>
      <c r="R595" s="7">
        <v>33970</v>
      </c>
      <c r="S595" s="8">
        <f t="shared" si="72"/>
        <v>1993</v>
      </c>
      <c r="T595" s="8">
        <v>1993</v>
      </c>
      <c r="U595" s="8">
        <f t="shared" si="73"/>
        <v>29</v>
      </c>
      <c r="V595" s="7">
        <v>34213</v>
      </c>
      <c r="W595" t="s">
        <v>1064</v>
      </c>
      <c r="X595" s="2">
        <v>2.141</v>
      </c>
      <c r="Y595" s="6">
        <f t="shared" si="78"/>
        <v>5.7152772216438434E-2</v>
      </c>
      <c r="AA595">
        <v>1962892</v>
      </c>
      <c r="AB595">
        <v>17360</v>
      </c>
      <c r="AC595">
        <v>15580644</v>
      </c>
      <c r="AD595" t="s">
        <v>5</v>
      </c>
      <c r="AE595">
        <v>31</v>
      </c>
      <c r="AF595">
        <v>5</v>
      </c>
      <c r="AH595" t="s">
        <v>6374</v>
      </c>
      <c r="AI595" t="s">
        <v>6373</v>
      </c>
      <c r="AK595" t="s">
        <v>6372</v>
      </c>
      <c r="AL595">
        <v>117</v>
      </c>
      <c r="AM595" s="5">
        <f t="shared" si="74"/>
        <v>4.0344827586206895</v>
      </c>
      <c r="AN595" s="4">
        <f t="shared" si="79"/>
        <v>6.1105380668242176E-3</v>
      </c>
      <c r="AO595" s="3"/>
      <c r="AP595">
        <v>0</v>
      </c>
      <c r="AR595" t="s">
        <v>1</v>
      </c>
      <c r="AT595" s="2" t="s">
        <v>0</v>
      </c>
      <c r="AU595" s="1">
        <f t="shared" si="75"/>
        <v>4.1840101971554171</v>
      </c>
      <c r="AV595" s="1">
        <f t="shared" si="76"/>
        <v>3.1631655141631327</v>
      </c>
      <c r="AW595" s="1">
        <f t="shared" si="77"/>
        <v>2.1423208311708479</v>
      </c>
    </row>
    <row r="596" spans="1:49" x14ac:dyDescent="0.2">
      <c r="A596">
        <v>594</v>
      </c>
      <c r="B596" t="s">
        <v>6371</v>
      </c>
      <c r="C596" t="s">
        <v>6370</v>
      </c>
      <c r="F596" t="s">
        <v>6369</v>
      </c>
      <c r="G596" t="s">
        <v>15</v>
      </c>
      <c r="H596" t="s">
        <v>14</v>
      </c>
      <c r="I596" t="s">
        <v>6368</v>
      </c>
      <c r="N596">
        <v>2</v>
      </c>
      <c r="O596" t="s">
        <v>6367</v>
      </c>
      <c r="P596" t="s">
        <v>6366</v>
      </c>
      <c r="Q596" t="s">
        <v>1557</v>
      </c>
      <c r="R596" s="7">
        <v>33970</v>
      </c>
      <c r="S596" s="8">
        <f t="shared" si="72"/>
        <v>1993</v>
      </c>
      <c r="T596" s="8">
        <v>1993</v>
      </c>
      <c r="U596" s="8">
        <f t="shared" si="73"/>
        <v>29</v>
      </c>
      <c r="V596" s="7">
        <v>34213</v>
      </c>
      <c r="W596" t="s">
        <v>814</v>
      </c>
      <c r="X596" s="2">
        <v>1.6519999999999999</v>
      </c>
      <c r="Y596" s="6">
        <f t="shared" si="78"/>
        <v>4.409919649769093E-2</v>
      </c>
      <c r="AA596" t="s">
        <v>813</v>
      </c>
      <c r="AB596">
        <v>17337</v>
      </c>
      <c r="AC596">
        <v>15582221</v>
      </c>
      <c r="AD596" t="s">
        <v>5</v>
      </c>
      <c r="AE596">
        <v>41</v>
      </c>
      <c r="AF596">
        <v>9</v>
      </c>
      <c r="AH596" t="s">
        <v>6365</v>
      </c>
      <c r="AI596" t="s">
        <v>6364</v>
      </c>
      <c r="AK596" t="s">
        <v>6363</v>
      </c>
      <c r="AL596">
        <v>75</v>
      </c>
      <c r="AM596" s="5">
        <f t="shared" si="74"/>
        <v>2.5862068965517242</v>
      </c>
      <c r="AN596" s="4">
        <f t="shared" si="79"/>
        <v>3.9170115812975758E-3</v>
      </c>
      <c r="AO596" s="3"/>
      <c r="AP596">
        <v>0</v>
      </c>
      <c r="AR596" t="s">
        <v>6362</v>
      </c>
      <c r="AS596" t="s">
        <v>6361</v>
      </c>
      <c r="AT596" s="2" t="s">
        <v>0</v>
      </c>
      <c r="AU596" s="1">
        <f t="shared" si="75"/>
        <v>3.2044541022772925</v>
      </c>
      <c r="AV596" s="1">
        <f t="shared" si="76"/>
        <v>2.4008104039494254</v>
      </c>
      <c r="AW596" s="1">
        <f t="shared" si="77"/>
        <v>1.5971667056215582</v>
      </c>
    </row>
    <row r="597" spans="1:49" x14ac:dyDescent="0.2">
      <c r="A597">
        <v>595</v>
      </c>
      <c r="B597" t="s">
        <v>6360</v>
      </c>
      <c r="C597" t="s">
        <v>6359</v>
      </c>
      <c r="F597" t="s">
        <v>6358</v>
      </c>
      <c r="G597" t="s">
        <v>15</v>
      </c>
      <c r="H597" t="s">
        <v>14</v>
      </c>
      <c r="I597" t="s">
        <v>3200</v>
      </c>
      <c r="J597">
        <v>60020547</v>
      </c>
      <c r="K597" t="s">
        <v>3199</v>
      </c>
      <c r="L597" t="s">
        <v>3198</v>
      </c>
      <c r="M597" t="s">
        <v>10</v>
      </c>
      <c r="N597">
        <v>3</v>
      </c>
      <c r="O597" t="s">
        <v>4660</v>
      </c>
      <c r="P597" t="s">
        <v>3196</v>
      </c>
      <c r="Q597" t="s">
        <v>3195</v>
      </c>
      <c r="R597" s="7">
        <v>33970</v>
      </c>
      <c r="S597" s="8">
        <f t="shared" si="72"/>
        <v>1993</v>
      </c>
      <c r="T597" s="8">
        <v>1993</v>
      </c>
      <c r="U597" s="8">
        <f t="shared" si="73"/>
        <v>29</v>
      </c>
      <c r="V597" s="7">
        <v>34213</v>
      </c>
      <c r="W597" t="s">
        <v>548</v>
      </c>
      <c r="X597" s="2">
        <v>1.3720000000000001</v>
      </c>
      <c r="Y597" s="6">
        <f t="shared" si="78"/>
        <v>3.662475641333654E-2</v>
      </c>
      <c r="AA597">
        <v>189480</v>
      </c>
      <c r="AB597">
        <v>17366</v>
      </c>
      <c r="AC597">
        <v>15579670</v>
      </c>
      <c r="AD597" t="s">
        <v>5</v>
      </c>
      <c r="AE597">
        <v>41</v>
      </c>
      <c r="AF597">
        <v>9</v>
      </c>
      <c r="AH597" t="s">
        <v>6357</v>
      </c>
      <c r="AI597" t="s">
        <v>6356</v>
      </c>
      <c r="AK597" t="s">
        <v>6355</v>
      </c>
      <c r="AL597">
        <v>19</v>
      </c>
      <c r="AM597" s="5">
        <f t="shared" si="74"/>
        <v>0.65517241379310343</v>
      </c>
      <c r="AN597" s="4">
        <f t="shared" si="79"/>
        <v>9.9230960059538574E-4</v>
      </c>
      <c r="AO597" s="3"/>
      <c r="AP597">
        <v>0</v>
      </c>
      <c r="AQ597" t="s">
        <v>1358</v>
      </c>
      <c r="AR597" t="s">
        <v>1</v>
      </c>
      <c r="AS597" t="s">
        <v>1356</v>
      </c>
      <c r="AT597" s="2" t="s">
        <v>0</v>
      </c>
      <c r="AU597" s="1">
        <f t="shared" si="75"/>
        <v>2.5935022369514193</v>
      </c>
      <c r="AV597" s="1">
        <f t="shared" si="76"/>
        <v>1.8808533006965962</v>
      </c>
      <c r="AW597" s="1">
        <f t="shared" si="77"/>
        <v>1.1682043644417732</v>
      </c>
    </row>
    <row r="598" spans="1:49" x14ac:dyDescent="0.2">
      <c r="A598">
        <v>596</v>
      </c>
      <c r="B598" t="s">
        <v>6354</v>
      </c>
      <c r="C598" t="s">
        <v>6353</v>
      </c>
      <c r="F598" t="s">
        <v>6352</v>
      </c>
      <c r="G598" t="s">
        <v>15</v>
      </c>
      <c r="H598" t="s">
        <v>14</v>
      </c>
      <c r="I598" t="s">
        <v>6244</v>
      </c>
      <c r="J598">
        <v>60021902</v>
      </c>
      <c r="K598" t="s">
        <v>2373</v>
      </c>
      <c r="L598" t="s">
        <v>2372</v>
      </c>
      <c r="M598" t="s">
        <v>2371</v>
      </c>
      <c r="N598">
        <v>2</v>
      </c>
      <c r="O598" t="s">
        <v>6243</v>
      </c>
      <c r="P598" t="s">
        <v>6242</v>
      </c>
      <c r="Q598" t="s">
        <v>2368</v>
      </c>
      <c r="R598" s="7">
        <v>33970</v>
      </c>
      <c r="S598" s="8">
        <f t="shared" si="72"/>
        <v>1993</v>
      </c>
      <c r="T598" s="8">
        <v>1993</v>
      </c>
      <c r="U598" s="8">
        <f t="shared" si="73"/>
        <v>29</v>
      </c>
      <c r="V598" s="7">
        <v>34213</v>
      </c>
      <c r="W598" t="s">
        <v>814</v>
      </c>
      <c r="X598" s="2">
        <v>1.6519999999999999</v>
      </c>
      <c r="Y598" s="6">
        <f t="shared" si="78"/>
        <v>4.409919649769093E-2</v>
      </c>
      <c r="AA598" t="s">
        <v>813</v>
      </c>
      <c r="AB598">
        <v>17337</v>
      </c>
      <c r="AC598">
        <v>15582221</v>
      </c>
      <c r="AD598" t="s">
        <v>5</v>
      </c>
      <c r="AE598">
        <v>41</v>
      </c>
      <c r="AF598">
        <v>9</v>
      </c>
      <c r="AH598" t="s">
        <v>6351</v>
      </c>
      <c r="AI598" t="s">
        <v>6350</v>
      </c>
      <c r="AK598" t="s">
        <v>6349</v>
      </c>
      <c r="AL598">
        <v>13</v>
      </c>
      <c r="AM598" s="5">
        <f t="shared" si="74"/>
        <v>0.44827586206896552</v>
      </c>
      <c r="AN598" s="4">
        <f t="shared" si="79"/>
        <v>6.7894867409157972E-4</v>
      </c>
      <c r="AO598" s="3"/>
      <c r="AP598">
        <v>0</v>
      </c>
      <c r="AR598" t="s">
        <v>1</v>
      </c>
      <c r="AT598" s="2" t="s">
        <v>0</v>
      </c>
      <c r="AU598" s="1">
        <f t="shared" si="75"/>
        <v>3.1073122150611128</v>
      </c>
      <c r="AV598" s="1">
        <f t="shared" si="76"/>
        <v>2.2389072585891254</v>
      </c>
      <c r="AW598" s="1">
        <f t="shared" si="77"/>
        <v>1.3705023021171385</v>
      </c>
    </row>
    <row r="599" spans="1:49" x14ac:dyDescent="0.2">
      <c r="A599">
        <v>597</v>
      </c>
      <c r="B599" t="s">
        <v>6348</v>
      </c>
      <c r="C599" t="s">
        <v>6347</v>
      </c>
      <c r="D599" t="s">
        <v>6346</v>
      </c>
      <c r="F599" t="s">
        <v>6345</v>
      </c>
      <c r="G599" t="s">
        <v>15</v>
      </c>
      <c r="H599" t="s">
        <v>14</v>
      </c>
      <c r="I599" t="s">
        <v>6344</v>
      </c>
      <c r="J599">
        <v>60018163</v>
      </c>
      <c r="K599" t="s">
        <v>5604</v>
      </c>
      <c r="L599" t="s">
        <v>1873</v>
      </c>
      <c r="M599" t="s">
        <v>1872</v>
      </c>
      <c r="N599">
        <v>2</v>
      </c>
      <c r="O599" t="s">
        <v>6343</v>
      </c>
      <c r="P599" t="s">
        <v>6342</v>
      </c>
      <c r="Q599" t="s">
        <v>6341</v>
      </c>
      <c r="R599" s="7">
        <v>33970</v>
      </c>
      <c r="S599" s="8">
        <f t="shared" si="72"/>
        <v>1993</v>
      </c>
      <c r="T599" s="8">
        <v>1993</v>
      </c>
      <c r="U599" s="8">
        <f t="shared" si="73"/>
        <v>29</v>
      </c>
      <c r="V599" s="7">
        <v>34213</v>
      </c>
      <c r="W599" t="s">
        <v>6340</v>
      </c>
      <c r="X599" s="2">
        <v>1.212</v>
      </c>
      <c r="Y599" s="6">
        <f t="shared" si="78"/>
        <v>3.2353647793705455E-2</v>
      </c>
      <c r="AA599">
        <v>3603199</v>
      </c>
      <c r="AB599">
        <v>26991</v>
      </c>
      <c r="AD599" t="s">
        <v>5</v>
      </c>
      <c r="AE599">
        <v>18</v>
      </c>
      <c r="AF599">
        <v>9</v>
      </c>
      <c r="AH599" t="s">
        <v>6339</v>
      </c>
      <c r="AI599" t="s">
        <v>6338</v>
      </c>
      <c r="AK599" t="s">
        <v>6337</v>
      </c>
      <c r="AL599">
        <v>10</v>
      </c>
      <c r="AM599" s="5">
        <f t="shared" si="74"/>
        <v>0.34482758620689657</v>
      </c>
      <c r="AN599" s="4">
        <f t="shared" si="79"/>
        <v>5.2226821083967677E-4</v>
      </c>
      <c r="AO599" s="3"/>
      <c r="AP599">
        <v>0</v>
      </c>
      <c r="AQ599" t="s">
        <v>6336</v>
      </c>
      <c r="AR599" t="s">
        <v>6335</v>
      </c>
      <c r="AS599" t="s">
        <v>6334</v>
      </c>
      <c r="AT599" s="2" t="s">
        <v>0</v>
      </c>
      <c r="AU599" s="1">
        <f t="shared" si="75"/>
        <v>2.2804233918845718</v>
      </c>
      <c r="AV599" s="1">
        <f t="shared" si="76"/>
        <v>1.6437958002272566</v>
      </c>
      <c r="AW599" s="1">
        <f t="shared" si="77"/>
        <v>1.0071682085699409</v>
      </c>
    </row>
    <row r="600" spans="1:49" x14ac:dyDescent="0.2">
      <c r="A600">
        <v>598</v>
      </c>
      <c r="B600" t="s">
        <v>6333</v>
      </c>
      <c r="C600" t="s">
        <v>6332</v>
      </c>
      <c r="D600" t="s">
        <v>6331</v>
      </c>
      <c r="F600" t="s">
        <v>6330</v>
      </c>
      <c r="G600" t="s">
        <v>15</v>
      </c>
      <c r="H600" t="s">
        <v>14</v>
      </c>
      <c r="I600" t="s">
        <v>3960</v>
      </c>
      <c r="J600">
        <v>60025038</v>
      </c>
      <c r="K600" t="s">
        <v>3959</v>
      </c>
      <c r="L600" t="s">
        <v>3958</v>
      </c>
      <c r="M600" t="s">
        <v>10</v>
      </c>
      <c r="N600">
        <v>2</v>
      </c>
      <c r="O600" t="s">
        <v>3957</v>
      </c>
      <c r="P600" t="s">
        <v>3956</v>
      </c>
      <c r="Q600" t="s">
        <v>3955</v>
      </c>
      <c r="R600" s="7">
        <v>33970</v>
      </c>
      <c r="S600" s="8">
        <f t="shared" si="72"/>
        <v>1993</v>
      </c>
      <c r="T600" s="8">
        <v>1993</v>
      </c>
      <c r="U600" s="8">
        <f t="shared" si="73"/>
        <v>29</v>
      </c>
      <c r="V600" s="7">
        <v>34213</v>
      </c>
      <c r="W600" t="s">
        <v>6329</v>
      </c>
      <c r="X600" s="2" t="s">
        <v>0</v>
      </c>
      <c r="Y600" s="6" t="e">
        <f t="shared" si="78"/>
        <v>#VALUE!</v>
      </c>
      <c r="AA600">
        <v>381101</v>
      </c>
      <c r="AB600">
        <v>27206</v>
      </c>
      <c r="AD600" t="s">
        <v>5</v>
      </c>
      <c r="AE600">
        <v>36</v>
      </c>
      <c r="AF600">
        <v>9</v>
      </c>
      <c r="AH600" t="s">
        <v>6328</v>
      </c>
      <c r="AL600">
        <v>6</v>
      </c>
      <c r="AM600" s="5">
        <f t="shared" si="74"/>
        <v>0.20689655172413793</v>
      </c>
      <c r="AN600" s="4">
        <f t="shared" si="79"/>
        <v>3.1336092650380602E-4</v>
      </c>
      <c r="AO600" s="3"/>
      <c r="AP600">
        <v>0</v>
      </c>
      <c r="AR600" t="s">
        <v>1</v>
      </c>
      <c r="AT600" s="2" t="s">
        <v>0</v>
      </c>
      <c r="AU600" s="1" t="e">
        <f t="shared" si="75"/>
        <v>#VALUE!</v>
      </c>
      <c r="AV600" s="1" t="e">
        <f t="shared" si="76"/>
        <v>#VALUE!</v>
      </c>
      <c r="AW600" s="1" t="e">
        <f t="shared" si="77"/>
        <v>#VALUE!</v>
      </c>
    </row>
    <row r="601" spans="1:49" x14ac:dyDescent="0.2">
      <c r="A601">
        <v>599</v>
      </c>
      <c r="B601" t="s">
        <v>6327</v>
      </c>
      <c r="C601" t="s">
        <v>6326</v>
      </c>
      <c r="E601">
        <v>8288286</v>
      </c>
      <c r="F601" t="s">
        <v>6325</v>
      </c>
      <c r="G601" t="s">
        <v>15</v>
      </c>
      <c r="H601" t="s">
        <v>14</v>
      </c>
      <c r="I601" t="s">
        <v>4790</v>
      </c>
      <c r="J601">
        <v>60022403</v>
      </c>
      <c r="K601" t="s">
        <v>4789</v>
      </c>
      <c r="L601" t="s">
        <v>4788</v>
      </c>
      <c r="M601" t="s">
        <v>1118</v>
      </c>
      <c r="N601">
        <v>3</v>
      </c>
      <c r="O601" t="s">
        <v>6324</v>
      </c>
      <c r="P601" t="s">
        <v>6323</v>
      </c>
      <c r="Q601" t="s">
        <v>4785</v>
      </c>
      <c r="R601" s="7">
        <v>33970</v>
      </c>
      <c r="S601" s="8">
        <f t="shared" si="72"/>
        <v>1993</v>
      </c>
      <c r="T601" s="8">
        <v>1993</v>
      </c>
      <c r="U601" s="8">
        <f t="shared" si="73"/>
        <v>29</v>
      </c>
      <c r="V601" s="7">
        <v>34213</v>
      </c>
      <c r="W601" t="s">
        <v>3789</v>
      </c>
      <c r="X601" s="2">
        <v>1.1479999999999999</v>
      </c>
      <c r="Y601" s="6">
        <f t="shared" si="78"/>
        <v>3.0645204345853019E-2</v>
      </c>
      <c r="AA601">
        <v>189294</v>
      </c>
      <c r="AB601">
        <v>16318</v>
      </c>
      <c r="AC601">
        <v>15582531</v>
      </c>
      <c r="AD601" t="s">
        <v>5</v>
      </c>
      <c r="AE601">
        <v>40</v>
      </c>
      <c r="AF601">
        <v>9</v>
      </c>
      <c r="AH601" t="s">
        <v>6322</v>
      </c>
      <c r="AI601" t="s">
        <v>6321</v>
      </c>
      <c r="AK601" t="s">
        <v>6320</v>
      </c>
      <c r="AL601">
        <v>28</v>
      </c>
      <c r="AM601" s="5">
        <f t="shared" si="74"/>
        <v>0.96551724137931039</v>
      </c>
      <c r="AN601" s="4">
        <f t="shared" si="79"/>
        <v>1.4623509903510948E-3</v>
      </c>
      <c r="AO601" s="3"/>
      <c r="AP601">
        <v>0</v>
      </c>
      <c r="AR601" t="s">
        <v>1</v>
      </c>
      <c r="AS601" t="s">
        <v>6319</v>
      </c>
      <c r="AT601" s="2" t="s">
        <v>0</v>
      </c>
      <c r="AU601" s="1">
        <f t="shared" si="75"/>
        <v>2.1890348339202439</v>
      </c>
      <c r="AV601" s="1">
        <f t="shared" si="76"/>
        <v>1.6053777668102058</v>
      </c>
      <c r="AW601" s="1">
        <f t="shared" si="77"/>
        <v>1.0217206997001671</v>
      </c>
    </row>
    <row r="602" spans="1:49" x14ac:dyDescent="0.2">
      <c r="A602">
        <v>600</v>
      </c>
      <c r="B602" t="s">
        <v>6318</v>
      </c>
      <c r="C602" t="s">
        <v>6317</v>
      </c>
      <c r="F602" t="s">
        <v>6316</v>
      </c>
      <c r="G602" t="s">
        <v>15</v>
      </c>
      <c r="H602" t="s">
        <v>14</v>
      </c>
      <c r="I602" t="s">
        <v>6315</v>
      </c>
      <c r="J602" t="s">
        <v>6314</v>
      </c>
      <c r="K602" t="s">
        <v>6313</v>
      </c>
      <c r="L602" t="s">
        <v>6312</v>
      </c>
      <c r="M602" t="s">
        <v>751</v>
      </c>
      <c r="N602">
        <v>4</v>
      </c>
      <c r="O602" t="s">
        <v>6311</v>
      </c>
      <c r="P602" t="s">
        <v>6310</v>
      </c>
      <c r="Q602" t="s">
        <v>6309</v>
      </c>
      <c r="R602" s="7">
        <v>33970</v>
      </c>
      <c r="S602" s="8">
        <f t="shared" si="72"/>
        <v>1993</v>
      </c>
      <c r="T602" s="8">
        <v>1993</v>
      </c>
      <c r="U602" s="8">
        <f t="shared" si="73"/>
        <v>29</v>
      </c>
      <c r="V602" s="7">
        <v>34213</v>
      </c>
      <c r="W602" t="s">
        <v>868</v>
      </c>
      <c r="X602" s="2">
        <v>0.375</v>
      </c>
      <c r="Y602" s="6">
        <f t="shared" si="78"/>
        <v>1.0010410827260351E-2</v>
      </c>
      <c r="AA602">
        <v>135194</v>
      </c>
      <c r="AB602">
        <v>24918</v>
      </c>
      <c r="AD602" t="s">
        <v>5</v>
      </c>
      <c r="AE602">
        <v>29</v>
      </c>
      <c r="AF602">
        <v>20</v>
      </c>
      <c r="AH602" t="s">
        <v>6308</v>
      </c>
      <c r="AI602" t="s">
        <v>6307</v>
      </c>
      <c r="AJ602" t="s">
        <v>6306</v>
      </c>
      <c r="AK602" t="s">
        <v>6305</v>
      </c>
      <c r="AL602">
        <v>4</v>
      </c>
      <c r="AM602" s="5">
        <f t="shared" si="74"/>
        <v>0.13793103448275862</v>
      </c>
      <c r="AN602" s="4">
        <f t="shared" si="79"/>
        <v>2.089072843358707E-4</v>
      </c>
      <c r="AO602" s="3"/>
      <c r="AP602">
        <v>0</v>
      </c>
      <c r="AR602" t="s">
        <v>1</v>
      </c>
      <c r="AT602" s="2">
        <v>1.3140000000000001</v>
      </c>
      <c r="AU602" s="1">
        <f t="shared" si="75"/>
        <v>0.7069959764383007</v>
      </c>
      <c r="AV602" s="1">
        <f t="shared" si="76"/>
        <v>0.51096590557981103</v>
      </c>
      <c r="AW602" s="1">
        <f t="shared" si="77"/>
        <v>0.31493583472132147</v>
      </c>
    </row>
    <row r="603" spans="1:49" x14ac:dyDescent="0.2">
      <c r="A603">
        <v>601</v>
      </c>
      <c r="B603" t="s">
        <v>6304</v>
      </c>
      <c r="C603" t="s">
        <v>6303</v>
      </c>
      <c r="E603">
        <v>8288284</v>
      </c>
      <c r="F603" t="s">
        <v>6302</v>
      </c>
      <c r="G603" t="s">
        <v>15</v>
      </c>
      <c r="H603" t="s">
        <v>14</v>
      </c>
      <c r="I603" t="s">
        <v>6301</v>
      </c>
      <c r="J603" t="s">
        <v>6300</v>
      </c>
      <c r="K603" t="s">
        <v>6299</v>
      </c>
      <c r="L603" t="s">
        <v>6298</v>
      </c>
      <c r="M603" t="s">
        <v>478</v>
      </c>
      <c r="N603">
        <v>3</v>
      </c>
      <c r="O603" t="s">
        <v>6297</v>
      </c>
      <c r="P603" t="s">
        <v>6296</v>
      </c>
      <c r="Q603" t="s">
        <v>6295</v>
      </c>
      <c r="R603" s="7">
        <v>33970</v>
      </c>
      <c r="S603" s="8">
        <f t="shared" si="72"/>
        <v>1993</v>
      </c>
      <c r="T603" s="8">
        <v>1993</v>
      </c>
      <c r="U603" s="8">
        <f t="shared" si="73"/>
        <v>29</v>
      </c>
      <c r="V603" s="7">
        <v>34213</v>
      </c>
      <c r="W603" t="s">
        <v>3789</v>
      </c>
      <c r="X603" s="2">
        <v>1.1479999999999999</v>
      </c>
      <c r="Y603" s="6">
        <f t="shared" si="78"/>
        <v>3.0645204345853019E-2</v>
      </c>
      <c r="AA603">
        <v>189294</v>
      </c>
      <c r="AB603">
        <v>16318</v>
      </c>
      <c r="AC603">
        <v>15582531</v>
      </c>
      <c r="AD603" t="s">
        <v>5</v>
      </c>
      <c r="AE603">
        <v>40</v>
      </c>
      <c r="AF603">
        <v>9</v>
      </c>
      <c r="AH603" t="s">
        <v>6294</v>
      </c>
      <c r="AI603" t="s">
        <v>6293</v>
      </c>
      <c r="AK603" t="s">
        <v>6292</v>
      </c>
      <c r="AL603">
        <v>8</v>
      </c>
      <c r="AM603" s="5">
        <f t="shared" si="74"/>
        <v>0.27586206896551724</v>
      </c>
      <c r="AN603" s="4">
        <f t="shared" si="79"/>
        <v>4.1781456867174139E-4</v>
      </c>
      <c r="AO603" s="3"/>
      <c r="AP603">
        <v>0</v>
      </c>
      <c r="AR603" t="s">
        <v>1</v>
      </c>
      <c r="AT603" s="2" t="s">
        <v>0</v>
      </c>
      <c r="AU603" s="1">
        <f t="shared" si="75"/>
        <v>2.1576987412698636</v>
      </c>
      <c r="AV603" s="1">
        <f t="shared" si="76"/>
        <v>1.553150945726238</v>
      </c>
      <c r="AW603" s="1">
        <f t="shared" si="77"/>
        <v>0.94860315018261243</v>
      </c>
    </row>
    <row r="604" spans="1:49" x14ac:dyDescent="0.2">
      <c r="A604">
        <v>602</v>
      </c>
      <c r="B604" t="s">
        <v>6291</v>
      </c>
      <c r="C604" t="s">
        <v>6290</v>
      </c>
      <c r="F604" t="s">
        <v>6289</v>
      </c>
      <c r="G604" t="s">
        <v>15</v>
      </c>
      <c r="H604" t="s">
        <v>14</v>
      </c>
      <c r="I604" t="s">
        <v>5231</v>
      </c>
      <c r="J604" t="s">
        <v>6288</v>
      </c>
      <c r="K604" t="s">
        <v>6287</v>
      </c>
      <c r="L604" t="s">
        <v>5228</v>
      </c>
      <c r="M604" t="s">
        <v>5227</v>
      </c>
      <c r="N604">
        <v>2</v>
      </c>
      <c r="O604" t="s">
        <v>5226</v>
      </c>
      <c r="P604" t="s">
        <v>5225</v>
      </c>
      <c r="Q604" t="s">
        <v>6286</v>
      </c>
      <c r="R604" s="7">
        <v>33970</v>
      </c>
      <c r="S604" s="8">
        <f t="shared" si="72"/>
        <v>1993</v>
      </c>
      <c r="T604" s="8">
        <v>1993</v>
      </c>
      <c r="U604" s="8">
        <f t="shared" si="73"/>
        <v>29</v>
      </c>
      <c r="V604" s="7">
        <v>34213</v>
      </c>
      <c r="W604" t="s">
        <v>868</v>
      </c>
      <c r="X604" s="2">
        <v>0.375</v>
      </c>
      <c r="Y604" s="6">
        <f t="shared" si="78"/>
        <v>1.0010410827260351E-2</v>
      </c>
      <c r="AA604">
        <v>135194</v>
      </c>
      <c r="AB604">
        <v>24918</v>
      </c>
      <c r="AD604" t="s">
        <v>5</v>
      </c>
      <c r="AE604">
        <v>29</v>
      </c>
      <c r="AF604">
        <v>20</v>
      </c>
      <c r="AH604" t="s">
        <v>6285</v>
      </c>
      <c r="AI604" t="s">
        <v>6284</v>
      </c>
      <c r="AJ604" t="s">
        <v>6283</v>
      </c>
      <c r="AK604" t="s">
        <v>6282</v>
      </c>
      <c r="AL604">
        <v>1</v>
      </c>
      <c r="AM604" s="5">
        <f t="shared" si="74"/>
        <v>3.4482758620689655E-2</v>
      </c>
      <c r="AN604" s="4">
        <f t="shared" si="79"/>
        <v>5.2226821083967674E-5</v>
      </c>
      <c r="AO604" s="3"/>
      <c r="AP604">
        <v>0</v>
      </c>
      <c r="AR604" t="s">
        <v>1</v>
      </c>
      <c r="AT604" s="2">
        <v>1.3140000000000001</v>
      </c>
      <c r="AU604" s="1">
        <f t="shared" si="75"/>
        <v>0.70229556254074355</v>
      </c>
      <c r="AV604" s="1">
        <f t="shared" si="76"/>
        <v>0.50313188241721596</v>
      </c>
      <c r="AW604" s="1">
        <f t="shared" si="77"/>
        <v>0.30396820229368826</v>
      </c>
    </row>
    <row r="605" spans="1:49" x14ac:dyDescent="0.2">
      <c r="A605">
        <v>603</v>
      </c>
      <c r="B605" t="s">
        <v>6281</v>
      </c>
      <c r="C605" t="s">
        <v>6280</v>
      </c>
      <c r="F605" t="s">
        <v>6279</v>
      </c>
      <c r="G605" t="s">
        <v>15</v>
      </c>
      <c r="H605" t="s">
        <v>14</v>
      </c>
      <c r="I605" t="s">
        <v>6278</v>
      </c>
      <c r="J605">
        <v>60014174</v>
      </c>
      <c r="K605" t="s">
        <v>6277</v>
      </c>
      <c r="L605" t="s">
        <v>6276</v>
      </c>
      <c r="M605" t="s">
        <v>493</v>
      </c>
      <c r="N605">
        <v>4</v>
      </c>
      <c r="O605" t="s">
        <v>6275</v>
      </c>
      <c r="P605" t="s">
        <v>6274</v>
      </c>
      <c r="Q605" t="s">
        <v>6273</v>
      </c>
      <c r="R605" s="7">
        <v>33970</v>
      </c>
      <c r="S605" s="8">
        <f t="shared" si="72"/>
        <v>1993</v>
      </c>
      <c r="T605" s="8">
        <v>1993</v>
      </c>
      <c r="U605" s="8">
        <f t="shared" si="73"/>
        <v>29</v>
      </c>
      <c r="V605" s="7">
        <v>34213</v>
      </c>
      <c r="W605" t="s">
        <v>868</v>
      </c>
      <c r="X605" s="2">
        <v>0.375</v>
      </c>
      <c r="Y605" s="6">
        <f t="shared" si="78"/>
        <v>1.0010410827260351E-2</v>
      </c>
      <c r="AA605">
        <v>135194</v>
      </c>
      <c r="AB605">
        <v>24918</v>
      </c>
      <c r="AD605" t="s">
        <v>5</v>
      </c>
      <c r="AE605">
        <v>29</v>
      </c>
      <c r="AF605">
        <v>20</v>
      </c>
      <c r="AH605" t="s">
        <v>6272</v>
      </c>
      <c r="AI605" t="s">
        <v>6271</v>
      </c>
      <c r="AJ605" t="s">
        <v>6270</v>
      </c>
      <c r="AK605" t="s">
        <v>6269</v>
      </c>
      <c r="AL605">
        <v>18</v>
      </c>
      <c r="AM605" s="5">
        <f t="shared" si="74"/>
        <v>0.62068965517241381</v>
      </c>
      <c r="AN605" s="4">
        <f t="shared" si="79"/>
        <v>9.4008277951141816E-4</v>
      </c>
      <c r="AO605" s="3"/>
      <c r="AP605">
        <v>0</v>
      </c>
      <c r="AR605" t="s">
        <v>1</v>
      </c>
      <c r="AT605" s="2">
        <v>1.3140000000000001</v>
      </c>
      <c r="AU605" s="1">
        <f t="shared" si="75"/>
        <v>0.72893124129356712</v>
      </c>
      <c r="AV605" s="1">
        <f t="shared" si="76"/>
        <v>0.54752468033858848</v>
      </c>
      <c r="AW605" s="1">
        <f t="shared" si="77"/>
        <v>0.36611811938360977</v>
      </c>
    </row>
    <row r="606" spans="1:49" x14ac:dyDescent="0.2">
      <c r="A606">
        <v>604</v>
      </c>
      <c r="B606" t="s">
        <v>6268</v>
      </c>
      <c r="C606" t="s">
        <v>6267</v>
      </c>
      <c r="F606" t="s">
        <v>6266</v>
      </c>
      <c r="G606" t="s">
        <v>15</v>
      </c>
      <c r="H606" t="s">
        <v>14</v>
      </c>
      <c r="I606" t="s">
        <v>3061</v>
      </c>
      <c r="N606">
        <v>1</v>
      </c>
      <c r="O606" t="s">
        <v>6265</v>
      </c>
      <c r="P606">
        <v>7005207070</v>
      </c>
      <c r="R606" s="7">
        <v>33970</v>
      </c>
      <c r="S606" s="8">
        <f t="shared" si="72"/>
        <v>1993</v>
      </c>
      <c r="T606" s="8">
        <v>1993</v>
      </c>
      <c r="U606" s="8">
        <f t="shared" si="73"/>
        <v>29</v>
      </c>
      <c r="V606" s="7">
        <v>34213</v>
      </c>
      <c r="W606" t="s">
        <v>868</v>
      </c>
      <c r="X606" s="2">
        <v>0.375</v>
      </c>
      <c r="Y606" s="6">
        <f t="shared" si="78"/>
        <v>1.0010410827260351E-2</v>
      </c>
      <c r="AA606">
        <v>135194</v>
      </c>
      <c r="AB606">
        <v>24918</v>
      </c>
      <c r="AD606" t="s">
        <v>5</v>
      </c>
      <c r="AE606">
        <v>29</v>
      </c>
      <c r="AF606">
        <v>20</v>
      </c>
      <c r="AH606" t="s">
        <v>6264</v>
      </c>
      <c r="AI606" t="s">
        <v>6263</v>
      </c>
      <c r="AJ606" t="s">
        <v>6262</v>
      </c>
      <c r="AK606" t="s">
        <v>6261</v>
      </c>
      <c r="AL606">
        <v>5</v>
      </c>
      <c r="AM606" s="5">
        <f t="shared" si="74"/>
        <v>0.17241379310344829</v>
      </c>
      <c r="AN606" s="4">
        <f t="shared" si="79"/>
        <v>2.6113410541983838E-4</v>
      </c>
      <c r="AO606" s="3"/>
      <c r="AP606">
        <v>0</v>
      </c>
      <c r="AR606" t="s">
        <v>1</v>
      </c>
      <c r="AT606" s="2">
        <v>1.3140000000000001</v>
      </c>
      <c r="AU606" s="1">
        <f t="shared" si="75"/>
        <v>0.70856278107081971</v>
      </c>
      <c r="AV606" s="1">
        <f t="shared" si="76"/>
        <v>0.5135772466340095</v>
      </c>
      <c r="AW606" s="1">
        <f t="shared" si="77"/>
        <v>0.31859171219719917</v>
      </c>
    </row>
    <row r="607" spans="1:49" x14ac:dyDescent="0.2">
      <c r="A607">
        <v>605</v>
      </c>
      <c r="B607" t="s">
        <v>6260</v>
      </c>
      <c r="C607" t="s">
        <v>6259</v>
      </c>
      <c r="F607" t="s">
        <v>6258</v>
      </c>
      <c r="G607" t="s">
        <v>15</v>
      </c>
      <c r="H607" t="s">
        <v>14</v>
      </c>
      <c r="I607" t="s">
        <v>6257</v>
      </c>
      <c r="J607">
        <v>60025225</v>
      </c>
      <c r="K607" t="s">
        <v>6256</v>
      </c>
      <c r="L607" t="s">
        <v>6255</v>
      </c>
      <c r="M607" t="s">
        <v>493</v>
      </c>
      <c r="N607">
        <v>2</v>
      </c>
      <c r="O607" t="s">
        <v>6254</v>
      </c>
      <c r="P607" t="s">
        <v>6253</v>
      </c>
      <c r="Q607" t="s">
        <v>6252</v>
      </c>
      <c r="R607" s="7">
        <v>33970</v>
      </c>
      <c r="S607" s="8">
        <f t="shared" si="72"/>
        <v>1993</v>
      </c>
      <c r="T607" s="8">
        <v>1993</v>
      </c>
      <c r="U607" s="8">
        <f t="shared" si="73"/>
        <v>29</v>
      </c>
      <c r="V607" s="7">
        <v>34213</v>
      </c>
      <c r="W607" t="s">
        <v>868</v>
      </c>
      <c r="X607" s="2">
        <v>0.375</v>
      </c>
      <c r="Y607" s="6">
        <f t="shared" si="78"/>
        <v>1.0010410827260351E-2</v>
      </c>
      <c r="AA607">
        <v>135194</v>
      </c>
      <c r="AB607">
        <v>24918</v>
      </c>
      <c r="AD607" t="s">
        <v>5</v>
      </c>
      <c r="AE607">
        <v>29</v>
      </c>
      <c r="AF607">
        <v>20</v>
      </c>
      <c r="AH607" t="s">
        <v>6251</v>
      </c>
      <c r="AI607" t="s">
        <v>6250</v>
      </c>
      <c r="AJ607" t="s">
        <v>6249</v>
      </c>
      <c r="AK607" t="s">
        <v>6248</v>
      </c>
      <c r="AL607">
        <v>5</v>
      </c>
      <c r="AM607" s="5">
        <f t="shared" si="74"/>
        <v>0.17241379310344829</v>
      </c>
      <c r="AN607" s="4">
        <f t="shared" si="79"/>
        <v>2.6113410541983838E-4</v>
      </c>
      <c r="AO607" s="3"/>
      <c r="AP607">
        <v>0</v>
      </c>
      <c r="AR607" t="s">
        <v>1</v>
      </c>
      <c r="AT607" s="2">
        <v>1.3140000000000001</v>
      </c>
      <c r="AU607" s="1">
        <f t="shared" si="75"/>
        <v>0.70856278107081971</v>
      </c>
      <c r="AV607" s="1">
        <f t="shared" si="76"/>
        <v>0.5135772466340095</v>
      </c>
      <c r="AW607" s="1">
        <f t="shared" si="77"/>
        <v>0.31859171219719917</v>
      </c>
    </row>
    <row r="608" spans="1:49" x14ac:dyDescent="0.2">
      <c r="A608">
        <v>606</v>
      </c>
      <c r="B608" t="s">
        <v>6247</v>
      </c>
      <c r="C608" t="s">
        <v>6246</v>
      </c>
      <c r="F608" t="s">
        <v>6245</v>
      </c>
      <c r="G608" t="s">
        <v>15</v>
      </c>
      <c r="H608" t="s">
        <v>14</v>
      </c>
      <c r="I608" t="s">
        <v>6244</v>
      </c>
      <c r="J608">
        <v>60021902</v>
      </c>
      <c r="K608" t="s">
        <v>2373</v>
      </c>
      <c r="L608" t="s">
        <v>2372</v>
      </c>
      <c r="M608" t="s">
        <v>2371</v>
      </c>
      <c r="N608">
        <v>2</v>
      </c>
      <c r="O608" t="s">
        <v>6243</v>
      </c>
      <c r="P608" t="s">
        <v>6242</v>
      </c>
      <c r="Q608" t="s">
        <v>2368</v>
      </c>
      <c r="R608" s="7">
        <v>33970</v>
      </c>
      <c r="S608" s="8">
        <f t="shared" si="72"/>
        <v>1993</v>
      </c>
      <c r="T608" s="8">
        <v>1993</v>
      </c>
      <c r="U608" s="8">
        <f t="shared" si="73"/>
        <v>29</v>
      </c>
      <c r="V608" s="7">
        <v>34213</v>
      </c>
      <c r="W608" t="s">
        <v>868</v>
      </c>
      <c r="X608" s="2">
        <v>0.375</v>
      </c>
      <c r="Y608" s="6">
        <f t="shared" si="78"/>
        <v>1.0010410827260351E-2</v>
      </c>
      <c r="AA608">
        <v>135194</v>
      </c>
      <c r="AB608">
        <v>24918</v>
      </c>
      <c r="AD608" t="s">
        <v>5</v>
      </c>
      <c r="AE608">
        <v>29</v>
      </c>
      <c r="AF608">
        <v>20</v>
      </c>
      <c r="AH608" t="s">
        <v>6241</v>
      </c>
      <c r="AI608" t="s">
        <v>6240</v>
      </c>
      <c r="AJ608" t="s">
        <v>6239</v>
      </c>
      <c r="AK608" t="s">
        <v>6238</v>
      </c>
      <c r="AL608">
        <v>14</v>
      </c>
      <c r="AM608" s="5">
        <f t="shared" si="74"/>
        <v>0.48275862068965519</v>
      </c>
      <c r="AN608" s="4">
        <f t="shared" si="79"/>
        <v>7.3117549517554741E-4</v>
      </c>
      <c r="AO608" s="3"/>
      <c r="AP608">
        <v>0</v>
      </c>
      <c r="AR608" t="s">
        <v>1</v>
      </c>
      <c r="AT608" s="2">
        <v>1.3140000000000001</v>
      </c>
      <c r="AU608" s="1">
        <f t="shared" si="75"/>
        <v>0.72266402276349107</v>
      </c>
      <c r="AV608" s="1">
        <f t="shared" si="76"/>
        <v>0.53707931612179494</v>
      </c>
      <c r="AW608" s="1">
        <f t="shared" si="77"/>
        <v>0.35149460948009886</v>
      </c>
    </row>
    <row r="609" spans="1:49" x14ac:dyDescent="0.2">
      <c r="A609">
        <v>607</v>
      </c>
      <c r="B609" t="s">
        <v>6237</v>
      </c>
      <c r="C609" t="s">
        <v>6236</v>
      </c>
      <c r="F609" t="s">
        <v>6235</v>
      </c>
      <c r="G609" t="s">
        <v>15</v>
      </c>
      <c r="H609" t="s">
        <v>14</v>
      </c>
      <c r="I609" t="s">
        <v>6234</v>
      </c>
      <c r="J609">
        <v>60017386</v>
      </c>
      <c r="K609" t="s">
        <v>6233</v>
      </c>
      <c r="L609" t="s">
        <v>6232</v>
      </c>
      <c r="M609" t="s">
        <v>150</v>
      </c>
      <c r="N609">
        <v>2</v>
      </c>
      <c r="O609" t="s">
        <v>6231</v>
      </c>
      <c r="P609" t="s">
        <v>6230</v>
      </c>
      <c r="Q609" t="s">
        <v>6229</v>
      </c>
      <c r="R609" s="7">
        <v>33970</v>
      </c>
      <c r="S609" s="8">
        <f t="shared" si="72"/>
        <v>1993</v>
      </c>
      <c r="T609" s="8">
        <v>1993</v>
      </c>
      <c r="U609" s="8">
        <f t="shared" si="73"/>
        <v>29</v>
      </c>
      <c r="V609" s="7">
        <v>1993</v>
      </c>
      <c r="W609" t="s">
        <v>6228</v>
      </c>
      <c r="X609" s="2">
        <v>0.13900000000000001</v>
      </c>
      <c r="Y609" s="6">
        <f t="shared" si="78"/>
        <v>3.7105256133045036E-3</v>
      </c>
      <c r="AA609" t="s">
        <v>6227</v>
      </c>
      <c r="AB609">
        <v>24891</v>
      </c>
      <c r="AC609">
        <v>15206432</v>
      </c>
      <c r="AD609" t="s">
        <v>5</v>
      </c>
      <c r="AE609">
        <v>76</v>
      </c>
      <c r="AF609">
        <v>8</v>
      </c>
      <c r="AH609" t="s">
        <v>6226</v>
      </c>
      <c r="AI609" t="s">
        <v>6225</v>
      </c>
      <c r="AJ609" t="s">
        <v>6224</v>
      </c>
      <c r="AK609" t="s">
        <v>6223</v>
      </c>
      <c r="AL609">
        <v>0</v>
      </c>
      <c r="AM609" s="5">
        <f t="shared" si="74"/>
        <v>0</v>
      </c>
      <c r="AN609" s="4">
        <f t="shared" si="79"/>
        <v>0</v>
      </c>
      <c r="AO609" s="3"/>
      <c r="AP609">
        <v>0</v>
      </c>
      <c r="AR609" t="s">
        <v>1</v>
      </c>
      <c r="AT609" s="2" t="s">
        <v>0</v>
      </c>
      <c r="AU609" s="1">
        <f t="shared" si="75"/>
        <v>0.25973679293131524</v>
      </c>
      <c r="AV609" s="1">
        <f t="shared" si="76"/>
        <v>0.1855262806652252</v>
      </c>
      <c r="AW609" s="1">
        <f t="shared" si="77"/>
        <v>0.1113157683991351</v>
      </c>
    </row>
    <row r="610" spans="1:49" x14ac:dyDescent="0.2">
      <c r="A610">
        <v>608</v>
      </c>
      <c r="B610" t="s">
        <v>6222</v>
      </c>
      <c r="C610" t="s">
        <v>6221</v>
      </c>
      <c r="F610" t="s">
        <v>6220</v>
      </c>
      <c r="G610" t="s">
        <v>15</v>
      </c>
      <c r="H610" t="s">
        <v>14</v>
      </c>
      <c r="I610" t="s">
        <v>672</v>
      </c>
      <c r="J610">
        <v>60001439</v>
      </c>
      <c r="K610" t="s">
        <v>671</v>
      </c>
      <c r="L610" t="s">
        <v>670</v>
      </c>
      <c r="M610" t="s">
        <v>10</v>
      </c>
      <c r="N610">
        <v>1</v>
      </c>
      <c r="O610" t="s">
        <v>6219</v>
      </c>
      <c r="P610">
        <v>55925714300</v>
      </c>
      <c r="Q610">
        <v>60001439</v>
      </c>
      <c r="R610" s="7">
        <v>33970</v>
      </c>
      <c r="S610" s="8">
        <f t="shared" si="72"/>
        <v>1993</v>
      </c>
      <c r="T610" s="8">
        <v>1993</v>
      </c>
      <c r="U610" s="8">
        <f t="shared" si="73"/>
        <v>29</v>
      </c>
      <c r="V610" s="7">
        <v>34182</v>
      </c>
      <c r="W610" t="s">
        <v>814</v>
      </c>
      <c r="X610" s="2">
        <v>1.6519999999999999</v>
      </c>
      <c r="Y610" s="6">
        <f t="shared" si="78"/>
        <v>4.409919649769093E-2</v>
      </c>
      <c r="AA610" t="s">
        <v>813</v>
      </c>
      <c r="AB610">
        <v>17337</v>
      </c>
      <c r="AC610">
        <v>15582221</v>
      </c>
      <c r="AD610" t="s">
        <v>5</v>
      </c>
      <c r="AE610">
        <v>41</v>
      </c>
      <c r="AF610">
        <v>8</v>
      </c>
      <c r="AH610" t="s">
        <v>6218</v>
      </c>
      <c r="AI610" t="s">
        <v>6217</v>
      </c>
      <c r="AK610" t="s">
        <v>6216</v>
      </c>
      <c r="AL610">
        <v>58</v>
      </c>
      <c r="AM610" s="5">
        <f t="shared" si="74"/>
        <v>2</v>
      </c>
      <c r="AN610" s="4">
        <f t="shared" si="79"/>
        <v>3.0291556228701248E-3</v>
      </c>
      <c r="AO610" s="3"/>
      <c r="AP610">
        <v>0</v>
      </c>
      <c r="AR610" t="s">
        <v>1</v>
      </c>
      <c r="AT610" s="2" t="s">
        <v>0</v>
      </c>
      <c r="AU610" s="1">
        <f t="shared" si="75"/>
        <v>3.1778184235244686</v>
      </c>
      <c r="AV610" s="1">
        <f t="shared" si="76"/>
        <v>2.3564176060280526</v>
      </c>
      <c r="AW610" s="1">
        <f t="shared" si="77"/>
        <v>1.5350167885316366</v>
      </c>
    </row>
    <row r="611" spans="1:49" x14ac:dyDescent="0.2">
      <c r="A611">
        <v>609</v>
      </c>
      <c r="B611" t="s">
        <v>6215</v>
      </c>
      <c r="C611" t="s">
        <v>6214</v>
      </c>
      <c r="F611" t="s">
        <v>6213</v>
      </c>
      <c r="G611" t="s">
        <v>15</v>
      </c>
      <c r="H611" t="s">
        <v>14</v>
      </c>
      <c r="I611" t="s">
        <v>6212</v>
      </c>
      <c r="J611">
        <v>60003500</v>
      </c>
      <c r="K611" t="s">
        <v>2557</v>
      </c>
      <c r="L611" t="s">
        <v>2556</v>
      </c>
      <c r="M611" t="s">
        <v>10</v>
      </c>
      <c r="N611">
        <v>2</v>
      </c>
      <c r="O611" t="s">
        <v>6211</v>
      </c>
      <c r="P611" t="s">
        <v>6210</v>
      </c>
      <c r="Q611" t="s">
        <v>2553</v>
      </c>
      <c r="R611" s="7">
        <v>33970</v>
      </c>
      <c r="S611" s="8">
        <f t="shared" si="72"/>
        <v>1993</v>
      </c>
      <c r="T611" s="8">
        <v>1993</v>
      </c>
      <c r="U611" s="8">
        <f t="shared" si="73"/>
        <v>29</v>
      </c>
      <c r="V611" s="7">
        <v>34182</v>
      </c>
      <c r="W611" t="s">
        <v>814</v>
      </c>
      <c r="X611" s="2">
        <v>1.6519999999999999</v>
      </c>
      <c r="Y611" s="6">
        <f t="shared" si="78"/>
        <v>4.409919649769093E-2</v>
      </c>
      <c r="AA611" t="s">
        <v>813</v>
      </c>
      <c r="AB611">
        <v>17337</v>
      </c>
      <c r="AC611">
        <v>15582221</v>
      </c>
      <c r="AD611" t="s">
        <v>5</v>
      </c>
      <c r="AE611">
        <v>41</v>
      </c>
      <c r="AF611">
        <v>8</v>
      </c>
      <c r="AH611" t="s">
        <v>6209</v>
      </c>
      <c r="AI611" t="s">
        <v>6208</v>
      </c>
      <c r="AK611" t="s">
        <v>6207</v>
      </c>
      <c r="AL611">
        <v>6</v>
      </c>
      <c r="AM611" s="5">
        <f t="shared" si="74"/>
        <v>0.20689655172413793</v>
      </c>
      <c r="AN611" s="4">
        <f t="shared" si="79"/>
        <v>3.1336092650380602E-4</v>
      </c>
      <c r="AO611" s="3"/>
      <c r="AP611">
        <v>0</v>
      </c>
      <c r="AQ611" t="s">
        <v>4536</v>
      </c>
      <c r="AR611" t="s">
        <v>1</v>
      </c>
      <c r="AS611" t="s">
        <v>4535</v>
      </c>
      <c r="AT611" s="2" t="s">
        <v>0</v>
      </c>
      <c r="AU611" s="1">
        <f t="shared" si="75"/>
        <v>3.096344582633479</v>
      </c>
      <c r="AV611" s="1">
        <f t="shared" si="76"/>
        <v>2.2206278712097367</v>
      </c>
      <c r="AW611" s="1">
        <f t="shared" si="77"/>
        <v>1.3449111597859942</v>
      </c>
    </row>
    <row r="612" spans="1:49" x14ac:dyDescent="0.2">
      <c r="A612">
        <v>610</v>
      </c>
      <c r="B612" t="s">
        <v>6206</v>
      </c>
      <c r="C612" t="s">
        <v>6205</v>
      </c>
      <c r="F612" t="s">
        <v>6204</v>
      </c>
      <c r="G612" t="s">
        <v>15</v>
      </c>
      <c r="H612" t="s">
        <v>14</v>
      </c>
      <c r="I612" t="s">
        <v>6203</v>
      </c>
      <c r="N612">
        <v>2</v>
      </c>
      <c r="O612" t="s">
        <v>6202</v>
      </c>
      <c r="P612" t="s">
        <v>6201</v>
      </c>
      <c r="Q612" t="s">
        <v>1557</v>
      </c>
      <c r="R612" s="7">
        <v>33970</v>
      </c>
      <c r="S612" s="8">
        <f t="shared" si="72"/>
        <v>1993</v>
      </c>
      <c r="T612" s="8">
        <v>1993</v>
      </c>
      <c r="U612" s="8">
        <f t="shared" si="73"/>
        <v>29</v>
      </c>
      <c r="V612" s="7" t="s">
        <v>5626</v>
      </c>
      <c r="W612" s="11" t="s">
        <v>2393</v>
      </c>
      <c r="X612" s="2">
        <v>2.383</v>
      </c>
      <c r="Y612" s="6">
        <f t="shared" si="78"/>
        <v>6.3612824003630442E-2</v>
      </c>
      <c r="AA612" t="s">
        <v>2392</v>
      </c>
      <c r="AB612">
        <v>101151</v>
      </c>
      <c r="AD612" t="s">
        <v>5</v>
      </c>
      <c r="AE612">
        <v>140</v>
      </c>
      <c r="AF612">
        <v>4</v>
      </c>
      <c r="AH612" t="s">
        <v>6200</v>
      </c>
      <c r="AI612" t="s">
        <v>6199</v>
      </c>
      <c r="AK612" t="s">
        <v>6198</v>
      </c>
      <c r="AL612">
        <v>2</v>
      </c>
      <c r="AM612" s="5">
        <f t="shared" si="74"/>
        <v>6.8965517241379309E-2</v>
      </c>
      <c r="AN612" s="4">
        <f t="shared" si="79"/>
        <v>1.0445364216793535E-4</v>
      </c>
      <c r="AO612" s="3"/>
      <c r="AP612">
        <v>0</v>
      </c>
      <c r="AR612" t="s">
        <v>1</v>
      </c>
      <c r="AT612" s="2" t="s">
        <v>0</v>
      </c>
      <c r="AU612" s="1">
        <f t="shared" si="75"/>
        <v>4.4560312895191689</v>
      </c>
      <c r="AV612" s="1">
        <f t="shared" si="76"/>
        <v>3.1858638822899188</v>
      </c>
      <c r="AW612" s="1">
        <f t="shared" si="77"/>
        <v>1.9156964750606686</v>
      </c>
    </row>
    <row r="613" spans="1:49" x14ac:dyDescent="0.2">
      <c r="A613">
        <v>611</v>
      </c>
      <c r="B613" t="s">
        <v>6197</v>
      </c>
      <c r="C613" t="s">
        <v>6196</v>
      </c>
      <c r="F613" t="s">
        <v>6195</v>
      </c>
      <c r="G613" t="s">
        <v>15</v>
      </c>
      <c r="H613" t="s">
        <v>14</v>
      </c>
      <c r="I613" t="s">
        <v>6194</v>
      </c>
      <c r="J613">
        <v>60010080</v>
      </c>
      <c r="K613" t="s">
        <v>6193</v>
      </c>
      <c r="L613" t="s">
        <v>4390</v>
      </c>
      <c r="M613" t="s">
        <v>463</v>
      </c>
      <c r="N613">
        <v>1</v>
      </c>
      <c r="O613" t="s">
        <v>6192</v>
      </c>
      <c r="P613">
        <v>36848954700</v>
      </c>
      <c r="Q613">
        <v>60010080</v>
      </c>
      <c r="R613" s="7">
        <v>33970</v>
      </c>
      <c r="S613" s="8">
        <f t="shared" si="72"/>
        <v>1993</v>
      </c>
      <c r="T613" s="8">
        <v>1993</v>
      </c>
      <c r="U613" s="8">
        <f t="shared" si="73"/>
        <v>29</v>
      </c>
      <c r="V613" s="7" t="s">
        <v>5626</v>
      </c>
      <c r="W613" s="11" t="s">
        <v>2393</v>
      </c>
      <c r="X613" s="2">
        <v>2.383</v>
      </c>
      <c r="Y613" s="6">
        <f t="shared" si="78"/>
        <v>6.3612824003630442E-2</v>
      </c>
      <c r="AA613" t="s">
        <v>2392</v>
      </c>
      <c r="AB613">
        <v>101151</v>
      </c>
      <c r="AD613" t="s">
        <v>5</v>
      </c>
      <c r="AE613">
        <v>140</v>
      </c>
      <c r="AF613">
        <v>4</v>
      </c>
      <c r="AH613" t="s">
        <v>6191</v>
      </c>
      <c r="AI613" t="s">
        <v>6190</v>
      </c>
      <c r="AK613" t="s">
        <v>6189</v>
      </c>
      <c r="AL613">
        <v>3</v>
      </c>
      <c r="AM613" s="5">
        <f t="shared" si="74"/>
        <v>0.10344827586206896</v>
      </c>
      <c r="AN613" s="4">
        <f t="shared" si="79"/>
        <v>1.5668046325190301E-4</v>
      </c>
      <c r="AO613" s="3"/>
      <c r="AP613">
        <v>0</v>
      </c>
      <c r="AR613" t="s">
        <v>1</v>
      </c>
      <c r="AT613" s="2" t="s">
        <v>0</v>
      </c>
      <c r="AU613" s="1">
        <f t="shared" si="75"/>
        <v>4.4575980941516882</v>
      </c>
      <c r="AV613" s="1">
        <f t="shared" si="76"/>
        <v>3.1884752233441169</v>
      </c>
      <c r="AW613" s="1">
        <f t="shared" si="77"/>
        <v>1.9193523525365463</v>
      </c>
    </row>
    <row r="614" spans="1:49" x14ac:dyDescent="0.2">
      <c r="A614">
        <v>612</v>
      </c>
      <c r="B614" t="s">
        <v>6188</v>
      </c>
      <c r="C614" t="s">
        <v>6187</v>
      </c>
      <c r="F614" t="s">
        <v>6186</v>
      </c>
      <c r="G614" t="s">
        <v>15</v>
      </c>
      <c r="H614" t="s">
        <v>14</v>
      </c>
      <c r="I614" t="s">
        <v>6185</v>
      </c>
      <c r="J614">
        <v>60007798</v>
      </c>
      <c r="K614" t="s">
        <v>6184</v>
      </c>
      <c r="L614" t="s">
        <v>6183</v>
      </c>
      <c r="M614" t="s">
        <v>59</v>
      </c>
      <c r="N614">
        <v>4</v>
      </c>
      <c r="O614" t="s">
        <v>6182</v>
      </c>
      <c r="P614" t="s">
        <v>6181</v>
      </c>
      <c r="Q614" t="s">
        <v>6180</v>
      </c>
      <c r="R614" s="7">
        <v>33970</v>
      </c>
      <c r="S614" s="8">
        <f t="shared" si="72"/>
        <v>1993</v>
      </c>
      <c r="T614" s="8">
        <v>1993</v>
      </c>
      <c r="U614" s="8">
        <f t="shared" si="73"/>
        <v>29</v>
      </c>
      <c r="V614" s="7">
        <v>34182</v>
      </c>
      <c r="W614" t="s">
        <v>5644</v>
      </c>
      <c r="X614" s="2">
        <v>0.69399999999999995</v>
      </c>
      <c r="Y614" s="6">
        <f t="shared" si="78"/>
        <v>1.8525933637649823E-2</v>
      </c>
      <c r="AA614">
        <v>7038992</v>
      </c>
      <c r="AB614">
        <v>13809</v>
      </c>
      <c r="AC614">
        <v>17127971</v>
      </c>
      <c r="AD614" t="s">
        <v>5</v>
      </c>
      <c r="AE614">
        <v>19</v>
      </c>
      <c r="AF614">
        <v>3</v>
      </c>
      <c r="AH614" t="s">
        <v>6179</v>
      </c>
      <c r="AI614" t="s">
        <v>6178</v>
      </c>
      <c r="AK614" t="s">
        <v>6177</v>
      </c>
      <c r="AL614">
        <v>0</v>
      </c>
      <c r="AM614" s="5">
        <f t="shared" si="74"/>
        <v>0</v>
      </c>
      <c r="AN614" s="4">
        <f t="shared" si="79"/>
        <v>0</v>
      </c>
      <c r="AO614" s="3"/>
      <c r="AP614">
        <v>0</v>
      </c>
      <c r="AR614" t="s">
        <v>1</v>
      </c>
      <c r="AT614" s="2">
        <v>2</v>
      </c>
      <c r="AU614" s="1">
        <f t="shared" si="75"/>
        <v>1.2968153546354877</v>
      </c>
      <c r="AV614" s="1">
        <f t="shared" si="76"/>
        <v>0.92629668188249115</v>
      </c>
      <c r="AW614" s="1">
        <f t="shared" si="77"/>
        <v>0.5557780091294946</v>
      </c>
    </row>
    <row r="615" spans="1:49" x14ac:dyDescent="0.2">
      <c r="A615">
        <v>613</v>
      </c>
      <c r="B615" t="s">
        <v>6176</v>
      </c>
      <c r="C615" t="s">
        <v>6175</v>
      </c>
      <c r="F615" t="s">
        <v>6174</v>
      </c>
      <c r="G615" t="s">
        <v>15</v>
      </c>
      <c r="H615" t="s">
        <v>14</v>
      </c>
      <c r="I615" t="s">
        <v>6173</v>
      </c>
      <c r="J615">
        <v>60011520</v>
      </c>
      <c r="K615" t="s">
        <v>6172</v>
      </c>
      <c r="L615" t="s">
        <v>3718</v>
      </c>
      <c r="M615" t="s">
        <v>493</v>
      </c>
      <c r="N615">
        <v>2</v>
      </c>
      <c r="O615" t="s">
        <v>6171</v>
      </c>
      <c r="P615" t="s">
        <v>6170</v>
      </c>
      <c r="Q615" t="s">
        <v>6169</v>
      </c>
      <c r="R615" s="7">
        <v>33970</v>
      </c>
      <c r="S615" s="8">
        <f t="shared" si="72"/>
        <v>1993</v>
      </c>
      <c r="T615" s="8">
        <v>1993</v>
      </c>
      <c r="U615" s="8">
        <f t="shared" si="73"/>
        <v>29</v>
      </c>
      <c r="V615" s="7">
        <v>34182</v>
      </c>
      <c r="W615" t="s">
        <v>868</v>
      </c>
      <c r="X615" s="2">
        <v>0.375</v>
      </c>
      <c r="Y615" s="6">
        <f t="shared" si="78"/>
        <v>1.0010410827260351E-2</v>
      </c>
      <c r="AA615">
        <v>135194</v>
      </c>
      <c r="AB615">
        <v>24918</v>
      </c>
      <c r="AD615" t="s">
        <v>5</v>
      </c>
      <c r="AE615">
        <v>29</v>
      </c>
      <c r="AF615">
        <v>17</v>
      </c>
      <c r="AH615" t="s">
        <v>6168</v>
      </c>
      <c r="AI615" t="s">
        <v>6167</v>
      </c>
      <c r="AJ615" t="s">
        <v>6166</v>
      </c>
      <c r="AK615" t="s">
        <v>6165</v>
      </c>
      <c r="AL615">
        <v>10</v>
      </c>
      <c r="AM615" s="5">
        <f t="shared" si="74"/>
        <v>0.34482758620689657</v>
      </c>
      <c r="AN615" s="4">
        <f t="shared" si="79"/>
        <v>5.2226821083967677E-4</v>
      </c>
      <c r="AO615" s="3"/>
      <c r="AP615">
        <v>0</v>
      </c>
      <c r="AR615" t="s">
        <v>1</v>
      </c>
      <c r="AT615" s="2">
        <v>1.3140000000000001</v>
      </c>
      <c r="AU615" s="1">
        <f t="shared" si="75"/>
        <v>0.7163968042334149</v>
      </c>
      <c r="AV615" s="1">
        <f t="shared" si="76"/>
        <v>0.5266339519050014</v>
      </c>
      <c r="AW615" s="1">
        <f t="shared" si="77"/>
        <v>0.3368710995765879</v>
      </c>
    </row>
    <row r="616" spans="1:49" x14ac:dyDescent="0.2">
      <c r="A616">
        <v>614</v>
      </c>
      <c r="B616" t="s">
        <v>6164</v>
      </c>
      <c r="C616" t="s">
        <v>6163</v>
      </c>
      <c r="F616" t="s">
        <v>6162</v>
      </c>
      <c r="G616" t="s">
        <v>15</v>
      </c>
      <c r="H616" t="s">
        <v>14</v>
      </c>
      <c r="I616" t="s">
        <v>6161</v>
      </c>
      <c r="J616">
        <v>60028186</v>
      </c>
      <c r="K616" t="s">
        <v>6160</v>
      </c>
      <c r="L616" t="s">
        <v>6159</v>
      </c>
      <c r="M616" t="s">
        <v>6158</v>
      </c>
      <c r="N616">
        <v>2</v>
      </c>
      <c r="O616" t="s">
        <v>6157</v>
      </c>
      <c r="P616" t="s">
        <v>6156</v>
      </c>
      <c r="Q616" t="s">
        <v>6155</v>
      </c>
      <c r="R616" s="7">
        <v>33970</v>
      </c>
      <c r="S616" s="8">
        <f t="shared" si="72"/>
        <v>1993</v>
      </c>
      <c r="T616" s="8">
        <v>1993</v>
      </c>
      <c r="U616" s="8">
        <f t="shared" si="73"/>
        <v>29</v>
      </c>
      <c r="V616" s="7">
        <v>34182</v>
      </c>
      <c r="W616" t="s">
        <v>814</v>
      </c>
      <c r="X616" s="2">
        <v>1.6519999999999999</v>
      </c>
      <c r="Y616" s="6">
        <f t="shared" si="78"/>
        <v>4.409919649769093E-2</v>
      </c>
      <c r="AA616" t="s">
        <v>813</v>
      </c>
      <c r="AB616">
        <v>17337</v>
      </c>
      <c r="AC616">
        <v>15582221</v>
      </c>
      <c r="AD616" t="s">
        <v>5</v>
      </c>
      <c r="AE616">
        <v>41</v>
      </c>
      <c r="AF616">
        <v>8</v>
      </c>
      <c r="AH616" t="s">
        <v>6154</v>
      </c>
      <c r="AI616" t="s">
        <v>6153</v>
      </c>
      <c r="AK616" t="s">
        <v>6152</v>
      </c>
      <c r="AL616">
        <v>72</v>
      </c>
      <c r="AM616" s="5">
        <f t="shared" si="74"/>
        <v>2.4827586206896552</v>
      </c>
      <c r="AN616" s="4">
        <f t="shared" si="79"/>
        <v>3.7603311180456726E-3</v>
      </c>
      <c r="AO616" s="3"/>
      <c r="AP616">
        <v>0</v>
      </c>
      <c r="AR616" t="s">
        <v>1</v>
      </c>
      <c r="AT616" s="2" t="s">
        <v>0</v>
      </c>
      <c r="AU616" s="1">
        <f t="shared" si="75"/>
        <v>3.1997536883797353</v>
      </c>
      <c r="AV616" s="1">
        <f t="shared" si="76"/>
        <v>2.3929763807868301</v>
      </c>
      <c r="AW616" s="1">
        <f t="shared" si="77"/>
        <v>1.5861990731939248</v>
      </c>
    </row>
    <row r="617" spans="1:49" x14ac:dyDescent="0.2">
      <c r="A617">
        <v>615</v>
      </c>
      <c r="B617" t="s">
        <v>6151</v>
      </c>
      <c r="C617" t="s">
        <v>6150</v>
      </c>
      <c r="F617" t="s">
        <v>6149</v>
      </c>
      <c r="G617" t="s">
        <v>15</v>
      </c>
      <c r="H617" t="s">
        <v>14</v>
      </c>
      <c r="I617" t="s">
        <v>6148</v>
      </c>
      <c r="J617">
        <v>60033154</v>
      </c>
      <c r="K617" t="s">
        <v>510</v>
      </c>
      <c r="L617" t="s">
        <v>509</v>
      </c>
      <c r="M617" t="s">
        <v>508</v>
      </c>
      <c r="N617">
        <v>1</v>
      </c>
      <c r="O617" t="s">
        <v>6147</v>
      </c>
      <c r="P617">
        <v>6603886195</v>
      </c>
      <c r="Q617">
        <v>60033154</v>
      </c>
      <c r="R617" s="7">
        <v>33970</v>
      </c>
      <c r="S617" s="8">
        <f t="shared" si="72"/>
        <v>1993</v>
      </c>
      <c r="T617" s="8">
        <v>1993</v>
      </c>
      <c r="U617" s="8">
        <f t="shared" si="73"/>
        <v>29</v>
      </c>
      <c r="V617" s="7">
        <v>34182</v>
      </c>
      <c r="W617" t="s">
        <v>814</v>
      </c>
      <c r="X617" s="2">
        <v>1.6519999999999999</v>
      </c>
      <c r="Y617" s="6">
        <f t="shared" si="78"/>
        <v>4.409919649769093E-2</v>
      </c>
      <c r="AA617" t="s">
        <v>813</v>
      </c>
      <c r="AB617">
        <v>17337</v>
      </c>
      <c r="AC617">
        <v>15582221</v>
      </c>
      <c r="AD617" t="s">
        <v>5</v>
      </c>
      <c r="AE617">
        <v>41</v>
      </c>
      <c r="AF617">
        <v>8</v>
      </c>
      <c r="AH617" t="s">
        <v>6146</v>
      </c>
      <c r="AI617" t="s">
        <v>6145</v>
      </c>
      <c r="AK617" t="s">
        <v>6144</v>
      </c>
      <c r="AL617">
        <v>8</v>
      </c>
      <c r="AM617" s="5">
        <f t="shared" si="74"/>
        <v>0.27586206896551724</v>
      </c>
      <c r="AN617" s="4">
        <f t="shared" si="79"/>
        <v>4.1781456867174139E-4</v>
      </c>
      <c r="AO617" s="3"/>
      <c r="AP617">
        <v>0</v>
      </c>
      <c r="AQ617" t="s">
        <v>5121</v>
      </c>
      <c r="AR617" t="s">
        <v>6143</v>
      </c>
      <c r="AS617" t="s">
        <v>5120</v>
      </c>
      <c r="AT617" s="2" t="s">
        <v>0</v>
      </c>
      <c r="AU617" s="1">
        <f t="shared" si="75"/>
        <v>3.099478191898517</v>
      </c>
      <c r="AV617" s="1">
        <f t="shared" si="76"/>
        <v>2.2258505533181339</v>
      </c>
      <c r="AW617" s="1">
        <f t="shared" si="77"/>
        <v>1.3522229147377498</v>
      </c>
    </row>
    <row r="618" spans="1:49" x14ac:dyDescent="0.2">
      <c r="A618">
        <v>616</v>
      </c>
      <c r="B618" t="s">
        <v>6142</v>
      </c>
      <c r="C618" t="s">
        <v>6141</v>
      </c>
      <c r="F618" t="s">
        <v>6140</v>
      </c>
      <c r="G618" t="s">
        <v>15</v>
      </c>
      <c r="H618" t="s">
        <v>14</v>
      </c>
      <c r="I618" t="s">
        <v>6139</v>
      </c>
      <c r="J618" t="s">
        <v>6138</v>
      </c>
      <c r="K618" t="s">
        <v>6137</v>
      </c>
      <c r="L618" t="s">
        <v>6136</v>
      </c>
      <c r="M618" t="s">
        <v>219</v>
      </c>
      <c r="N618">
        <v>1</v>
      </c>
      <c r="O618" t="s">
        <v>6135</v>
      </c>
      <c r="P618">
        <v>35576639300</v>
      </c>
      <c r="Q618" t="s">
        <v>6134</v>
      </c>
      <c r="R618" s="7">
        <v>33970</v>
      </c>
      <c r="S618" s="8">
        <f t="shared" si="72"/>
        <v>1993</v>
      </c>
      <c r="T618" s="8">
        <v>1993</v>
      </c>
      <c r="U618" s="8">
        <f t="shared" si="73"/>
        <v>29</v>
      </c>
      <c r="V618" s="7">
        <v>34182</v>
      </c>
      <c r="W618" t="s">
        <v>2801</v>
      </c>
      <c r="X618" s="2">
        <v>0.65500000000000003</v>
      </c>
      <c r="Y618" s="6">
        <f t="shared" si="78"/>
        <v>1.7484850911614749E-2</v>
      </c>
      <c r="AA618">
        <v>189375</v>
      </c>
      <c r="AB618">
        <v>26051</v>
      </c>
      <c r="AC618" t="s">
        <v>2800</v>
      </c>
      <c r="AD618" t="s">
        <v>5</v>
      </c>
      <c r="AE618">
        <v>35</v>
      </c>
      <c r="AF618">
        <v>3</v>
      </c>
      <c r="AH618" t="s">
        <v>6133</v>
      </c>
      <c r="AI618" t="s">
        <v>6132</v>
      </c>
      <c r="AK618" t="s">
        <v>6131</v>
      </c>
      <c r="AL618">
        <v>16</v>
      </c>
      <c r="AM618" s="5">
        <f t="shared" si="74"/>
        <v>0.55172413793103448</v>
      </c>
      <c r="AN618" s="4">
        <f t="shared" si="79"/>
        <v>8.3562913734348278E-4</v>
      </c>
      <c r="AO618" s="3"/>
      <c r="AP618">
        <v>0</v>
      </c>
      <c r="AR618" t="s">
        <v>1</v>
      </c>
      <c r="AS618" t="s">
        <v>6130</v>
      </c>
      <c r="AT618" s="2" t="s">
        <v>0</v>
      </c>
      <c r="AU618" s="1">
        <f t="shared" si="75"/>
        <v>1.2490084379333366</v>
      </c>
      <c r="AV618" s="1">
        <f t="shared" si="76"/>
        <v>0.91602400244791149</v>
      </c>
      <c r="AW618" s="1">
        <f t="shared" si="77"/>
        <v>0.58303956696248627</v>
      </c>
    </row>
    <row r="619" spans="1:49" x14ac:dyDescent="0.2">
      <c r="A619">
        <v>617</v>
      </c>
      <c r="B619" t="s">
        <v>6129</v>
      </c>
      <c r="C619" t="s">
        <v>6128</v>
      </c>
      <c r="F619" t="s">
        <v>6127</v>
      </c>
      <c r="G619" t="s">
        <v>15</v>
      </c>
      <c r="H619" t="s">
        <v>14</v>
      </c>
      <c r="I619" t="s">
        <v>6126</v>
      </c>
      <c r="J619">
        <v>60018279</v>
      </c>
      <c r="K619" t="s">
        <v>4169</v>
      </c>
      <c r="L619" t="s">
        <v>4168</v>
      </c>
      <c r="M619" t="s">
        <v>150</v>
      </c>
      <c r="N619">
        <v>3</v>
      </c>
      <c r="O619" t="s">
        <v>6125</v>
      </c>
      <c r="P619" t="s">
        <v>6124</v>
      </c>
      <c r="Q619" t="s">
        <v>4165</v>
      </c>
      <c r="R619" s="7">
        <v>33970</v>
      </c>
      <c r="S619" s="8">
        <f t="shared" si="72"/>
        <v>1993</v>
      </c>
      <c r="T619" s="8">
        <v>1993</v>
      </c>
      <c r="U619" s="8">
        <f t="shared" si="73"/>
        <v>29</v>
      </c>
      <c r="V619" s="7">
        <v>1993</v>
      </c>
      <c r="W619" t="s">
        <v>1720</v>
      </c>
      <c r="X619" s="2">
        <v>0.111</v>
      </c>
      <c r="Y619" s="6">
        <f t="shared" si="78"/>
        <v>2.9630816048690639E-3</v>
      </c>
      <c r="AA619">
        <v>87566621</v>
      </c>
      <c r="AB619">
        <v>24890</v>
      </c>
      <c r="AC619">
        <v>15206424</v>
      </c>
      <c r="AD619" t="s">
        <v>5</v>
      </c>
      <c r="AE619">
        <v>76</v>
      </c>
      <c r="AF619">
        <v>8</v>
      </c>
      <c r="AH619" t="s">
        <v>6123</v>
      </c>
      <c r="AI619" t="s">
        <v>6122</v>
      </c>
      <c r="AJ619" t="s">
        <v>6121</v>
      </c>
      <c r="AK619" t="s">
        <v>6120</v>
      </c>
      <c r="AL619">
        <v>2</v>
      </c>
      <c r="AM619" s="5">
        <f t="shared" si="74"/>
        <v>6.8965517241379309E-2</v>
      </c>
      <c r="AN619" s="4">
        <f t="shared" si="79"/>
        <v>1.0445364216793535E-4</v>
      </c>
      <c r="AO619" s="3"/>
      <c r="AP619">
        <v>0</v>
      </c>
      <c r="AR619" t="s">
        <v>1</v>
      </c>
      <c r="AT619" s="2" t="s">
        <v>0</v>
      </c>
      <c r="AU619" s="1">
        <f t="shared" si="75"/>
        <v>0.2105493216058725</v>
      </c>
      <c r="AV619" s="1">
        <f t="shared" si="76"/>
        <v>0.15337676235184997</v>
      </c>
      <c r="AW619" s="1">
        <f t="shared" si="77"/>
        <v>9.6204203097827387E-2</v>
      </c>
    </row>
    <row r="620" spans="1:49" x14ac:dyDescent="0.2">
      <c r="A620">
        <v>618</v>
      </c>
      <c r="B620" t="s">
        <v>6119</v>
      </c>
      <c r="C620" t="s">
        <v>6118</v>
      </c>
      <c r="F620" t="s">
        <v>6117</v>
      </c>
      <c r="G620" t="s">
        <v>15</v>
      </c>
      <c r="H620" t="s">
        <v>14</v>
      </c>
      <c r="I620" t="s">
        <v>6116</v>
      </c>
      <c r="J620" t="s">
        <v>6115</v>
      </c>
      <c r="K620" t="s">
        <v>6114</v>
      </c>
      <c r="L620" t="s">
        <v>6113</v>
      </c>
      <c r="M620" t="s">
        <v>6112</v>
      </c>
      <c r="N620">
        <v>2</v>
      </c>
      <c r="O620" t="s">
        <v>6111</v>
      </c>
      <c r="P620" t="s">
        <v>6110</v>
      </c>
      <c r="Q620" t="s">
        <v>6109</v>
      </c>
      <c r="R620" s="7">
        <v>33970</v>
      </c>
      <c r="S620" s="8">
        <f t="shared" si="72"/>
        <v>1993</v>
      </c>
      <c r="T620" s="8">
        <v>1993</v>
      </c>
      <c r="U620" s="8">
        <f t="shared" si="73"/>
        <v>29</v>
      </c>
      <c r="V620" s="7">
        <v>34182</v>
      </c>
      <c r="W620" t="s">
        <v>814</v>
      </c>
      <c r="X620" s="2">
        <v>1.6519999999999999</v>
      </c>
      <c r="Y620" s="6">
        <f t="shared" si="78"/>
        <v>4.409919649769093E-2</v>
      </c>
      <c r="AA620" t="s">
        <v>813</v>
      </c>
      <c r="AB620">
        <v>17337</v>
      </c>
      <c r="AC620">
        <v>15582221</v>
      </c>
      <c r="AD620" t="s">
        <v>5</v>
      </c>
      <c r="AE620">
        <v>41</v>
      </c>
      <c r="AF620">
        <v>8</v>
      </c>
      <c r="AH620" t="s">
        <v>6108</v>
      </c>
      <c r="AI620" t="s">
        <v>6107</v>
      </c>
      <c r="AK620" t="s">
        <v>6106</v>
      </c>
      <c r="AL620">
        <v>3</v>
      </c>
      <c r="AM620" s="5">
        <f t="shared" si="74"/>
        <v>0.10344827586206896</v>
      </c>
      <c r="AN620" s="4">
        <f t="shared" si="79"/>
        <v>1.5668046325190301E-4</v>
      </c>
      <c r="AO620" s="3"/>
      <c r="AP620">
        <v>0</v>
      </c>
      <c r="AR620" t="s">
        <v>1</v>
      </c>
      <c r="AT620" s="2" t="s">
        <v>0</v>
      </c>
      <c r="AU620" s="1">
        <f t="shared" si="75"/>
        <v>3.0916441687359222</v>
      </c>
      <c r="AV620" s="1">
        <f t="shared" si="76"/>
        <v>2.2127938480471414</v>
      </c>
      <c r="AW620" s="1">
        <f t="shared" si="77"/>
        <v>1.3339435273583611</v>
      </c>
    </row>
    <row r="621" spans="1:49" x14ac:dyDescent="0.2">
      <c r="A621">
        <v>619</v>
      </c>
      <c r="B621" t="s">
        <v>6105</v>
      </c>
      <c r="C621" t="s">
        <v>6104</v>
      </c>
      <c r="F621" t="s">
        <v>6103</v>
      </c>
      <c r="G621" t="s">
        <v>15</v>
      </c>
      <c r="H621" t="s">
        <v>14</v>
      </c>
      <c r="I621" t="s">
        <v>6102</v>
      </c>
      <c r="J621">
        <v>60110693</v>
      </c>
      <c r="K621" t="s">
        <v>6101</v>
      </c>
      <c r="L621" t="s">
        <v>6100</v>
      </c>
      <c r="M621" t="s">
        <v>303</v>
      </c>
      <c r="N621">
        <v>3</v>
      </c>
      <c r="O621" t="s">
        <v>6099</v>
      </c>
      <c r="P621" t="s">
        <v>6098</v>
      </c>
      <c r="Q621" t="s">
        <v>6097</v>
      </c>
      <c r="R621" s="7">
        <v>33970</v>
      </c>
      <c r="S621" s="8">
        <f t="shared" si="72"/>
        <v>1993</v>
      </c>
      <c r="T621" s="8">
        <v>1993</v>
      </c>
      <c r="U621" s="8">
        <f t="shared" si="73"/>
        <v>29</v>
      </c>
      <c r="V621" s="7" t="s">
        <v>5626</v>
      </c>
      <c r="W621" s="11" t="s">
        <v>2393</v>
      </c>
      <c r="X621" s="2">
        <v>2.383</v>
      </c>
      <c r="Y621" s="6">
        <f t="shared" si="78"/>
        <v>6.3612824003630442E-2</v>
      </c>
      <c r="AA621" t="s">
        <v>2392</v>
      </c>
      <c r="AB621">
        <v>101151</v>
      </c>
      <c r="AD621" t="s">
        <v>5</v>
      </c>
      <c r="AE621">
        <v>140</v>
      </c>
      <c r="AF621">
        <v>4</v>
      </c>
      <c r="AH621" t="s">
        <v>6096</v>
      </c>
      <c r="AI621" t="s">
        <v>6095</v>
      </c>
      <c r="AK621" t="s">
        <v>6094</v>
      </c>
      <c r="AL621">
        <v>28</v>
      </c>
      <c r="AM621" s="5">
        <f t="shared" si="74"/>
        <v>0.96551724137931039</v>
      </c>
      <c r="AN621" s="4">
        <f t="shared" si="79"/>
        <v>1.4623509903510948E-3</v>
      </c>
      <c r="AO621" s="3"/>
      <c r="AP621">
        <v>0</v>
      </c>
      <c r="AR621" t="s">
        <v>1</v>
      </c>
      <c r="AT621" s="2" t="s">
        <v>0</v>
      </c>
      <c r="AU621" s="1">
        <f t="shared" si="75"/>
        <v>4.4967682099646638</v>
      </c>
      <c r="AV621" s="1">
        <f t="shared" si="76"/>
        <v>3.253758749699077</v>
      </c>
      <c r="AW621" s="1">
        <f t="shared" si="77"/>
        <v>2.0107492894334897</v>
      </c>
    </row>
    <row r="622" spans="1:49" x14ac:dyDescent="0.2">
      <c r="A622">
        <v>620</v>
      </c>
      <c r="B622" t="s">
        <v>6093</v>
      </c>
      <c r="C622" t="s">
        <v>6092</v>
      </c>
      <c r="F622" t="s">
        <v>6091</v>
      </c>
      <c r="G622" t="s">
        <v>15</v>
      </c>
      <c r="H622" t="s">
        <v>14</v>
      </c>
      <c r="I622" t="s">
        <v>6090</v>
      </c>
      <c r="J622">
        <v>60022990</v>
      </c>
      <c r="K622" t="s">
        <v>6089</v>
      </c>
      <c r="L622" t="s">
        <v>4926</v>
      </c>
      <c r="M622" t="s">
        <v>150</v>
      </c>
      <c r="N622">
        <v>3</v>
      </c>
      <c r="O622" t="s">
        <v>6088</v>
      </c>
      <c r="P622" t="s">
        <v>6087</v>
      </c>
      <c r="Q622" t="s">
        <v>6086</v>
      </c>
      <c r="R622" s="7">
        <v>33970</v>
      </c>
      <c r="S622" s="8">
        <f t="shared" si="72"/>
        <v>1993</v>
      </c>
      <c r="T622" s="8">
        <v>1993</v>
      </c>
      <c r="U622" s="8">
        <f t="shared" si="73"/>
        <v>29</v>
      </c>
      <c r="V622" s="7">
        <v>34182</v>
      </c>
      <c r="W622" t="s">
        <v>5644</v>
      </c>
      <c r="X622" s="2">
        <v>0.69399999999999995</v>
      </c>
      <c r="Y622" s="6">
        <f t="shared" si="78"/>
        <v>1.8525933637649823E-2</v>
      </c>
      <c r="AA622">
        <v>7038992</v>
      </c>
      <c r="AB622">
        <v>13809</v>
      </c>
      <c r="AC622">
        <v>17127971</v>
      </c>
      <c r="AD622" t="s">
        <v>5</v>
      </c>
      <c r="AE622">
        <v>19</v>
      </c>
      <c r="AF622">
        <v>3</v>
      </c>
      <c r="AH622" t="s">
        <v>6085</v>
      </c>
      <c r="AI622" t="s">
        <v>6084</v>
      </c>
      <c r="AK622" t="s">
        <v>6083</v>
      </c>
      <c r="AL622">
        <v>9</v>
      </c>
      <c r="AM622" s="5">
        <f t="shared" si="74"/>
        <v>0.31034482758620691</v>
      </c>
      <c r="AN622" s="4">
        <f t="shared" si="79"/>
        <v>4.7004138975570908E-4</v>
      </c>
      <c r="AO622" s="3"/>
      <c r="AP622">
        <v>0</v>
      </c>
      <c r="AR622" t="s">
        <v>1</v>
      </c>
      <c r="AT622" s="2">
        <v>2</v>
      </c>
      <c r="AU622" s="1">
        <f t="shared" si="75"/>
        <v>1.3109165963281588</v>
      </c>
      <c r="AV622" s="1">
        <f t="shared" si="76"/>
        <v>0.94979875137027658</v>
      </c>
      <c r="AW622" s="1">
        <f t="shared" si="77"/>
        <v>0.58868090641239434</v>
      </c>
    </row>
    <row r="623" spans="1:49" x14ac:dyDescent="0.2">
      <c r="A623">
        <v>621</v>
      </c>
      <c r="B623" t="s">
        <v>6082</v>
      </c>
      <c r="C623" t="s">
        <v>6081</v>
      </c>
      <c r="F623" t="s">
        <v>6080</v>
      </c>
      <c r="G623" t="s">
        <v>15</v>
      </c>
      <c r="H623" t="s">
        <v>14</v>
      </c>
      <c r="I623" t="s">
        <v>6079</v>
      </c>
      <c r="J623">
        <v>100419562</v>
      </c>
      <c r="K623" t="s">
        <v>6078</v>
      </c>
      <c r="L623" t="s">
        <v>6077</v>
      </c>
      <c r="M623" t="s">
        <v>303</v>
      </c>
      <c r="N623">
        <v>2</v>
      </c>
      <c r="O623" t="s">
        <v>6076</v>
      </c>
      <c r="P623" t="s">
        <v>6075</v>
      </c>
      <c r="Q623" t="s">
        <v>6074</v>
      </c>
      <c r="R623" s="7">
        <v>33970</v>
      </c>
      <c r="S623" s="8">
        <f t="shared" si="72"/>
        <v>1993</v>
      </c>
      <c r="T623" s="8">
        <v>1993</v>
      </c>
      <c r="U623" s="8">
        <f t="shared" si="73"/>
        <v>29</v>
      </c>
      <c r="V623" s="7">
        <v>34182</v>
      </c>
      <c r="W623" t="s">
        <v>868</v>
      </c>
      <c r="X623" s="2">
        <v>0.375</v>
      </c>
      <c r="Y623" s="6">
        <f t="shared" si="78"/>
        <v>1.0010410827260351E-2</v>
      </c>
      <c r="AA623">
        <v>135194</v>
      </c>
      <c r="AB623">
        <v>24918</v>
      </c>
      <c r="AD623" t="s">
        <v>5</v>
      </c>
      <c r="AE623">
        <v>29</v>
      </c>
      <c r="AF623">
        <v>17</v>
      </c>
      <c r="AH623" t="s">
        <v>6073</v>
      </c>
      <c r="AI623" t="s">
        <v>6072</v>
      </c>
      <c r="AJ623" t="s">
        <v>6071</v>
      </c>
      <c r="AK623" t="s">
        <v>6070</v>
      </c>
      <c r="AL623">
        <v>1</v>
      </c>
      <c r="AM623" s="5">
        <f t="shared" si="74"/>
        <v>3.4482758620689655E-2</v>
      </c>
      <c r="AN623" s="4">
        <f t="shared" si="79"/>
        <v>5.2226821083967674E-5</v>
      </c>
      <c r="AO623" s="3"/>
      <c r="AP623">
        <v>0</v>
      </c>
      <c r="AR623" t="s">
        <v>1</v>
      </c>
      <c r="AT623" s="2">
        <v>1.3140000000000001</v>
      </c>
      <c r="AU623" s="1">
        <f t="shared" si="75"/>
        <v>0.70229556254074355</v>
      </c>
      <c r="AV623" s="1">
        <f t="shared" si="76"/>
        <v>0.50313188241721596</v>
      </c>
      <c r="AW623" s="1">
        <f t="shared" si="77"/>
        <v>0.30396820229368826</v>
      </c>
    </row>
    <row r="624" spans="1:49" x14ac:dyDescent="0.2">
      <c r="A624">
        <v>622</v>
      </c>
      <c r="B624" t="s">
        <v>6069</v>
      </c>
      <c r="C624" t="s">
        <v>6068</v>
      </c>
      <c r="F624" t="s">
        <v>6067</v>
      </c>
      <c r="G624" t="s">
        <v>15</v>
      </c>
      <c r="H624" t="s">
        <v>14</v>
      </c>
      <c r="I624" t="s">
        <v>6066</v>
      </c>
      <c r="J624">
        <v>60025475</v>
      </c>
      <c r="K624" t="s">
        <v>6065</v>
      </c>
      <c r="L624" t="s">
        <v>6064</v>
      </c>
      <c r="M624" t="s">
        <v>493</v>
      </c>
      <c r="N624">
        <v>2</v>
      </c>
      <c r="O624" t="s">
        <v>6063</v>
      </c>
      <c r="P624" t="s">
        <v>6062</v>
      </c>
      <c r="Q624" t="s">
        <v>6061</v>
      </c>
      <c r="R624" s="7">
        <v>33970</v>
      </c>
      <c r="S624" s="8">
        <f t="shared" si="72"/>
        <v>1993</v>
      </c>
      <c r="T624" s="8">
        <v>1993</v>
      </c>
      <c r="U624" s="8">
        <f t="shared" si="73"/>
        <v>29</v>
      </c>
      <c r="V624" s="7">
        <v>34182</v>
      </c>
      <c r="W624" t="s">
        <v>868</v>
      </c>
      <c r="X624" s="2">
        <v>0.375</v>
      </c>
      <c r="Y624" s="6">
        <f t="shared" si="78"/>
        <v>1.0010410827260351E-2</v>
      </c>
      <c r="AA624">
        <v>135194</v>
      </c>
      <c r="AB624">
        <v>24918</v>
      </c>
      <c r="AD624" t="s">
        <v>5</v>
      </c>
      <c r="AE624">
        <v>29</v>
      </c>
      <c r="AF624">
        <v>17</v>
      </c>
      <c r="AH624" t="s">
        <v>6060</v>
      </c>
      <c r="AI624" t="s">
        <v>6059</v>
      </c>
      <c r="AJ624" t="s">
        <v>6058</v>
      </c>
      <c r="AK624" t="s">
        <v>6057</v>
      </c>
      <c r="AL624">
        <v>1</v>
      </c>
      <c r="AM624" s="5">
        <f t="shared" si="74"/>
        <v>3.4482758620689655E-2</v>
      </c>
      <c r="AN624" s="4">
        <f t="shared" si="79"/>
        <v>5.2226821083967674E-5</v>
      </c>
      <c r="AO624" s="3"/>
      <c r="AP624">
        <v>0</v>
      </c>
      <c r="AR624" t="s">
        <v>1</v>
      </c>
      <c r="AT624" s="2">
        <v>1.3140000000000001</v>
      </c>
      <c r="AU624" s="1">
        <f t="shared" si="75"/>
        <v>0.70229556254074355</v>
      </c>
      <c r="AV624" s="1">
        <f t="shared" si="76"/>
        <v>0.50313188241721596</v>
      </c>
      <c r="AW624" s="1">
        <f t="shared" si="77"/>
        <v>0.30396820229368826</v>
      </c>
    </row>
    <row r="625" spans="1:49" x14ac:dyDescent="0.2">
      <c r="A625">
        <v>623</v>
      </c>
      <c r="B625" t="s">
        <v>6056</v>
      </c>
      <c r="C625" t="s">
        <v>6055</v>
      </c>
      <c r="F625" t="s">
        <v>6054</v>
      </c>
      <c r="G625" t="s">
        <v>15</v>
      </c>
      <c r="H625" t="s">
        <v>14</v>
      </c>
      <c r="I625" t="s">
        <v>6053</v>
      </c>
      <c r="J625" t="s">
        <v>6052</v>
      </c>
      <c r="K625" t="s">
        <v>6051</v>
      </c>
      <c r="L625" t="s">
        <v>6050</v>
      </c>
      <c r="M625" t="s">
        <v>6049</v>
      </c>
      <c r="N625">
        <v>4</v>
      </c>
      <c r="O625" t="s">
        <v>6048</v>
      </c>
      <c r="P625" t="s">
        <v>6047</v>
      </c>
      <c r="Q625" t="s">
        <v>6046</v>
      </c>
      <c r="R625" s="7">
        <v>33970</v>
      </c>
      <c r="S625" s="8">
        <f t="shared" si="72"/>
        <v>1993</v>
      </c>
      <c r="T625" s="8">
        <v>1993</v>
      </c>
      <c r="U625" s="8">
        <f t="shared" si="73"/>
        <v>29</v>
      </c>
      <c r="V625" s="7">
        <v>34182</v>
      </c>
      <c r="W625" t="s">
        <v>814</v>
      </c>
      <c r="X625" s="2">
        <v>1.6519999999999999</v>
      </c>
      <c r="Y625" s="6">
        <f t="shared" si="78"/>
        <v>4.409919649769093E-2</v>
      </c>
      <c r="AA625" t="s">
        <v>813</v>
      </c>
      <c r="AB625">
        <v>17337</v>
      </c>
      <c r="AC625">
        <v>15582221</v>
      </c>
      <c r="AD625" t="s">
        <v>5</v>
      </c>
      <c r="AE625">
        <v>41</v>
      </c>
      <c r="AF625">
        <v>8</v>
      </c>
      <c r="AH625" t="s">
        <v>6045</v>
      </c>
      <c r="AI625" t="s">
        <v>6044</v>
      </c>
      <c r="AK625" t="s">
        <v>6043</v>
      </c>
      <c r="AL625">
        <v>19</v>
      </c>
      <c r="AM625" s="5">
        <f t="shared" si="74"/>
        <v>0.65517241379310343</v>
      </c>
      <c r="AN625" s="4">
        <f t="shared" si="79"/>
        <v>9.9230960059538574E-4</v>
      </c>
      <c r="AO625" s="3"/>
      <c r="AP625">
        <v>0</v>
      </c>
      <c r="AR625" t="s">
        <v>1</v>
      </c>
      <c r="AT625" s="2" t="s">
        <v>0</v>
      </c>
      <c r="AU625" s="1">
        <f t="shared" si="75"/>
        <v>3.1167130428562269</v>
      </c>
      <c r="AV625" s="1">
        <f t="shared" si="76"/>
        <v>2.2545753049143156</v>
      </c>
      <c r="AW625" s="1">
        <f t="shared" si="77"/>
        <v>1.3924375669724047</v>
      </c>
    </row>
    <row r="626" spans="1:49" x14ac:dyDescent="0.2">
      <c r="A626">
        <v>624</v>
      </c>
      <c r="B626" t="s">
        <v>6042</v>
      </c>
      <c r="C626" t="s">
        <v>6041</v>
      </c>
      <c r="F626" t="s">
        <v>6040</v>
      </c>
      <c r="G626" t="s">
        <v>15</v>
      </c>
      <c r="H626" t="s">
        <v>14</v>
      </c>
      <c r="I626" t="s">
        <v>6039</v>
      </c>
      <c r="J626">
        <v>60031475</v>
      </c>
      <c r="K626" t="s">
        <v>5001</v>
      </c>
      <c r="L626" t="s">
        <v>5000</v>
      </c>
      <c r="M626" t="s">
        <v>576</v>
      </c>
      <c r="N626">
        <v>4</v>
      </c>
      <c r="O626" t="s">
        <v>6038</v>
      </c>
      <c r="P626" t="s">
        <v>6037</v>
      </c>
      <c r="Q626" t="s">
        <v>6036</v>
      </c>
      <c r="R626" s="7">
        <v>33970</v>
      </c>
      <c r="S626" s="8">
        <f t="shared" si="72"/>
        <v>1993</v>
      </c>
      <c r="T626" s="8">
        <v>1993</v>
      </c>
      <c r="U626" s="8">
        <f t="shared" si="73"/>
        <v>29</v>
      </c>
      <c r="V626" s="7">
        <v>34182</v>
      </c>
      <c r="W626" t="s">
        <v>2382</v>
      </c>
      <c r="X626" s="2">
        <v>0.30399999999999999</v>
      </c>
      <c r="Y626" s="6">
        <f t="shared" si="78"/>
        <v>8.115106377299057E-3</v>
      </c>
      <c r="AA626">
        <v>8952477</v>
      </c>
      <c r="AB626">
        <v>12250</v>
      </c>
      <c r="AC626">
        <v>10982760</v>
      </c>
      <c r="AD626" t="s">
        <v>5</v>
      </c>
      <c r="AE626">
        <v>6</v>
      </c>
      <c r="AF626">
        <v>10</v>
      </c>
      <c r="AH626" t="s">
        <v>6035</v>
      </c>
      <c r="AI626" t="s">
        <v>6034</v>
      </c>
      <c r="AJ626" t="s">
        <v>6033</v>
      </c>
      <c r="AK626" t="s">
        <v>6032</v>
      </c>
      <c r="AL626">
        <v>9</v>
      </c>
      <c r="AM626" s="5">
        <f t="shared" si="74"/>
        <v>0.31034482758620691</v>
      </c>
      <c r="AN626" s="4">
        <f t="shared" si="79"/>
        <v>4.7004138975570908E-4</v>
      </c>
      <c r="AO626" s="3"/>
      <c r="AP626">
        <v>0</v>
      </c>
      <c r="AR626" t="s">
        <v>1</v>
      </c>
      <c r="AT626" s="2" t="s">
        <v>0</v>
      </c>
      <c r="AU626" s="1">
        <f t="shared" si="75"/>
        <v>0.58215868810360527</v>
      </c>
      <c r="AV626" s="1">
        <f t="shared" si="76"/>
        <v>0.4292573883527383</v>
      </c>
      <c r="AW626" s="1">
        <f t="shared" si="77"/>
        <v>0.27635608860187139</v>
      </c>
    </row>
    <row r="627" spans="1:49" x14ac:dyDescent="0.2">
      <c r="A627">
        <v>625</v>
      </c>
      <c r="B627" t="s">
        <v>6031</v>
      </c>
      <c r="C627" t="s">
        <v>6030</v>
      </c>
      <c r="F627" t="s">
        <v>6029</v>
      </c>
      <c r="G627" t="s">
        <v>15</v>
      </c>
      <c r="H627" t="s">
        <v>14</v>
      </c>
      <c r="I627" t="s">
        <v>6028</v>
      </c>
      <c r="J627">
        <v>60021859</v>
      </c>
      <c r="K627" t="s">
        <v>6027</v>
      </c>
      <c r="L627" t="s">
        <v>6026</v>
      </c>
      <c r="M627" t="s">
        <v>2423</v>
      </c>
      <c r="N627">
        <v>3</v>
      </c>
      <c r="O627" t="s">
        <v>6025</v>
      </c>
      <c r="P627" t="s">
        <v>6024</v>
      </c>
      <c r="Q627" t="s">
        <v>6023</v>
      </c>
      <c r="R627" s="7">
        <v>33970</v>
      </c>
      <c r="S627" s="8">
        <f t="shared" si="72"/>
        <v>1993</v>
      </c>
      <c r="T627" s="8">
        <v>1993</v>
      </c>
      <c r="U627" s="8">
        <f t="shared" si="73"/>
        <v>29</v>
      </c>
      <c r="V627" s="7" t="s">
        <v>5626</v>
      </c>
      <c r="W627" s="11" t="s">
        <v>2407</v>
      </c>
      <c r="X627" s="2">
        <v>2.383</v>
      </c>
      <c r="Y627" s="6">
        <f t="shared" si="78"/>
        <v>6.3612824003630442E-2</v>
      </c>
      <c r="AA627" t="s">
        <v>2406</v>
      </c>
      <c r="AB627">
        <v>96433</v>
      </c>
      <c r="AD627" t="s">
        <v>5</v>
      </c>
      <c r="AE627">
        <v>140</v>
      </c>
      <c r="AF627">
        <v>4</v>
      </c>
      <c r="AH627" t="s">
        <v>6022</v>
      </c>
      <c r="AI627" t="s">
        <v>6021</v>
      </c>
      <c r="AK627" t="s">
        <v>6020</v>
      </c>
      <c r="AL627">
        <v>111</v>
      </c>
      <c r="AM627" s="5">
        <f t="shared" si="74"/>
        <v>3.8275862068965516</v>
      </c>
      <c r="AN627" s="4">
        <f t="shared" si="79"/>
        <v>5.7971771403204113E-3</v>
      </c>
      <c r="AO627" s="3"/>
      <c r="AP627">
        <v>0</v>
      </c>
      <c r="AR627" t="s">
        <v>1</v>
      </c>
      <c r="AT627" s="2" t="s">
        <v>0</v>
      </c>
      <c r="AU627" s="1">
        <f t="shared" si="75"/>
        <v>4.6268129944637426</v>
      </c>
      <c r="AV627" s="1">
        <f t="shared" si="76"/>
        <v>3.4705000571975426</v>
      </c>
      <c r="AW627" s="1">
        <f t="shared" si="77"/>
        <v>2.3141871199313422</v>
      </c>
    </row>
    <row r="628" spans="1:49" x14ac:dyDescent="0.2">
      <c r="A628">
        <v>626</v>
      </c>
      <c r="B628" t="s">
        <v>6019</v>
      </c>
      <c r="C628" t="s">
        <v>6018</v>
      </c>
      <c r="F628" t="s">
        <v>6017</v>
      </c>
      <c r="G628" t="s">
        <v>15</v>
      </c>
      <c r="H628" t="s">
        <v>14</v>
      </c>
      <c r="I628" t="s">
        <v>2583</v>
      </c>
      <c r="J628" t="s">
        <v>6016</v>
      </c>
      <c r="K628" t="s">
        <v>6015</v>
      </c>
      <c r="L628" t="s">
        <v>6014</v>
      </c>
      <c r="M628" t="s">
        <v>2289</v>
      </c>
      <c r="N628">
        <v>4</v>
      </c>
      <c r="O628" t="s">
        <v>6013</v>
      </c>
      <c r="P628" t="s">
        <v>6012</v>
      </c>
      <c r="Q628" t="s">
        <v>6011</v>
      </c>
      <c r="R628" s="7">
        <v>33970</v>
      </c>
      <c r="S628" s="8">
        <f t="shared" si="72"/>
        <v>1993</v>
      </c>
      <c r="T628" s="8">
        <v>1993</v>
      </c>
      <c r="U628" s="8">
        <f t="shared" si="73"/>
        <v>29</v>
      </c>
      <c r="V628" s="7">
        <v>34182</v>
      </c>
      <c r="W628" t="s">
        <v>868</v>
      </c>
      <c r="X628" s="2">
        <v>0.375</v>
      </c>
      <c r="Y628" s="6">
        <f t="shared" si="78"/>
        <v>1.0010410827260351E-2</v>
      </c>
      <c r="AA628">
        <v>135194</v>
      </c>
      <c r="AB628">
        <v>24918</v>
      </c>
      <c r="AD628" t="s">
        <v>5</v>
      </c>
      <c r="AE628">
        <v>29</v>
      </c>
      <c r="AF628">
        <v>17</v>
      </c>
      <c r="AH628" t="s">
        <v>6010</v>
      </c>
      <c r="AI628" t="s">
        <v>6009</v>
      </c>
      <c r="AJ628" t="s">
        <v>6008</v>
      </c>
      <c r="AK628" t="s">
        <v>6007</v>
      </c>
      <c r="AL628">
        <v>97</v>
      </c>
      <c r="AM628" s="5">
        <f t="shared" si="74"/>
        <v>3.3448275862068964</v>
      </c>
      <c r="AN628" s="4">
        <f t="shared" si="79"/>
        <v>5.0660016451448634E-3</v>
      </c>
      <c r="AO628" s="3"/>
      <c r="AP628">
        <v>0</v>
      </c>
      <c r="AR628" t="s">
        <v>1</v>
      </c>
      <c r="AT628" s="2">
        <v>1.3140000000000001</v>
      </c>
      <c r="AU628" s="1">
        <f t="shared" si="75"/>
        <v>0.85270880726257048</v>
      </c>
      <c r="AV628" s="1">
        <f t="shared" si="76"/>
        <v>0.7538206236202607</v>
      </c>
      <c r="AW628" s="1">
        <f t="shared" si="77"/>
        <v>0.65493243997795092</v>
      </c>
    </row>
    <row r="629" spans="1:49" x14ac:dyDescent="0.2">
      <c r="A629">
        <v>627</v>
      </c>
      <c r="B629" t="s">
        <v>6006</v>
      </c>
      <c r="C629" t="s">
        <v>6005</v>
      </c>
      <c r="F629" t="s">
        <v>6004</v>
      </c>
      <c r="G629" t="s">
        <v>15</v>
      </c>
      <c r="H629" t="s">
        <v>14</v>
      </c>
      <c r="I629" t="s">
        <v>6003</v>
      </c>
      <c r="J629">
        <v>60000891</v>
      </c>
      <c r="K629" t="s">
        <v>2533</v>
      </c>
      <c r="L629" t="s">
        <v>2532</v>
      </c>
      <c r="M629" t="s">
        <v>493</v>
      </c>
      <c r="N629">
        <v>3</v>
      </c>
      <c r="O629" t="s">
        <v>6002</v>
      </c>
      <c r="P629" t="s">
        <v>6001</v>
      </c>
      <c r="Q629" t="s">
        <v>2529</v>
      </c>
      <c r="R629" s="7">
        <v>33970</v>
      </c>
      <c r="S629" s="8">
        <f t="shared" si="72"/>
        <v>1993</v>
      </c>
      <c r="T629" s="8">
        <v>1993</v>
      </c>
      <c r="U629" s="8">
        <f t="shared" si="73"/>
        <v>29</v>
      </c>
      <c r="V629" s="7">
        <v>34182</v>
      </c>
      <c r="W629" t="s">
        <v>868</v>
      </c>
      <c r="X629" s="2">
        <v>0.375</v>
      </c>
      <c r="Y629" s="6">
        <f t="shared" si="78"/>
        <v>1.0010410827260351E-2</v>
      </c>
      <c r="AA629">
        <v>135194</v>
      </c>
      <c r="AB629">
        <v>24918</v>
      </c>
      <c r="AD629" t="s">
        <v>5</v>
      </c>
      <c r="AE629">
        <v>29</v>
      </c>
      <c r="AF629">
        <v>17</v>
      </c>
      <c r="AH629" t="s">
        <v>6000</v>
      </c>
      <c r="AI629" t="s">
        <v>5999</v>
      </c>
      <c r="AJ629" t="s">
        <v>5998</v>
      </c>
      <c r="AK629" t="s">
        <v>5997</v>
      </c>
      <c r="AL629">
        <v>4</v>
      </c>
      <c r="AM629" s="5">
        <f t="shared" si="74"/>
        <v>0.13793103448275862</v>
      </c>
      <c r="AN629" s="4">
        <f t="shared" si="79"/>
        <v>2.089072843358707E-4</v>
      </c>
      <c r="AO629" s="3"/>
      <c r="AP629">
        <v>0</v>
      </c>
      <c r="AR629" t="s">
        <v>1</v>
      </c>
      <c r="AT629" s="2">
        <v>1.3140000000000001</v>
      </c>
      <c r="AU629" s="1">
        <f t="shared" si="75"/>
        <v>0.7069959764383007</v>
      </c>
      <c r="AV629" s="1">
        <f t="shared" si="76"/>
        <v>0.51096590557981103</v>
      </c>
      <c r="AW629" s="1">
        <f t="shared" si="77"/>
        <v>0.31493583472132147</v>
      </c>
    </row>
    <row r="630" spans="1:49" x14ac:dyDescent="0.2">
      <c r="A630">
        <v>628</v>
      </c>
      <c r="B630" t="s">
        <v>5996</v>
      </c>
      <c r="C630" t="s">
        <v>5995</v>
      </c>
      <c r="F630" t="s">
        <v>5994</v>
      </c>
      <c r="G630" t="s">
        <v>15</v>
      </c>
      <c r="H630" t="s">
        <v>14</v>
      </c>
      <c r="I630" t="s">
        <v>5993</v>
      </c>
      <c r="J630">
        <v>60023053</v>
      </c>
      <c r="K630" t="s">
        <v>2858</v>
      </c>
      <c r="L630" t="s">
        <v>2857</v>
      </c>
      <c r="M630" t="s">
        <v>10</v>
      </c>
      <c r="N630">
        <v>2</v>
      </c>
      <c r="O630" t="s">
        <v>5992</v>
      </c>
      <c r="P630" t="s">
        <v>5991</v>
      </c>
      <c r="Q630" t="s">
        <v>5990</v>
      </c>
      <c r="R630" s="7">
        <v>33970</v>
      </c>
      <c r="S630" s="8">
        <f t="shared" si="72"/>
        <v>1993</v>
      </c>
      <c r="T630" s="8">
        <v>1993</v>
      </c>
      <c r="U630" s="8">
        <f t="shared" si="73"/>
        <v>29</v>
      </c>
      <c r="V630" s="7">
        <v>34182</v>
      </c>
      <c r="W630" t="s">
        <v>2801</v>
      </c>
      <c r="X630" s="2">
        <v>0.65500000000000003</v>
      </c>
      <c r="Y630" s="6">
        <f t="shared" si="78"/>
        <v>1.7484850911614749E-2</v>
      </c>
      <c r="AA630">
        <v>189375</v>
      </c>
      <c r="AB630">
        <v>26051</v>
      </c>
      <c r="AC630" t="s">
        <v>2800</v>
      </c>
      <c r="AD630" t="s">
        <v>5</v>
      </c>
      <c r="AE630">
        <v>35</v>
      </c>
      <c r="AF630">
        <v>3</v>
      </c>
      <c r="AH630" t="s">
        <v>5989</v>
      </c>
      <c r="AI630" t="s">
        <v>5988</v>
      </c>
      <c r="AK630" t="s">
        <v>5987</v>
      </c>
      <c r="AL630">
        <v>108</v>
      </c>
      <c r="AM630" s="5">
        <f t="shared" si="74"/>
        <v>3.7241379310344827</v>
      </c>
      <c r="AN630" s="4">
        <f t="shared" si="79"/>
        <v>5.6404966770685081E-3</v>
      </c>
      <c r="AO630" s="3"/>
      <c r="AP630">
        <v>0</v>
      </c>
      <c r="AR630" t="s">
        <v>1</v>
      </c>
      <c r="AT630" s="2" t="s">
        <v>0</v>
      </c>
      <c r="AU630" s="1">
        <f t="shared" si="75"/>
        <v>1.3931544641250877</v>
      </c>
      <c r="AV630" s="1">
        <f t="shared" si="76"/>
        <v>1.1562673794341627</v>
      </c>
      <c r="AW630" s="1">
        <f t="shared" si="77"/>
        <v>0.91938029474323801</v>
      </c>
    </row>
    <row r="631" spans="1:49" x14ac:dyDescent="0.2">
      <c r="A631">
        <v>629</v>
      </c>
      <c r="B631" t="s">
        <v>5986</v>
      </c>
      <c r="C631" t="s">
        <v>5985</v>
      </c>
      <c r="F631" t="s">
        <v>5984</v>
      </c>
      <c r="G631" t="s">
        <v>15</v>
      </c>
      <c r="H631" t="s">
        <v>14</v>
      </c>
      <c r="I631" t="s">
        <v>5983</v>
      </c>
      <c r="J631">
        <v>60005322</v>
      </c>
      <c r="K631" t="s">
        <v>5982</v>
      </c>
      <c r="L631" t="s">
        <v>5981</v>
      </c>
      <c r="M631" t="s">
        <v>59</v>
      </c>
      <c r="N631">
        <v>2</v>
      </c>
      <c r="O631" t="s">
        <v>5980</v>
      </c>
      <c r="P631" t="s">
        <v>5979</v>
      </c>
      <c r="Q631" t="s">
        <v>5978</v>
      </c>
      <c r="R631" s="7">
        <v>33970</v>
      </c>
      <c r="S631" s="8">
        <f t="shared" si="72"/>
        <v>1993</v>
      </c>
      <c r="T631" s="8">
        <v>1993</v>
      </c>
      <c r="U631" s="8">
        <f t="shared" si="73"/>
        <v>29</v>
      </c>
      <c r="V631" s="7">
        <v>34182</v>
      </c>
      <c r="W631" t="s">
        <v>814</v>
      </c>
      <c r="X631" s="2">
        <v>1.6519999999999999</v>
      </c>
      <c r="Y631" s="6">
        <f t="shared" si="78"/>
        <v>4.409919649769093E-2</v>
      </c>
      <c r="AA631" t="s">
        <v>813</v>
      </c>
      <c r="AB631">
        <v>17337</v>
      </c>
      <c r="AC631">
        <v>15582221</v>
      </c>
      <c r="AD631" t="s">
        <v>5</v>
      </c>
      <c r="AE631">
        <v>41</v>
      </c>
      <c r="AF631">
        <v>8</v>
      </c>
      <c r="AH631" t="s">
        <v>5977</v>
      </c>
      <c r="AI631" t="s">
        <v>5976</v>
      </c>
      <c r="AK631" t="s">
        <v>5975</v>
      </c>
      <c r="AL631">
        <v>3</v>
      </c>
      <c r="AM631" s="5">
        <f t="shared" si="74"/>
        <v>0.10344827586206896</v>
      </c>
      <c r="AN631" s="4">
        <f t="shared" si="79"/>
        <v>1.5668046325190301E-4</v>
      </c>
      <c r="AO631" s="3"/>
      <c r="AP631">
        <v>0</v>
      </c>
      <c r="AR631" t="s">
        <v>1</v>
      </c>
      <c r="AT631" s="2" t="s">
        <v>0</v>
      </c>
      <c r="AU631" s="1">
        <f t="shared" si="75"/>
        <v>3.0916441687359222</v>
      </c>
      <c r="AV631" s="1">
        <f t="shared" si="76"/>
        <v>2.2127938480471414</v>
      </c>
      <c r="AW631" s="1">
        <f t="shared" si="77"/>
        <v>1.3339435273583611</v>
      </c>
    </row>
    <row r="632" spans="1:49" x14ac:dyDescent="0.2">
      <c r="A632">
        <v>630</v>
      </c>
      <c r="B632" t="s">
        <v>5974</v>
      </c>
      <c r="C632" t="s">
        <v>5973</v>
      </c>
      <c r="F632" t="s">
        <v>5972</v>
      </c>
      <c r="G632" t="s">
        <v>15</v>
      </c>
      <c r="H632" t="s">
        <v>14</v>
      </c>
      <c r="I632" t="s">
        <v>5971</v>
      </c>
      <c r="J632">
        <v>60022225</v>
      </c>
      <c r="K632" t="s">
        <v>5970</v>
      </c>
      <c r="L632" t="s">
        <v>5969</v>
      </c>
      <c r="M632" t="s">
        <v>10</v>
      </c>
      <c r="N632">
        <v>1</v>
      </c>
      <c r="O632" t="s">
        <v>5968</v>
      </c>
      <c r="P632">
        <v>7102186231</v>
      </c>
      <c r="Q632">
        <v>60022225</v>
      </c>
      <c r="R632" s="7">
        <v>33970</v>
      </c>
      <c r="S632" s="8">
        <f t="shared" si="72"/>
        <v>1993</v>
      </c>
      <c r="T632" s="8">
        <v>1993</v>
      </c>
      <c r="U632" s="8">
        <f t="shared" si="73"/>
        <v>29</v>
      </c>
      <c r="V632" s="7">
        <v>34182</v>
      </c>
      <c r="W632" t="s">
        <v>814</v>
      </c>
      <c r="X632" s="2">
        <v>1.6519999999999999</v>
      </c>
      <c r="Y632" s="6">
        <f t="shared" si="78"/>
        <v>4.409919649769093E-2</v>
      </c>
      <c r="AA632" t="s">
        <v>813</v>
      </c>
      <c r="AB632">
        <v>17337</v>
      </c>
      <c r="AC632">
        <v>15582221</v>
      </c>
      <c r="AD632" t="s">
        <v>5</v>
      </c>
      <c r="AE632">
        <v>41</v>
      </c>
      <c r="AF632">
        <v>8</v>
      </c>
      <c r="AH632" t="s">
        <v>5967</v>
      </c>
      <c r="AI632" t="s">
        <v>5966</v>
      </c>
      <c r="AK632" t="s">
        <v>5965</v>
      </c>
      <c r="AL632">
        <v>4</v>
      </c>
      <c r="AM632" s="5">
        <f t="shared" si="74"/>
        <v>0.13793103448275862</v>
      </c>
      <c r="AN632" s="4">
        <f t="shared" si="79"/>
        <v>2.089072843358707E-4</v>
      </c>
      <c r="AO632" s="3"/>
      <c r="AP632">
        <v>0</v>
      </c>
      <c r="AR632" t="s">
        <v>1</v>
      </c>
      <c r="AT632" s="2" t="s">
        <v>0</v>
      </c>
      <c r="AU632" s="1">
        <f t="shared" si="75"/>
        <v>3.093210973368441</v>
      </c>
      <c r="AV632" s="1">
        <f t="shared" si="76"/>
        <v>2.21540518910134</v>
      </c>
      <c r="AW632" s="1">
        <f t="shared" si="77"/>
        <v>1.3375994048342388</v>
      </c>
    </row>
    <row r="633" spans="1:49" x14ac:dyDescent="0.2">
      <c r="A633">
        <v>631</v>
      </c>
      <c r="B633" t="s">
        <v>5964</v>
      </c>
      <c r="C633" t="s">
        <v>5963</v>
      </c>
      <c r="F633" t="s">
        <v>5962</v>
      </c>
      <c r="G633" t="s">
        <v>15</v>
      </c>
      <c r="H633" t="s">
        <v>14</v>
      </c>
      <c r="I633" t="s">
        <v>5961</v>
      </c>
      <c r="J633">
        <v>60076690</v>
      </c>
      <c r="K633" t="s">
        <v>5960</v>
      </c>
      <c r="L633" t="s">
        <v>3516</v>
      </c>
      <c r="M633" t="s">
        <v>10</v>
      </c>
      <c r="N633">
        <v>1</v>
      </c>
      <c r="O633" t="s">
        <v>5959</v>
      </c>
      <c r="P633">
        <v>7004263090</v>
      </c>
      <c r="Q633">
        <v>60076690</v>
      </c>
      <c r="R633" s="7">
        <v>33970</v>
      </c>
      <c r="S633" s="8">
        <f t="shared" si="72"/>
        <v>1993</v>
      </c>
      <c r="T633" s="8">
        <v>1993</v>
      </c>
      <c r="U633" s="8">
        <f t="shared" si="73"/>
        <v>29</v>
      </c>
      <c r="V633" s="7">
        <v>34182</v>
      </c>
      <c r="W633" t="s">
        <v>814</v>
      </c>
      <c r="X633" s="2">
        <v>1.6519999999999999</v>
      </c>
      <c r="Y633" s="6">
        <f t="shared" si="78"/>
        <v>4.409919649769093E-2</v>
      </c>
      <c r="AA633" t="s">
        <v>813</v>
      </c>
      <c r="AB633">
        <v>17337</v>
      </c>
      <c r="AC633">
        <v>15582221</v>
      </c>
      <c r="AD633" t="s">
        <v>5</v>
      </c>
      <c r="AE633">
        <v>41</v>
      </c>
      <c r="AF633">
        <v>8</v>
      </c>
      <c r="AH633" t="s">
        <v>5958</v>
      </c>
      <c r="AI633" t="s">
        <v>5957</v>
      </c>
      <c r="AK633" t="s">
        <v>5956</v>
      </c>
      <c r="AL633">
        <v>8</v>
      </c>
      <c r="AM633" s="5">
        <f t="shared" si="74"/>
        <v>0.27586206896551724</v>
      </c>
      <c r="AN633" s="4">
        <f t="shared" si="79"/>
        <v>4.1781456867174139E-4</v>
      </c>
      <c r="AO633" s="3"/>
      <c r="AP633">
        <v>0</v>
      </c>
      <c r="AR633" t="s">
        <v>1</v>
      </c>
      <c r="AT633" s="2" t="s">
        <v>0</v>
      </c>
      <c r="AU633" s="1">
        <f t="shared" si="75"/>
        <v>3.099478191898517</v>
      </c>
      <c r="AV633" s="1">
        <f t="shared" si="76"/>
        <v>2.2258505533181339</v>
      </c>
      <c r="AW633" s="1">
        <f t="shared" si="77"/>
        <v>1.3522229147377498</v>
      </c>
    </row>
    <row r="634" spans="1:49" x14ac:dyDescent="0.2">
      <c r="A634">
        <v>632</v>
      </c>
      <c r="B634" t="s">
        <v>5955</v>
      </c>
      <c r="C634" t="s">
        <v>5954</v>
      </c>
      <c r="F634" t="s">
        <v>5953</v>
      </c>
      <c r="G634" t="s">
        <v>15</v>
      </c>
      <c r="H634" t="s">
        <v>14</v>
      </c>
      <c r="I634" t="s">
        <v>5952</v>
      </c>
      <c r="J634">
        <v>60008447</v>
      </c>
      <c r="K634" t="s">
        <v>1289</v>
      </c>
      <c r="L634" t="s">
        <v>1288</v>
      </c>
      <c r="M634" t="s">
        <v>303</v>
      </c>
      <c r="N634">
        <v>3</v>
      </c>
      <c r="O634" t="s">
        <v>5951</v>
      </c>
      <c r="P634" t="s">
        <v>5950</v>
      </c>
      <c r="Q634" t="s">
        <v>5949</v>
      </c>
      <c r="R634" s="7">
        <v>33970</v>
      </c>
      <c r="S634" s="8">
        <f t="shared" si="72"/>
        <v>1993</v>
      </c>
      <c r="T634" s="8">
        <v>1993</v>
      </c>
      <c r="U634" s="8">
        <f t="shared" si="73"/>
        <v>29</v>
      </c>
      <c r="V634" s="7">
        <v>34182</v>
      </c>
      <c r="W634" t="s">
        <v>2801</v>
      </c>
      <c r="X634" s="2">
        <v>0.65500000000000003</v>
      </c>
      <c r="Y634" s="6">
        <f t="shared" si="78"/>
        <v>1.7484850911614749E-2</v>
      </c>
      <c r="AA634">
        <v>189375</v>
      </c>
      <c r="AB634">
        <v>26051</v>
      </c>
      <c r="AC634" t="s">
        <v>2800</v>
      </c>
      <c r="AD634" t="s">
        <v>5</v>
      </c>
      <c r="AE634">
        <v>35</v>
      </c>
      <c r="AF634">
        <v>3</v>
      </c>
      <c r="AH634" t="s">
        <v>5948</v>
      </c>
      <c r="AI634" t="s">
        <v>5947</v>
      </c>
      <c r="AK634" t="s">
        <v>5946</v>
      </c>
      <c r="AL634">
        <v>35</v>
      </c>
      <c r="AM634" s="5">
        <f t="shared" si="74"/>
        <v>1.2068965517241379</v>
      </c>
      <c r="AN634" s="4">
        <f t="shared" si="79"/>
        <v>1.8279387379388685E-3</v>
      </c>
      <c r="AO634" s="3"/>
      <c r="AP634">
        <v>0</v>
      </c>
      <c r="AR634" t="s">
        <v>1</v>
      </c>
      <c r="AT634" s="2" t="s">
        <v>0</v>
      </c>
      <c r="AU634" s="1">
        <f t="shared" si="75"/>
        <v>1.2787777259511983</v>
      </c>
      <c r="AV634" s="1">
        <f t="shared" si="76"/>
        <v>0.96563948247768083</v>
      </c>
      <c r="AW634" s="1">
        <f t="shared" si="77"/>
        <v>0.65250123900416324</v>
      </c>
    </row>
    <row r="635" spans="1:49" x14ac:dyDescent="0.2">
      <c r="A635">
        <v>633</v>
      </c>
      <c r="B635" t="s">
        <v>5945</v>
      </c>
      <c r="C635" t="s">
        <v>5944</v>
      </c>
      <c r="F635" t="s">
        <v>5943</v>
      </c>
      <c r="G635" t="s">
        <v>15</v>
      </c>
      <c r="H635" t="s">
        <v>14</v>
      </c>
      <c r="I635" t="s">
        <v>5942</v>
      </c>
      <c r="J635">
        <v>60011357</v>
      </c>
      <c r="K635" t="s">
        <v>2437</v>
      </c>
      <c r="L635" t="s">
        <v>2436</v>
      </c>
      <c r="M635" t="s">
        <v>1909</v>
      </c>
      <c r="N635">
        <v>2</v>
      </c>
      <c r="O635" t="s">
        <v>5941</v>
      </c>
      <c r="P635" t="s">
        <v>5940</v>
      </c>
      <c r="Q635" t="s">
        <v>2433</v>
      </c>
      <c r="R635" s="7">
        <v>33970</v>
      </c>
      <c r="S635" s="8">
        <f t="shared" si="72"/>
        <v>1993</v>
      </c>
      <c r="T635" s="8">
        <v>1993</v>
      </c>
      <c r="U635" s="8">
        <f t="shared" si="73"/>
        <v>29</v>
      </c>
      <c r="V635" s="7">
        <v>34182</v>
      </c>
      <c r="W635" t="s">
        <v>548</v>
      </c>
      <c r="X635" s="2">
        <v>1.3720000000000001</v>
      </c>
      <c r="Y635" s="6">
        <f t="shared" si="78"/>
        <v>3.662475641333654E-2</v>
      </c>
      <c r="AA635">
        <v>189480</v>
      </c>
      <c r="AB635">
        <v>17366</v>
      </c>
      <c r="AC635">
        <v>15579670</v>
      </c>
      <c r="AD635" t="s">
        <v>5</v>
      </c>
      <c r="AE635">
        <v>41</v>
      </c>
      <c r="AF635">
        <v>8</v>
      </c>
      <c r="AH635" t="s">
        <v>5939</v>
      </c>
      <c r="AI635" t="s">
        <v>5938</v>
      </c>
      <c r="AK635" t="s">
        <v>5937</v>
      </c>
      <c r="AL635">
        <v>27</v>
      </c>
      <c r="AM635" s="5">
        <f t="shared" si="74"/>
        <v>0.93103448275862066</v>
      </c>
      <c r="AN635" s="4">
        <f t="shared" si="79"/>
        <v>1.410124169267127E-3</v>
      </c>
      <c r="AO635" s="3"/>
      <c r="AP635">
        <v>0</v>
      </c>
      <c r="AQ635" t="s">
        <v>4772</v>
      </c>
      <c r="AR635" t="s">
        <v>5936</v>
      </c>
      <c r="AS635" t="s">
        <v>4770</v>
      </c>
      <c r="AT635" s="2" t="s">
        <v>0</v>
      </c>
      <c r="AU635" s="1">
        <f t="shared" si="75"/>
        <v>2.6060366740115715</v>
      </c>
      <c r="AV635" s="1">
        <f t="shared" si="76"/>
        <v>1.9017440291301833</v>
      </c>
      <c r="AW635" s="1">
        <f t="shared" si="77"/>
        <v>1.1974513842487953</v>
      </c>
    </row>
    <row r="636" spans="1:49" x14ac:dyDescent="0.2">
      <c r="A636">
        <v>634</v>
      </c>
      <c r="B636" t="s">
        <v>5935</v>
      </c>
      <c r="C636" t="s">
        <v>5934</v>
      </c>
      <c r="F636" t="s">
        <v>5933</v>
      </c>
      <c r="G636" t="s">
        <v>15</v>
      </c>
      <c r="H636" t="s">
        <v>14</v>
      </c>
      <c r="I636" t="s">
        <v>5932</v>
      </c>
      <c r="J636">
        <v>116212111</v>
      </c>
      <c r="K636" t="s">
        <v>5931</v>
      </c>
      <c r="L636" t="s">
        <v>5930</v>
      </c>
      <c r="M636" t="s">
        <v>493</v>
      </c>
      <c r="N636">
        <v>3</v>
      </c>
      <c r="O636" t="s">
        <v>5929</v>
      </c>
      <c r="P636" t="s">
        <v>5928</v>
      </c>
      <c r="Q636" t="s">
        <v>5927</v>
      </c>
      <c r="R636" s="7">
        <v>33970</v>
      </c>
      <c r="S636" s="8">
        <f t="shared" si="72"/>
        <v>1993</v>
      </c>
      <c r="T636" s="8">
        <v>1993</v>
      </c>
      <c r="U636" s="8">
        <f t="shared" si="73"/>
        <v>29</v>
      </c>
      <c r="V636" s="7">
        <v>34182</v>
      </c>
      <c r="W636" t="s">
        <v>5644</v>
      </c>
      <c r="X636" s="2">
        <v>0.69399999999999995</v>
      </c>
      <c r="Y636" s="6">
        <f t="shared" si="78"/>
        <v>1.8525933637649823E-2</v>
      </c>
      <c r="AA636">
        <v>7038992</v>
      </c>
      <c r="AB636">
        <v>13809</v>
      </c>
      <c r="AC636">
        <v>17127971</v>
      </c>
      <c r="AD636" t="s">
        <v>5</v>
      </c>
      <c r="AE636">
        <v>19</v>
      </c>
      <c r="AF636">
        <v>3</v>
      </c>
      <c r="AH636" t="s">
        <v>5926</v>
      </c>
      <c r="AI636" t="s">
        <v>5925</v>
      </c>
      <c r="AK636" t="s">
        <v>5924</v>
      </c>
      <c r="AL636">
        <v>3</v>
      </c>
      <c r="AM636" s="5">
        <f t="shared" si="74"/>
        <v>0.10344827586206896</v>
      </c>
      <c r="AN636" s="4">
        <f t="shared" si="79"/>
        <v>1.5668046325190301E-4</v>
      </c>
      <c r="AO636" s="3"/>
      <c r="AP636">
        <v>0</v>
      </c>
      <c r="AR636" t="s">
        <v>1</v>
      </c>
      <c r="AT636" s="2">
        <v>2</v>
      </c>
      <c r="AU636" s="1">
        <f t="shared" si="75"/>
        <v>1.3015157685330447</v>
      </c>
      <c r="AV636" s="1">
        <f t="shared" si="76"/>
        <v>0.93413070504508622</v>
      </c>
      <c r="AW636" s="1">
        <f t="shared" si="77"/>
        <v>0.56674564155712781</v>
      </c>
    </row>
    <row r="637" spans="1:49" x14ac:dyDescent="0.2">
      <c r="A637">
        <v>635</v>
      </c>
      <c r="B637" t="s">
        <v>5923</v>
      </c>
      <c r="C637" t="s">
        <v>5922</v>
      </c>
      <c r="F637" t="s">
        <v>5921</v>
      </c>
      <c r="G637" t="s">
        <v>15</v>
      </c>
      <c r="H637" t="s">
        <v>14</v>
      </c>
      <c r="I637" t="s">
        <v>5920</v>
      </c>
      <c r="J637">
        <v>60107350</v>
      </c>
      <c r="K637" t="s">
        <v>4086</v>
      </c>
      <c r="L637" t="s">
        <v>4085</v>
      </c>
      <c r="M637" t="s">
        <v>150</v>
      </c>
      <c r="N637">
        <v>2</v>
      </c>
      <c r="O637" t="s">
        <v>5919</v>
      </c>
      <c r="P637" t="s">
        <v>5918</v>
      </c>
      <c r="Q637" t="s">
        <v>5917</v>
      </c>
      <c r="R637" s="7">
        <v>33970</v>
      </c>
      <c r="S637" s="8">
        <f t="shared" si="72"/>
        <v>1993</v>
      </c>
      <c r="T637" s="8">
        <v>1993</v>
      </c>
      <c r="U637" s="8">
        <f t="shared" si="73"/>
        <v>29</v>
      </c>
      <c r="V637" s="7">
        <v>34182</v>
      </c>
      <c r="W637" t="s">
        <v>3989</v>
      </c>
      <c r="X637" s="2">
        <v>0.76700000000000002</v>
      </c>
      <c r="Y637" s="6">
        <f t="shared" si="78"/>
        <v>2.0474626945356504E-2</v>
      </c>
      <c r="AA637">
        <v>983063</v>
      </c>
      <c r="AB637">
        <v>26048</v>
      </c>
      <c r="AD637" t="s">
        <v>5</v>
      </c>
      <c r="AE637">
        <v>39</v>
      </c>
      <c r="AF637">
        <v>3</v>
      </c>
      <c r="AH637" t="s">
        <v>5916</v>
      </c>
      <c r="AI637" t="s">
        <v>5915</v>
      </c>
      <c r="AK637" t="s">
        <v>5914</v>
      </c>
      <c r="AL637">
        <v>1</v>
      </c>
      <c r="AM637" s="5">
        <f t="shared" si="74"/>
        <v>3.4482758620689655E-2</v>
      </c>
      <c r="AN637" s="4">
        <f t="shared" si="79"/>
        <v>5.2226821083967674E-5</v>
      </c>
      <c r="AO637" s="3"/>
      <c r="AP637">
        <v>0</v>
      </c>
      <c r="AR637" t="s">
        <v>1</v>
      </c>
      <c r="AT637" s="2" t="s">
        <v>0</v>
      </c>
      <c r="AU637" s="1">
        <f t="shared" si="75"/>
        <v>1.4347906908074743</v>
      </c>
      <c r="AV637" s="1">
        <f t="shared" si="76"/>
        <v>1.0263426883220235</v>
      </c>
      <c r="AW637" s="1">
        <f t="shared" si="77"/>
        <v>0.61789468583657281</v>
      </c>
    </row>
    <row r="638" spans="1:49" x14ac:dyDescent="0.2">
      <c r="A638">
        <v>636</v>
      </c>
      <c r="B638" t="s">
        <v>5913</v>
      </c>
      <c r="C638" t="s">
        <v>5912</v>
      </c>
      <c r="F638" t="s">
        <v>5911</v>
      </c>
      <c r="G638" t="s">
        <v>15</v>
      </c>
      <c r="H638" t="s">
        <v>14</v>
      </c>
      <c r="I638" t="s">
        <v>5910</v>
      </c>
      <c r="J638" t="s">
        <v>5909</v>
      </c>
      <c r="K638" t="s">
        <v>5908</v>
      </c>
      <c r="L638" t="s">
        <v>5907</v>
      </c>
      <c r="M638" t="s">
        <v>5906</v>
      </c>
      <c r="N638">
        <v>2</v>
      </c>
      <c r="O638" t="s">
        <v>5905</v>
      </c>
      <c r="P638" t="s">
        <v>5904</v>
      </c>
      <c r="Q638" t="s">
        <v>5903</v>
      </c>
      <c r="R638" s="7">
        <v>33970</v>
      </c>
      <c r="S638" s="8">
        <f t="shared" si="72"/>
        <v>1993</v>
      </c>
      <c r="T638" s="8">
        <v>1993</v>
      </c>
      <c r="U638" s="8">
        <f t="shared" si="73"/>
        <v>29</v>
      </c>
      <c r="V638" s="7">
        <v>34182</v>
      </c>
      <c r="W638" t="s">
        <v>814</v>
      </c>
      <c r="X638" s="2">
        <v>1.6519999999999999</v>
      </c>
      <c r="Y638" s="6">
        <f t="shared" si="78"/>
        <v>4.409919649769093E-2</v>
      </c>
      <c r="AA638" t="s">
        <v>813</v>
      </c>
      <c r="AB638">
        <v>17337</v>
      </c>
      <c r="AC638">
        <v>15582221</v>
      </c>
      <c r="AD638" t="s">
        <v>5</v>
      </c>
      <c r="AE638">
        <v>41</v>
      </c>
      <c r="AF638">
        <v>8</v>
      </c>
      <c r="AH638" t="s">
        <v>5902</v>
      </c>
      <c r="AI638" t="s">
        <v>5901</v>
      </c>
      <c r="AK638" t="s">
        <v>5900</v>
      </c>
      <c r="AL638">
        <v>15</v>
      </c>
      <c r="AM638" s="5">
        <f t="shared" si="74"/>
        <v>0.51724137931034486</v>
      </c>
      <c r="AN638" s="4">
        <f t="shared" si="79"/>
        <v>7.834023162595151E-4</v>
      </c>
      <c r="AO638" s="3"/>
      <c r="AP638">
        <v>0</v>
      </c>
      <c r="AR638" t="s">
        <v>1</v>
      </c>
      <c r="AT638" s="2" t="s">
        <v>0</v>
      </c>
      <c r="AU638" s="1">
        <f t="shared" si="75"/>
        <v>3.1104458243261508</v>
      </c>
      <c r="AV638" s="1">
        <f t="shared" si="76"/>
        <v>2.2441299406975221</v>
      </c>
      <c r="AW638" s="1">
        <f t="shared" si="77"/>
        <v>1.3778140570688939</v>
      </c>
    </row>
    <row r="639" spans="1:49" x14ac:dyDescent="0.2">
      <c r="A639">
        <v>637</v>
      </c>
      <c r="B639" t="s">
        <v>5899</v>
      </c>
      <c r="C639" t="s">
        <v>5898</v>
      </c>
      <c r="F639" t="s">
        <v>5897</v>
      </c>
      <c r="G639" t="s">
        <v>15</v>
      </c>
      <c r="H639" t="s">
        <v>14</v>
      </c>
      <c r="I639" t="s">
        <v>5896</v>
      </c>
      <c r="J639">
        <v>60023053</v>
      </c>
      <c r="K639" t="s">
        <v>2858</v>
      </c>
      <c r="L639" t="s">
        <v>2857</v>
      </c>
      <c r="M639" t="s">
        <v>10</v>
      </c>
      <c r="N639">
        <v>1</v>
      </c>
      <c r="O639" t="s">
        <v>5895</v>
      </c>
      <c r="P639">
        <v>7004270508</v>
      </c>
      <c r="Q639">
        <v>60023053</v>
      </c>
      <c r="R639" s="7">
        <v>33970</v>
      </c>
      <c r="S639" s="8">
        <f t="shared" si="72"/>
        <v>1993</v>
      </c>
      <c r="T639" s="8">
        <v>1993</v>
      </c>
      <c r="U639" s="8">
        <f t="shared" si="73"/>
        <v>29</v>
      </c>
      <c r="V639" s="7">
        <v>34182</v>
      </c>
      <c r="W639" t="s">
        <v>814</v>
      </c>
      <c r="X639" s="2">
        <v>1.6519999999999999</v>
      </c>
      <c r="Y639" s="6">
        <f t="shared" si="78"/>
        <v>4.409919649769093E-2</v>
      </c>
      <c r="AA639" t="s">
        <v>813</v>
      </c>
      <c r="AB639">
        <v>17337</v>
      </c>
      <c r="AC639">
        <v>15582221</v>
      </c>
      <c r="AD639" t="s">
        <v>5</v>
      </c>
      <c r="AE639">
        <v>41</v>
      </c>
      <c r="AF639">
        <v>8</v>
      </c>
      <c r="AH639" t="s">
        <v>5894</v>
      </c>
      <c r="AI639" t="s">
        <v>5893</v>
      </c>
      <c r="AK639" t="s">
        <v>5892</v>
      </c>
      <c r="AL639">
        <v>24</v>
      </c>
      <c r="AM639" s="5">
        <f t="shared" si="74"/>
        <v>0.82758620689655171</v>
      </c>
      <c r="AN639" s="4">
        <f t="shared" si="79"/>
        <v>1.2534437060152241E-3</v>
      </c>
      <c r="AO639" s="3"/>
      <c r="AP639">
        <v>0</v>
      </c>
      <c r="AR639" t="s">
        <v>1</v>
      </c>
      <c r="AT639" s="2" t="s">
        <v>0</v>
      </c>
      <c r="AU639" s="1">
        <f t="shared" si="75"/>
        <v>3.1245470660188217</v>
      </c>
      <c r="AV639" s="1">
        <f t="shared" si="76"/>
        <v>2.2676320101853076</v>
      </c>
      <c r="AW639" s="1">
        <f t="shared" si="77"/>
        <v>1.4107169543517935</v>
      </c>
    </row>
    <row r="640" spans="1:49" x14ac:dyDescent="0.2">
      <c r="A640">
        <v>638</v>
      </c>
      <c r="B640" t="s">
        <v>5891</v>
      </c>
      <c r="C640" t="s">
        <v>5890</v>
      </c>
      <c r="F640" t="s">
        <v>5889</v>
      </c>
      <c r="G640" t="s">
        <v>15</v>
      </c>
      <c r="H640" t="s">
        <v>14</v>
      </c>
      <c r="I640" t="s">
        <v>5888</v>
      </c>
      <c r="J640">
        <v>60025778</v>
      </c>
      <c r="K640" t="s">
        <v>3404</v>
      </c>
      <c r="L640" t="s">
        <v>1317</v>
      </c>
      <c r="M640" t="s">
        <v>10</v>
      </c>
      <c r="N640">
        <v>2</v>
      </c>
      <c r="O640" t="s">
        <v>5887</v>
      </c>
      <c r="P640" t="s">
        <v>5886</v>
      </c>
      <c r="Q640" t="s">
        <v>4730</v>
      </c>
      <c r="R640" s="7">
        <v>33970</v>
      </c>
      <c r="S640" s="8">
        <f t="shared" si="72"/>
        <v>1993</v>
      </c>
      <c r="T640" s="8">
        <v>1993</v>
      </c>
      <c r="U640" s="8">
        <f t="shared" si="73"/>
        <v>29</v>
      </c>
      <c r="V640" s="7">
        <v>34182</v>
      </c>
      <c r="W640" t="s">
        <v>814</v>
      </c>
      <c r="X640" s="2">
        <v>1.6519999999999999</v>
      </c>
      <c r="Y640" s="6">
        <f t="shared" si="78"/>
        <v>4.409919649769093E-2</v>
      </c>
      <c r="AA640" t="s">
        <v>813</v>
      </c>
      <c r="AB640">
        <v>17337</v>
      </c>
      <c r="AC640">
        <v>15582221</v>
      </c>
      <c r="AD640" t="s">
        <v>5</v>
      </c>
      <c r="AE640">
        <v>41</v>
      </c>
      <c r="AF640">
        <v>8</v>
      </c>
      <c r="AH640" t="s">
        <v>5885</v>
      </c>
      <c r="AI640" t="s">
        <v>5884</v>
      </c>
      <c r="AK640" t="s">
        <v>5883</v>
      </c>
      <c r="AL640">
        <v>3</v>
      </c>
      <c r="AM640" s="5">
        <f t="shared" si="74"/>
        <v>0.10344827586206896</v>
      </c>
      <c r="AN640" s="4">
        <f t="shared" si="79"/>
        <v>1.5668046325190301E-4</v>
      </c>
      <c r="AO640" s="3"/>
      <c r="AP640">
        <v>0</v>
      </c>
      <c r="AR640" t="s">
        <v>1</v>
      </c>
      <c r="AT640" s="2" t="s">
        <v>0</v>
      </c>
      <c r="AU640" s="1">
        <f t="shared" si="75"/>
        <v>3.0916441687359222</v>
      </c>
      <c r="AV640" s="1">
        <f t="shared" si="76"/>
        <v>2.2127938480471414</v>
      </c>
      <c r="AW640" s="1">
        <f t="shared" si="77"/>
        <v>1.3339435273583611</v>
      </c>
    </row>
    <row r="641" spans="1:49" x14ac:dyDescent="0.2">
      <c r="A641">
        <v>639</v>
      </c>
      <c r="B641" t="s">
        <v>5882</v>
      </c>
      <c r="C641" t="s">
        <v>5881</v>
      </c>
      <c r="F641" t="s">
        <v>5880</v>
      </c>
      <c r="G641" t="s">
        <v>15</v>
      </c>
      <c r="H641" t="s">
        <v>14</v>
      </c>
      <c r="I641" t="s">
        <v>5879</v>
      </c>
      <c r="J641" t="s">
        <v>5878</v>
      </c>
      <c r="K641" t="s">
        <v>5877</v>
      </c>
      <c r="L641" t="s">
        <v>5876</v>
      </c>
      <c r="M641" t="s">
        <v>235</v>
      </c>
      <c r="N641">
        <v>3</v>
      </c>
      <c r="O641" t="s">
        <v>5875</v>
      </c>
      <c r="P641" t="s">
        <v>5874</v>
      </c>
      <c r="Q641" t="s">
        <v>5873</v>
      </c>
      <c r="R641" s="7">
        <v>33970</v>
      </c>
      <c r="S641" s="8">
        <f t="shared" ref="S641:S704" si="80">YEAR(R641)</f>
        <v>1993</v>
      </c>
      <c r="T641" s="8">
        <v>1993</v>
      </c>
      <c r="U641" s="8">
        <f t="shared" ref="U641:U704" si="81">2022-T641</f>
        <v>29</v>
      </c>
      <c r="V641" s="7">
        <v>34182</v>
      </c>
      <c r="W641" t="s">
        <v>814</v>
      </c>
      <c r="X641" s="2">
        <v>1.6519999999999999</v>
      </c>
      <c r="Y641" s="6">
        <f t="shared" si="78"/>
        <v>4.409919649769093E-2</v>
      </c>
      <c r="AA641" t="s">
        <v>813</v>
      </c>
      <c r="AB641">
        <v>17337</v>
      </c>
      <c r="AC641">
        <v>15582221</v>
      </c>
      <c r="AD641" t="s">
        <v>5</v>
      </c>
      <c r="AE641">
        <v>41</v>
      </c>
      <c r="AF641">
        <v>8</v>
      </c>
      <c r="AH641" t="s">
        <v>5872</v>
      </c>
      <c r="AI641" t="s">
        <v>5871</v>
      </c>
      <c r="AK641" t="s">
        <v>5870</v>
      </c>
      <c r="AL641">
        <v>4</v>
      </c>
      <c r="AM641" s="5">
        <f t="shared" ref="AM641:AM704" si="82">AL641/U641</f>
        <v>0.13793103448275862</v>
      </c>
      <c r="AN641" s="4">
        <f t="shared" si="79"/>
        <v>2.089072843358707E-4</v>
      </c>
      <c r="AO641" s="3"/>
      <c r="AP641">
        <v>0</v>
      </c>
      <c r="AR641" t="s">
        <v>1</v>
      </c>
      <c r="AT641" s="2" t="s">
        <v>0</v>
      </c>
      <c r="AU641" s="1">
        <f t="shared" ref="AU641:AU704" si="83">(Y641*0.7+AN641*0.3)*100</f>
        <v>3.093210973368441</v>
      </c>
      <c r="AV641" s="1">
        <f t="shared" ref="AV641:AV704" si="84">(Y641*0.5+AN641*0.5)*100</f>
        <v>2.21540518910134</v>
      </c>
      <c r="AW641" s="1">
        <f t="shared" ref="AW641:AW704" si="85">(Y641*0.3+AN641*0.7)*100</f>
        <v>1.3375994048342388</v>
      </c>
    </row>
    <row r="642" spans="1:49" x14ac:dyDescent="0.2">
      <c r="A642">
        <v>640</v>
      </c>
      <c r="B642" t="s">
        <v>5869</v>
      </c>
      <c r="C642" t="s">
        <v>5868</v>
      </c>
      <c r="F642" t="s">
        <v>5867</v>
      </c>
      <c r="G642" t="s">
        <v>15</v>
      </c>
      <c r="H642" t="s">
        <v>14</v>
      </c>
      <c r="I642" t="s">
        <v>5866</v>
      </c>
      <c r="J642">
        <v>60010547</v>
      </c>
      <c r="K642" t="s">
        <v>5865</v>
      </c>
      <c r="L642" t="s">
        <v>194</v>
      </c>
      <c r="M642" t="s">
        <v>10</v>
      </c>
      <c r="N642">
        <v>2</v>
      </c>
      <c r="O642" t="s">
        <v>5864</v>
      </c>
      <c r="P642" t="s">
        <v>5863</v>
      </c>
      <c r="Q642" t="s">
        <v>5862</v>
      </c>
      <c r="R642" s="7">
        <v>33970</v>
      </c>
      <c r="S642" s="8">
        <f t="shared" si="80"/>
        <v>1993</v>
      </c>
      <c r="T642" s="8">
        <v>1993</v>
      </c>
      <c r="U642" s="8">
        <f t="shared" si="81"/>
        <v>29</v>
      </c>
      <c r="V642" s="7" t="s">
        <v>5626</v>
      </c>
      <c r="W642" s="11" t="s">
        <v>2393</v>
      </c>
      <c r="X642" s="2">
        <v>2.383</v>
      </c>
      <c r="Y642" s="6">
        <f t="shared" ref="Y642:Y705" si="86">(X642-$Z$4)/($Z$3-$Z$4)</f>
        <v>6.3612824003630442E-2</v>
      </c>
      <c r="AA642" t="s">
        <v>2392</v>
      </c>
      <c r="AB642">
        <v>101151</v>
      </c>
      <c r="AD642" t="s">
        <v>5</v>
      </c>
      <c r="AE642">
        <v>140</v>
      </c>
      <c r="AF642">
        <v>4</v>
      </c>
      <c r="AH642" t="s">
        <v>5861</v>
      </c>
      <c r="AI642" t="s">
        <v>5860</v>
      </c>
      <c r="AK642" t="s">
        <v>5859</v>
      </c>
      <c r="AL642">
        <v>14</v>
      </c>
      <c r="AM642" s="5">
        <f t="shared" si="82"/>
        <v>0.48275862068965519</v>
      </c>
      <c r="AN642" s="4">
        <f t="shared" ref="AN642:AN705" si="87">(AM642-$AO$4)/($AO$3-$AO$4)</f>
        <v>7.3117549517554741E-4</v>
      </c>
      <c r="AO642" s="3"/>
      <c r="AP642">
        <v>0</v>
      </c>
      <c r="AR642" t="s">
        <v>1</v>
      </c>
      <c r="AT642" s="2" t="s">
        <v>0</v>
      </c>
      <c r="AU642" s="1">
        <f t="shared" si="83"/>
        <v>4.4748329451093971</v>
      </c>
      <c r="AV642" s="1">
        <f t="shared" si="84"/>
        <v>3.2171999749403</v>
      </c>
      <c r="AW642" s="1">
        <f t="shared" si="85"/>
        <v>1.9595670047712015</v>
      </c>
    </row>
    <row r="643" spans="1:49" x14ac:dyDescent="0.2">
      <c r="A643">
        <v>641</v>
      </c>
      <c r="B643" t="s">
        <v>5858</v>
      </c>
      <c r="C643" t="s">
        <v>5857</v>
      </c>
      <c r="F643" t="s">
        <v>5856</v>
      </c>
      <c r="G643" t="s">
        <v>15</v>
      </c>
      <c r="H643" t="s">
        <v>14</v>
      </c>
      <c r="I643" t="s">
        <v>5855</v>
      </c>
      <c r="N643">
        <v>2</v>
      </c>
      <c r="O643" t="s">
        <v>5854</v>
      </c>
      <c r="P643" t="s">
        <v>5853</v>
      </c>
      <c r="Q643" t="s">
        <v>1557</v>
      </c>
      <c r="R643" s="7">
        <v>33970</v>
      </c>
      <c r="S643" s="8">
        <f t="shared" si="80"/>
        <v>1993</v>
      </c>
      <c r="T643" s="8">
        <v>1993</v>
      </c>
      <c r="U643" s="8">
        <f t="shared" si="81"/>
        <v>29</v>
      </c>
      <c r="V643" s="7" t="s">
        <v>5626</v>
      </c>
      <c r="W643" s="11" t="s">
        <v>2393</v>
      </c>
      <c r="X643" s="2">
        <v>2.383</v>
      </c>
      <c r="Y643" s="6">
        <f t="shared" si="86"/>
        <v>6.3612824003630442E-2</v>
      </c>
      <c r="AA643" t="s">
        <v>2392</v>
      </c>
      <c r="AB643">
        <v>101151</v>
      </c>
      <c r="AD643" t="s">
        <v>5</v>
      </c>
      <c r="AE643">
        <v>140</v>
      </c>
      <c r="AF643">
        <v>4</v>
      </c>
      <c r="AH643" t="s">
        <v>5852</v>
      </c>
      <c r="AI643" t="s">
        <v>5851</v>
      </c>
      <c r="AK643" t="s">
        <v>5850</v>
      </c>
      <c r="AL643">
        <v>2</v>
      </c>
      <c r="AM643" s="5">
        <f t="shared" si="82"/>
        <v>6.8965517241379309E-2</v>
      </c>
      <c r="AN643" s="4">
        <f t="shared" si="87"/>
        <v>1.0445364216793535E-4</v>
      </c>
      <c r="AO643" s="3"/>
      <c r="AP643">
        <v>0</v>
      </c>
      <c r="AR643" t="s">
        <v>1</v>
      </c>
      <c r="AT643" s="2" t="s">
        <v>0</v>
      </c>
      <c r="AU643" s="1">
        <f t="shared" si="83"/>
        <v>4.4560312895191689</v>
      </c>
      <c r="AV643" s="1">
        <f t="shared" si="84"/>
        <v>3.1858638822899188</v>
      </c>
      <c r="AW643" s="1">
        <f t="shared" si="85"/>
        <v>1.9156964750606686</v>
      </c>
    </row>
    <row r="644" spans="1:49" x14ac:dyDescent="0.2">
      <c r="A644">
        <v>642</v>
      </c>
      <c r="B644" t="s">
        <v>5849</v>
      </c>
      <c r="C644" t="s">
        <v>5848</v>
      </c>
      <c r="F644" t="s">
        <v>5847</v>
      </c>
      <c r="G644" t="s">
        <v>15</v>
      </c>
      <c r="H644" t="s">
        <v>14</v>
      </c>
      <c r="I644" t="s">
        <v>5846</v>
      </c>
      <c r="J644">
        <v>60029714</v>
      </c>
      <c r="K644" t="s">
        <v>4530</v>
      </c>
      <c r="L644" t="s">
        <v>4529</v>
      </c>
      <c r="M644" t="s">
        <v>2371</v>
      </c>
      <c r="N644">
        <v>2</v>
      </c>
      <c r="O644" t="s">
        <v>5845</v>
      </c>
      <c r="P644" t="s">
        <v>5844</v>
      </c>
      <c r="Q644" t="s">
        <v>5843</v>
      </c>
      <c r="R644" s="7">
        <v>33970</v>
      </c>
      <c r="S644" s="8">
        <f t="shared" si="80"/>
        <v>1993</v>
      </c>
      <c r="T644" s="8">
        <v>1993</v>
      </c>
      <c r="U644" s="8">
        <f t="shared" si="81"/>
        <v>29</v>
      </c>
      <c r="V644" s="7">
        <v>34182</v>
      </c>
      <c r="W644" t="s">
        <v>814</v>
      </c>
      <c r="X644" s="2">
        <v>1.6519999999999999</v>
      </c>
      <c r="Y644" s="6">
        <f t="shared" si="86"/>
        <v>4.409919649769093E-2</v>
      </c>
      <c r="AA644" t="s">
        <v>813</v>
      </c>
      <c r="AB644">
        <v>17337</v>
      </c>
      <c r="AC644">
        <v>15582221</v>
      </c>
      <c r="AD644" t="s">
        <v>5</v>
      </c>
      <c r="AE644">
        <v>41</v>
      </c>
      <c r="AF644">
        <v>8</v>
      </c>
      <c r="AH644" t="s">
        <v>5842</v>
      </c>
      <c r="AI644" t="s">
        <v>5841</v>
      </c>
      <c r="AK644" t="s">
        <v>5840</v>
      </c>
      <c r="AL644">
        <v>22</v>
      </c>
      <c r="AM644" s="5">
        <f t="shared" si="82"/>
        <v>0.75862068965517238</v>
      </c>
      <c r="AN644" s="4">
        <f t="shared" si="87"/>
        <v>1.1489900638472887E-3</v>
      </c>
      <c r="AO644" s="3"/>
      <c r="AP644">
        <v>0</v>
      </c>
      <c r="AR644" t="s">
        <v>1</v>
      </c>
      <c r="AT644" s="2" t="s">
        <v>0</v>
      </c>
      <c r="AU644" s="1">
        <f t="shared" si="83"/>
        <v>3.1214134567537837</v>
      </c>
      <c r="AV644" s="1">
        <f t="shared" si="84"/>
        <v>2.2624093280769109</v>
      </c>
      <c r="AW644" s="1">
        <f t="shared" si="85"/>
        <v>1.4034051994000381</v>
      </c>
    </row>
    <row r="645" spans="1:49" x14ac:dyDescent="0.2">
      <c r="A645">
        <v>643</v>
      </c>
      <c r="B645" t="s">
        <v>5839</v>
      </c>
      <c r="C645" t="s">
        <v>5838</v>
      </c>
      <c r="F645" t="s">
        <v>5837</v>
      </c>
      <c r="G645" t="s">
        <v>15</v>
      </c>
      <c r="H645" t="s">
        <v>14</v>
      </c>
      <c r="I645" t="s">
        <v>5836</v>
      </c>
      <c r="J645">
        <v>60004750</v>
      </c>
      <c r="K645" t="s">
        <v>3291</v>
      </c>
      <c r="L645" t="s">
        <v>3290</v>
      </c>
      <c r="M645" t="s">
        <v>576</v>
      </c>
      <c r="N645">
        <v>2</v>
      </c>
      <c r="O645" t="s">
        <v>5835</v>
      </c>
      <c r="P645" t="s">
        <v>5834</v>
      </c>
      <c r="Q645" t="s">
        <v>5833</v>
      </c>
      <c r="R645" s="7">
        <v>33970</v>
      </c>
      <c r="S645" s="8">
        <f t="shared" si="80"/>
        <v>1993</v>
      </c>
      <c r="T645" s="8">
        <v>1993</v>
      </c>
      <c r="U645" s="8">
        <f t="shared" si="81"/>
        <v>29</v>
      </c>
      <c r="V645" s="7">
        <v>34182</v>
      </c>
      <c r="W645" t="s">
        <v>868</v>
      </c>
      <c r="X645" s="2">
        <v>0.375</v>
      </c>
      <c r="Y645" s="6">
        <f t="shared" si="86"/>
        <v>1.0010410827260351E-2</v>
      </c>
      <c r="AA645">
        <v>135194</v>
      </c>
      <c r="AB645">
        <v>24918</v>
      </c>
      <c r="AD645" t="s">
        <v>5</v>
      </c>
      <c r="AE645">
        <v>29</v>
      </c>
      <c r="AF645">
        <v>17</v>
      </c>
      <c r="AH645" t="s">
        <v>5832</v>
      </c>
      <c r="AI645" t="s">
        <v>5831</v>
      </c>
      <c r="AJ645" t="s">
        <v>5830</v>
      </c>
      <c r="AK645" t="s">
        <v>5829</v>
      </c>
      <c r="AL645">
        <v>1</v>
      </c>
      <c r="AM645" s="5">
        <f t="shared" si="82"/>
        <v>3.4482758620689655E-2</v>
      </c>
      <c r="AN645" s="4">
        <f t="shared" si="87"/>
        <v>5.2226821083967674E-5</v>
      </c>
      <c r="AO645" s="3"/>
      <c r="AP645">
        <v>0</v>
      </c>
      <c r="AR645" t="s">
        <v>1</v>
      </c>
      <c r="AT645" s="2">
        <v>1.3140000000000001</v>
      </c>
      <c r="AU645" s="1">
        <f t="shared" si="83"/>
        <v>0.70229556254074355</v>
      </c>
      <c r="AV645" s="1">
        <f t="shared" si="84"/>
        <v>0.50313188241721596</v>
      </c>
      <c r="AW645" s="1">
        <f t="shared" si="85"/>
        <v>0.30396820229368826</v>
      </c>
    </row>
    <row r="646" spans="1:49" x14ac:dyDescent="0.2">
      <c r="A646">
        <v>644</v>
      </c>
      <c r="B646" t="s">
        <v>5828</v>
      </c>
      <c r="C646" t="s">
        <v>5827</v>
      </c>
      <c r="F646" t="s">
        <v>5826</v>
      </c>
      <c r="G646" t="s">
        <v>15</v>
      </c>
      <c r="H646" t="s">
        <v>14</v>
      </c>
      <c r="I646" t="s">
        <v>5825</v>
      </c>
      <c r="J646">
        <v>60023456</v>
      </c>
      <c r="K646" t="s">
        <v>5381</v>
      </c>
      <c r="L646" t="s">
        <v>3686</v>
      </c>
      <c r="M646" t="s">
        <v>10</v>
      </c>
      <c r="N646">
        <v>1</v>
      </c>
      <c r="O646" t="s">
        <v>5824</v>
      </c>
      <c r="P646">
        <v>7006783653</v>
      </c>
      <c r="Q646">
        <v>60023456</v>
      </c>
      <c r="R646" s="7">
        <v>33970</v>
      </c>
      <c r="S646" s="8">
        <f t="shared" si="80"/>
        <v>1993</v>
      </c>
      <c r="T646" s="8">
        <v>1993</v>
      </c>
      <c r="U646" s="8">
        <f t="shared" si="81"/>
        <v>29</v>
      </c>
      <c r="V646" s="7">
        <v>34182</v>
      </c>
      <c r="W646" t="s">
        <v>868</v>
      </c>
      <c r="X646" s="2">
        <v>0.375</v>
      </c>
      <c r="Y646" s="6">
        <f t="shared" si="86"/>
        <v>1.0010410827260351E-2</v>
      </c>
      <c r="AA646">
        <v>135194</v>
      </c>
      <c r="AB646">
        <v>24918</v>
      </c>
      <c r="AD646" t="s">
        <v>5</v>
      </c>
      <c r="AE646">
        <v>29</v>
      </c>
      <c r="AF646">
        <v>17</v>
      </c>
      <c r="AH646" t="s">
        <v>5823</v>
      </c>
      <c r="AI646" t="s">
        <v>5822</v>
      </c>
      <c r="AJ646" t="s">
        <v>5821</v>
      </c>
      <c r="AK646" t="s">
        <v>5820</v>
      </c>
      <c r="AL646">
        <v>4</v>
      </c>
      <c r="AM646" s="5">
        <f t="shared" si="82"/>
        <v>0.13793103448275862</v>
      </c>
      <c r="AN646" s="4">
        <f t="shared" si="87"/>
        <v>2.089072843358707E-4</v>
      </c>
      <c r="AO646" s="3"/>
      <c r="AP646">
        <v>0</v>
      </c>
      <c r="AR646" t="s">
        <v>1</v>
      </c>
      <c r="AT646" s="2">
        <v>1.3140000000000001</v>
      </c>
      <c r="AU646" s="1">
        <f t="shared" si="83"/>
        <v>0.7069959764383007</v>
      </c>
      <c r="AV646" s="1">
        <f t="shared" si="84"/>
        <v>0.51096590557981103</v>
      </c>
      <c r="AW646" s="1">
        <f t="shared" si="85"/>
        <v>0.31493583472132147</v>
      </c>
    </row>
    <row r="647" spans="1:49" x14ac:dyDescent="0.2">
      <c r="A647">
        <v>645</v>
      </c>
      <c r="B647" t="s">
        <v>5819</v>
      </c>
      <c r="C647" t="s">
        <v>5818</v>
      </c>
      <c r="F647" t="s">
        <v>5817</v>
      </c>
      <c r="G647" t="s">
        <v>15</v>
      </c>
      <c r="H647" t="s">
        <v>14</v>
      </c>
      <c r="I647" t="s">
        <v>3730</v>
      </c>
      <c r="J647">
        <v>60030553</v>
      </c>
      <c r="K647" t="s">
        <v>305</v>
      </c>
      <c r="L647" t="s">
        <v>304</v>
      </c>
      <c r="M647" t="s">
        <v>303</v>
      </c>
      <c r="N647">
        <v>3</v>
      </c>
      <c r="O647" t="s">
        <v>3729</v>
      </c>
      <c r="P647" t="s">
        <v>3728</v>
      </c>
      <c r="Q647" t="s">
        <v>2892</v>
      </c>
      <c r="R647" s="7">
        <v>33970</v>
      </c>
      <c r="S647" s="8">
        <f t="shared" si="80"/>
        <v>1993</v>
      </c>
      <c r="T647" s="8">
        <v>1993</v>
      </c>
      <c r="U647" s="8">
        <f t="shared" si="81"/>
        <v>29</v>
      </c>
      <c r="V647" s="7">
        <v>34182</v>
      </c>
      <c r="W647" t="s">
        <v>868</v>
      </c>
      <c r="X647" s="2">
        <v>0.375</v>
      </c>
      <c r="Y647" s="6">
        <f t="shared" si="86"/>
        <v>1.0010410827260351E-2</v>
      </c>
      <c r="AA647">
        <v>135194</v>
      </c>
      <c r="AB647">
        <v>24918</v>
      </c>
      <c r="AD647" t="s">
        <v>5</v>
      </c>
      <c r="AE647">
        <v>29</v>
      </c>
      <c r="AF647">
        <v>17</v>
      </c>
      <c r="AH647" t="s">
        <v>5816</v>
      </c>
      <c r="AI647" t="s">
        <v>5815</v>
      </c>
      <c r="AJ647" t="s">
        <v>5814</v>
      </c>
      <c r="AK647" t="s">
        <v>5813</v>
      </c>
      <c r="AL647">
        <v>35</v>
      </c>
      <c r="AM647" s="5">
        <f t="shared" si="82"/>
        <v>1.2068965517241379</v>
      </c>
      <c r="AN647" s="4">
        <f t="shared" si="87"/>
        <v>1.8279387379388685E-3</v>
      </c>
      <c r="AO647" s="3"/>
      <c r="AP647">
        <v>0</v>
      </c>
      <c r="AR647" t="s">
        <v>1</v>
      </c>
      <c r="AT647" s="2">
        <v>1.3140000000000001</v>
      </c>
      <c r="AU647" s="1">
        <f t="shared" si="83"/>
        <v>0.75556692004639059</v>
      </c>
      <c r="AV647" s="1">
        <f t="shared" si="84"/>
        <v>0.59191747825996099</v>
      </c>
      <c r="AW647" s="1">
        <f t="shared" si="85"/>
        <v>0.42826803647353129</v>
      </c>
    </row>
    <row r="648" spans="1:49" x14ac:dyDescent="0.2">
      <c r="A648">
        <v>646</v>
      </c>
      <c r="B648" t="s">
        <v>5812</v>
      </c>
      <c r="C648" t="s">
        <v>5811</v>
      </c>
      <c r="F648" t="s">
        <v>5810</v>
      </c>
      <c r="G648" t="s">
        <v>15</v>
      </c>
      <c r="H648" t="s">
        <v>14</v>
      </c>
      <c r="I648" t="s">
        <v>5809</v>
      </c>
      <c r="J648">
        <v>60020650</v>
      </c>
      <c r="K648" t="s">
        <v>5808</v>
      </c>
      <c r="L648" t="s">
        <v>5807</v>
      </c>
      <c r="M648" t="s">
        <v>493</v>
      </c>
      <c r="N648">
        <v>1</v>
      </c>
      <c r="O648" t="s">
        <v>5806</v>
      </c>
      <c r="P648">
        <v>35516118400</v>
      </c>
      <c r="Q648">
        <v>60020650</v>
      </c>
      <c r="R648" s="7">
        <v>33970</v>
      </c>
      <c r="S648" s="8">
        <f t="shared" si="80"/>
        <v>1993</v>
      </c>
      <c r="T648" s="8">
        <v>1993</v>
      </c>
      <c r="U648" s="8">
        <f t="shared" si="81"/>
        <v>29</v>
      </c>
      <c r="V648" s="7">
        <v>34182</v>
      </c>
      <c r="W648" t="s">
        <v>548</v>
      </c>
      <c r="X648" s="2">
        <v>1.3720000000000001</v>
      </c>
      <c r="Y648" s="6">
        <f t="shared" si="86"/>
        <v>3.662475641333654E-2</v>
      </c>
      <c r="AA648">
        <v>189480</v>
      </c>
      <c r="AB648">
        <v>17366</v>
      </c>
      <c r="AC648">
        <v>15579670</v>
      </c>
      <c r="AD648" t="s">
        <v>5</v>
      </c>
      <c r="AE648">
        <v>41</v>
      </c>
      <c r="AF648">
        <v>8</v>
      </c>
      <c r="AH648" t="s">
        <v>5805</v>
      </c>
      <c r="AI648" t="s">
        <v>5804</v>
      </c>
      <c r="AK648" t="s">
        <v>5803</v>
      </c>
      <c r="AL648">
        <v>8</v>
      </c>
      <c r="AM648" s="5">
        <f t="shared" si="82"/>
        <v>0.27586206896551724</v>
      </c>
      <c r="AN648" s="4">
        <f t="shared" si="87"/>
        <v>4.1781456867174139E-4</v>
      </c>
      <c r="AO648" s="3"/>
      <c r="AP648">
        <v>0</v>
      </c>
      <c r="AQ648" t="s">
        <v>5802</v>
      </c>
      <c r="AR648" t="s">
        <v>1</v>
      </c>
      <c r="AS648" t="s">
        <v>5801</v>
      </c>
      <c r="AT648" s="2" t="s">
        <v>0</v>
      </c>
      <c r="AU648" s="1">
        <f t="shared" si="83"/>
        <v>2.5762673859937095</v>
      </c>
      <c r="AV648" s="1">
        <f t="shared" si="84"/>
        <v>1.8521285491004142</v>
      </c>
      <c r="AW648" s="1">
        <f t="shared" si="85"/>
        <v>1.1279897122071181</v>
      </c>
    </row>
    <row r="649" spans="1:49" x14ac:dyDescent="0.2">
      <c r="A649">
        <v>647</v>
      </c>
      <c r="B649" t="s">
        <v>5800</v>
      </c>
      <c r="C649" t="s">
        <v>5799</v>
      </c>
      <c r="F649" t="s">
        <v>5798</v>
      </c>
      <c r="G649" t="s">
        <v>15</v>
      </c>
      <c r="H649" t="s">
        <v>14</v>
      </c>
      <c r="I649" t="s">
        <v>1277</v>
      </c>
      <c r="J649">
        <v>60025038</v>
      </c>
      <c r="K649" t="s">
        <v>3959</v>
      </c>
      <c r="L649" t="s">
        <v>3958</v>
      </c>
      <c r="M649" t="s">
        <v>10</v>
      </c>
      <c r="N649">
        <v>1</v>
      </c>
      <c r="O649" t="s">
        <v>5797</v>
      </c>
      <c r="P649">
        <v>57192504855</v>
      </c>
      <c r="Q649">
        <v>60025038</v>
      </c>
      <c r="R649" s="7">
        <v>33970</v>
      </c>
      <c r="S649" s="8">
        <f t="shared" si="80"/>
        <v>1993</v>
      </c>
      <c r="T649" s="8">
        <v>1993</v>
      </c>
      <c r="U649" s="8">
        <f t="shared" si="81"/>
        <v>29</v>
      </c>
      <c r="V649" s="7">
        <v>34182</v>
      </c>
      <c r="W649" t="s">
        <v>548</v>
      </c>
      <c r="X649" s="2">
        <v>1.3720000000000001</v>
      </c>
      <c r="Y649" s="6">
        <f t="shared" si="86"/>
        <v>3.662475641333654E-2</v>
      </c>
      <c r="AA649">
        <v>189480</v>
      </c>
      <c r="AB649">
        <v>17366</v>
      </c>
      <c r="AC649">
        <v>15579670</v>
      </c>
      <c r="AD649" t="s">
        <v>5</v>
      </c>
      <c r="AE649">
        <v>41</v>
      </c>
      <c r="AF649">
        <v>8</v>
      </c>
      <c r="AH649" t="s">
        <v>5796</v>
      </c>
      <c r="AI649" t="s">
        <v>5795</v>
      </c>
      <c r="AK649" t="s">
        <v>5794</v>
      </c>
      <c r="AL649">
        <v>58</v>
      </c>
      <c r="AM649" s="5">
        <f t="shared" si="82"/>
        <v>2</v>
      </c>
      <c r="AN649" s="4">
        <f t="shared" si="87"/>
        <v>3.0291556228701248E-3</v>
      </c>
      <c r="AO649" s="3"/>
      <c r="AP649">
        <v>0</v>
      </c>
      <c r="AR649" t="s">
        <v>1</v>
      </c>
      <c r="AT649" s="2" t="s">
        <v>0</v>
      </c>
      <c r="AU649" s="1">
        <f t="shared" si="83"/>
        <v>2.6546076176196616</v>
      </c>
      <c r="AV649" s="1">
        <f t="shared" si="84"/>
        <v>1.9826956018103332</v>
      </c>
      <c r="AW649" s="1">
        <f t="shared" si="85"/>
        <v>1.3107835860010049</v>
      </c>
    </row>
    <row r="650" spans="1:49" x14ac:dyDescent="0.2">
      <c r="A650">
        <v>648</v>
      </c>
      <c r="B650" t="s">
        <v>5793</v>
      </c>
      <c r="C650" t="s">
        <v>5792</v>
      </c>
      <c r="F650" t="s">
        <v>5791</v>
      </c>
      <c r="G650" t="s">
        <v>15</v>
      </c>
      <c r="H650" t="s">
        <v>14</v>
      </c>
      <c r="I650" t="s">
        <v>5790</v>
      </c>
      <c r="J650" t="s">
        <v>5789</v>
      </c>
      <c r="K650" t="s">
        <v>5788</v>
      </c>
      <c r="L650" t="s">
        <v>5787</v>
      </c>
      <c r="M650" t="s">
        <v>5786</v>
      </c>
      <c r="N650">
        <v>3</v>
      </c>
      <c r="O650" t="s">
        <v>5785</v>
      </c>
      <c r="P650" t="s">
        <v>5784</v>
      </c>
      <c r="Q650" t="s">
        <v>5783</v>
      </c>
      <c r="R650" s="7">
        <v>33970</v>
      </c>
      <c r="S650" s="8">
        <f t="shared" si="80"/>
        <v>1993</v>
      </c>
      <c r="T650" s="8">
        <v>1993</v>
      </c>
      <c r="U650" s="8">
        <f t="shared" si="81"/>
        <v>29</v>
      </c>
      <c r="V650" s="7">
        <v>34182</v>
      </c>
      <c r="W650" t="s">
        <v>548</v>
      </c>
      <c r="X650" s="2">
        <v>1.3720000000000001</v>
      </c>
      <c r="Y650" s="6">
        <f t="shared" si="86"/>
        <v>3.662475641333654E-2</v>
      </c>
      <c r="AA650">
        <v>189480</v>
      </c>
      <c r="AB650">
        <v>17366</v>
      </c>
      <c r="AC650">
        <v>15579670</v>
      </c>
      <c r="AD650" t="s">
        <v>5</v>
      </c>
      <c r="AE650">
        <v>41</v>
      </c>
      <c r="AF650">
        <v>8</v>
      </c>
      <c r="AH650" t="s">
        <v>5782</v>
      </c>
      <c r="AI650" t="s">
        <v>5781</v>
      </c>
      <c r="AK650" t="s">
        <v>5780</v>
      </c>
      <c r="AL650">
        <v>8</v>
      </c>
      <c r="AM650" s="5">
        <f t="shared" si="82"/>
        <v>0.27586206896551724</v>
      </c>
      <c r="AN650" s="4">
        <f t="shared" si="87"/>
        <v>4.1781456867174139E-4</v>
      </c>
      <c r="AO650" s="3"/>
      <c r="AP650">
        <v>0</v>
      </c>
      <c r="AQ650" t="s">
        <v>761</v>
      </c>
      <c r="AR650" t="s">
        <v>1</v>
      </c>
      <c r="AS650" t="s">
        <v>759</v>
      </c>
      <c r="AT650" s="2" t="s">
        <v>0</v>
      </c>
      <c r="AU650" s="1">
        <f t="shared" si="83"/>
        <v>2.5762673859937095</v>
      </c>
      <c r="AV650" s="1">
        <f t="shared" si="84"/>
        <v>1.8521285491004142</v>
      </c>
      <c r="AW650" s="1">
        <f t="shared" si="85"/>
        <v>1.1279897122071181</v>
      </c>
    </row>
    <row r="651" spans="1:49" x14ac:dyDescent="0.2">
      <c r="A651">
        <v>649</v>
      </c>
      <c r="B651" t="s">
        <v>5779</v>
      </c>
      <c r="C651" t="s">
        <v>5778</v>
      </c>
      <c r="F651" t="s">
        <v>5777</v>
      </c>
      <c r="G651" t="s">
        <v>15</v>
      </c>
      <c r="H651" t="s">
        <v>14</v>
      </c>
      <c r="I651" t="s">
        <v>5776</v>
      </c>
      <c r="J651">
        <v>60011357</v>
      </c>
      <c r="K651" t="s">
        <v>2437</v>
      </c>
      <c r="L651" t="s">
        <v>2436</v>
      </c>
      <c r="M651" t="s">
        <v>1909</v>
      </c>
      <c r="N651">
        <v>2</v>
      </c>
      <c r="O651" t="s">
        <v>5775</v>
      </c>
      <c r="P651" t="s">
        <v>5774</v>
      </c>
      <c r="Q651" t="s">
        <v>2433</v>
      </c>
      <c r="R651" s="7">
        <v>33970</v>
      </c>
      <c r="S651" s="8">
        <f t="shared" si="80"/>
        <v>1993</v>
      </c>
      <c r="T651" s="8">
        <v>1993</v>
      </c>
      <c r="U651" s="8">
        <f t="shared" si="81"/>
        <v>29</v>
      </c>
      <c r="V651" s="7">
        <v>34182</v>
      </c>
      <c r="W651" t="s">
        <v>548</v>
      </c>
      <c r="X651" s="2">
        <v>1.3720000000000001</v>
      </c>
      <c r="Y651" s="6">
        <f t="shared" si="86"/>
        <v>3.662475641333654E-2</v>
      </c>
      <c r="AA651">
        <v>189480</v>
      </c>
      <c r="AB651">
        <v>17366</v>
      </c>
      <c r="AC651">
        <v>15579670</v>
      </c>
      <c r="AD651" t="s">
        <v>5</v>
      </c>
      <c r="AE651">
        <v>41</v>
      </c>
      <c r="AF651">
        <v>8</v>
      </c>
      <c r="AH651" t="s">
        <v>5773</v>
      </c>
      <c r="AI651" t="s">
        <v>5772</v>
      </c>
      <c r="AK651" t="s">
        <v>5771</v>
      </c>
      <c r="AL651">
        <v>7</v>
      </c>
      <c r="AM651" s="5">
        <f t="shared" si="82"/>
        <v>0.2413793103448276</v>
      </c>
      <c r="AN651" s="4">
        <f t="shared" si="87"/>
        <v>3.655877475877737E-4</v>
      </c>
      <c r="AO651" s="3"/>
      <c r="AP651">
        <v>0</v>
      </c>
      <c r="AR651" t="s">
        <v>5770</v>
      </c>
      <c r="AT651" s="2" t="s">
        <v>0</v>
      </c>
      <c r="AU651" s="1">
        <f t="shared" si="83"/>
        <v>2.5747005813611907</v>
      </c>
      <c r="AV651" s="1">
        <f t="shared" si="84"/>
        <v>1.8495172080462159</v>
      </c>
      <c r="AW651" s="1">
        <f t="shared" si="85"/>
        <v>1.1243338347312404</v>
      </c>
    </row>
    <row r="652" spans="1:49" x14ac:dyDescent="0.2">
      <c r="A652">
        <v>650</v>
      </c>
      <c r="B652" t="s">
        <v>5769</v>
      </c>
      <c r="C652" t="s">
        <v>5768</v>
      </c>
      <c r="F652" t="s">
        <v>5767</v>
      </c>
      <c r="G652" t="s">
        <v>15</v>
      </c>
      <c r="H652" t="s">
        <v>14</v>
      </c>
      <c r="I652" t="s">
        <v>5766</v>
      </c>
      <c r="J652">
        <v>60028333</v>
      </c>
      <c r="K652" t="s">
        <v>5765</v>
      </c>
      <c r="L652" t="s">
        <v>3425</v>
      </c>
      <c r="M652" t="s">
        <v>818</v>
      </c>
      <c r="N652">
        <v>1</v>
      </c>
      <c r="O652" t="s">
        <v>5764</v>
      </c>
      <c r="P652">
        <v>7102344747</v>
      </c>
      <c r="Q652">
        <v>60028333</v>
      </c>
      <c r="R652" s="7">
        <v>33970</v>
      </c>
      <c r="S652" s="8">
        <f t="shared" si="80"/>
        <v>1993</v>
      </c>
      <c r="T652" s="8">
        <v>1993</v>
      </c>
      <c r="U652" s="8">
        <f t="shared" si="81"/>
        <v>29</v>
      </c>
      <c r="V652" s="7">
        <v>34182</v>
      </c>
      <c r="W652" t="s">
        <v>814</v>
      </c>
      <c r="X652" s="2">
        <v>1.6519999999999999</v>
      </c>
      <c r="Y652" s="6">
        <f t="shared" si="86"/>
        <v>4.409919649769093E-2</v>
      </c>
      <c r="AA652" t="s">
        <v>813</v>
      </c>
      <c r="AB652">
        <v>17337</v>
      </c>
      <c r="AC652">
        <v>15582221</v>
      </c>
      <c r="AD652" t="s">
        <v>5</v>
      </c>
      <c r="AE652">
        <v>41</v>
      </c>
      <c r="AF652">
        <v>8</v>
      </c>
      <c r="AH652" t="s">
        <v>5763</v>
      </c>
      <c r="AI652" t="s">
        <v>5762</v>
      </c>
      <c r="AK652" t="s">
        <v>5761</v>
      </c>
      <c r="AL652">
        <v>26</v>
      </c>
      <c r="AM652" s="5">
        <f t="shared" si="82"/>
        <v>0.89655172413793105</v>
      </c>
      <c r="AN652" s="4">
        <f t="shared" si="87"/>
        <v>1.3578973481831594E-3</v>
      </c>
      <c r="AO652" s="3"/>
      <c r="AP652">
        <v>0</v>
      </c>
      <c r="AR652" t="s">
        <v>1</v>
      </c>
      <c r="AT652" s="2" t="s">
        <v>0</v>
      </c>
      <c r="AU652" s="1">
        <f t="shared" si="83"/>
        <v>3.1276806752838602</v>
      </c>
      <c r="AV652" s="1">
        <f t="shared" si="84"/>
        <v>2.2728546922937043</v>
      </c>
      <c r="AW652" s="1">
        <f t="shared" si="85"/>
        <v>1.4180287093035489</v>
      </c>
    </row>
    <row r="653" spans="1:49" x14ac:dyDescent="0.2">
      <c r="A653">
        <v>651</v>
      </c>
      <c r="B653" t="s">
        <v>5760</v>
      </c>
      <c r="C653" t="s">
        <v>5759</v>
      </c>
      <c r="F653" t="s">
        <v>5758</v>
      </c>
      <c r="G653" t="s">
        <v>15</v>
      </c>
      <c r="H653" t="s">
        <v>14</v>
      </c>
      <c r="I653" t="s">
        <v>5757</v>
      </c>
      <c r="J653" t="s">
        <v>5756</v>
      </c>
      <c r="K653" t="s">
        <v>5755</v>
      </c>
      <c r="L653" t="s">
        <v>5754</v>
      </c>
      <c r="M653" t="s">
        <v>3183</v>
      </c>
      <c r="N653">
        <v>6</v>
      </c>
      <c r="O653" t="s">
        <v>5753</v>
      </c>
      <c r="P653" t="s">
        <v>5752</v>
      </c>
      <c r="Q653" t="s">
        <v>5751</v>
      </c>
      <c r="R653" s="7">
        <v>33970</v>
      </c>
      <c r="S653" s="8">
        <f t="shared" si="80"/>
        <v>1993</v>
      </c>
      <c r="T653" s="8">
        <v>1993</v>
      </c>
      <c r="U653" s="8">
        <f t="shared" si="81"/>
        <v>29</v>
      </c>
      <c r="V653" s="7">
        <v>34182</v>
      </c>
      <c r="W653" t="s">
        <v>814</v>
      </c>
      <c r="X653" s="2">
        <v>1.6519999999999999</v>
      </c>
      <c r="Y653" s="6">
        <f t="shared" si="86"/>
        <v>4.409919649769093E-2</v>
      </c>
      <c r="AA653" t="s">
        <v>813</v>
      </c>
      <c r="AB653">
        <v>17337</v>
      </c>
      <c r="AC653">
        <v>15582221</v>
      </c>
      <c r="AD653" t="s">
        <v>5</v>
      </c>
      <c r="AE653">
        <v>41</v>
      </c>
      <c r="AF653">
        <v>8</v>
      </c>
      <c r="AH653" t="s">
        <v>5750</v>
      </c>
      <c r="AL653">
        <v>224</v>
      </c>
      <c r="AM653" s="5">
        <f t="shared" si="82"/>
        <v>7.7241379310344831</v>
      </c>
      <c r="AN653" s="4">
        <f t="shared" si="87"/>
        <v>1.1698807922808759E-2</v>
      </c>
      <c r="AO653" s="3"/>
      <c r="AP653">
        <v>0</v>
      </c>
      <c r="AQ653" t="s">
        <v>2475</v>
      </c>
      <c r="AR653" t="s">
        <v>5749</v>
      </c>
      <c r="AS653" t="s">
        <v>2473</v>
      </c>
      <c r="AT653" s="2" t="s">
        <v>0</v>
      </c>
      <c r="AU653" s="1">
        <f t="shared" si="83"/>
        <v>3.4379079925226277</v>
      </c>
      <c r="AV653" s="1">
        <f t="shared" si="84"/>
        <v>2.7899002210249844</v>
      </c>
      <c r="AW653" s="1">
        <f t="shared" si="85"/>
        <v>2.1418924495273406</v>
      </c>
    </row>
    <row r="654" spans="1:49" x14ac:dyDescent="0.2">
      <c r="A654">
        <v>652</v>
      </c>
      <c r="B654" t="s">
        <v>5748</v>
      </c>
      <c r="C654" t="s">
        <v>5747</v>
      </c>
      <c r="F654" t="s">
        <v>5746</v>
      </c>
      <c r="G654" t="s">
        <v>15</v>
      </c>
      <c r="H654" t="s">
        <v>14</v>
      </c>
      <c r="I654" t="s">
        <v>5745</v>
      </c>
      <c r="J654">
        <v>60027550</v>
      </c>
      <c r="K654" t="s">
        <v>1833</v>
      </c>
      <c r="L654" t="s">
        <v>1832</v>
      </c>
      <c r="M654" t="s">
        <v>10</v>
      </c>
      <c r="N654">
        <v>2</v>
      </c>
      <c r="O654" t="s">
        <v>5744</v>
      </c>
      <c r="P654" t="s">
        <v>5743</v>
      </c>
      <c r="Q654" t="s">
        <v>3332</v>
      </c>
      <c r="R654" s="7">
        <v>33970</v>
      </c>
      <c r="S654" s="8">
        <f t="shared" si="80"/>
        <v>1993</v>
      </c>
      <c r="T654" s="8">
        <v>1993</v>
      </c>
      <c r="U654" s="8">
        <f t="shared" si="81"/>
        <v>29</v>
      </c>
      <c r="V654" s="7">
        <v>34182</v>
      </c>
      <c r="W654" t="s">
        <v>814</v>
      </c>
      <c r="X654" s="2">
        <v>1.6519999999999999</v>
      </c>
      <c r="Y654" s="6">
        <f t="shared" si="86"/>
        <v>4.409919649769093E-2</v>
      </c>
      <c r="AA654" t="s">
        <v>813</v>
      </c>
      <c r="AB654">
        <v>17337</v>
      </c>
      <c r="AC654">
        <v>15582221</v>
      </c>
      <c r="AD654" t="s">
        <v>5</v>
      </c>
      <c r="AE654">
        <v>41</v>
      </c>
      <c r="AF654">
        <v>8</v>
      </c>
      <c r="AH654" t="s">
        <v>5742</v>
      </c>
      <c r="AI654" t="s">
        <v>5741</v>
      </c>
      <c r="AK654" t="s">
        <v>5740</v>
      </c>
      <c r="AL654">
        <v>11</v>
      </c>
      <c r="AM654" s="5">
        <f t="shared" si="82"/>
        <v>0.37931034482758619</v>
      </c>
      <c r="AN654" s="4">
        <f t="shared" si="87"/>
        <v>5.7449503192364435E-4</v>
      </c>
      <c r="AO654" s="3"/>
      <c r="AP654">
        <v>0</v>
      </c>
      <c r="AR654" t="s">
        <v>1</v>
      </c>
      <c r="AT654" s="2" t="s">
        <v>0</v>
      </c>
      <c r="AU654" s="1">
        <f t="shared" si="83"/>
        <v>3.1041786057960743</v>
      </c>
      <c r="AV654" s="1">
        <f t="shared" si="84"/>
        <v>2.2336845764807287</v>
      </c>
      <c r="AW654" s="1">
        <f t="shared" si="85"/>
        <v>1.3631905471653829</v>
      </c>
    </row>
    <row r="655" spans="1:49" x14ac:dyDescent="0.2">
      <c r="A655">
        <v>653</v>
      </c>
      <c r="B655" t="s">
        <v>5739</v>
      </c>
      <c r="C655" t="s">
        <v>5738</v>
      </c>
      <c r="F655" t="s">
        <v>5737</v>
      </c>
      <c r="G655" t="s">
        <v>15</v>
      </c>
      <c r="H655" t="s">
        <v>14</v>
      </c>
      <c r="I655" t="s">
        <v>5736</v>
      </c>
      <c r="J655" t="s">
        <v>5735</v>
      </c>
      <c r="K655" t="s">
        <v>5734</v>
      </c>
      <c r="L655" t="s">
        <v>5733</v>
      </c>
      <c r="M655" t="s">
        <v>5732</v>
      </c>
      <c r="N655">
        <v>4</v>
      </c>
      <c r="O655" t="s">
        <v>5731</v>
      </c>
      <c r="P655" t="s">
        <v>5730</v>
      </c>
      <c r="Q655" t="s">
        <v>5729</v>
      </c>
      <c r="R655" s="7">
        <v>33970</v>
      </c>
      <c r="S655" s="8">
        <f t="shared" si="80"/>
        <v>1993</v>
      </c>
      <c r="T655" s="8">
        <v>1993</v>
      </c>
      <c r="U655" s="8">
        <f t="shared" si="81"/>
        <v>29</v>
      </c>
      <c r="V655" s="7">
        <v>34182</v>
      </c>
      <c r="W655" t="s">
        <v>814</v>
      </c>
      <c r="X655" s="2">
        <v>1.6519999999999999</v>
      </c>
      <c r="Y655" s="6">
        <f t="shared" si="86"/>
        <v>4.409919649769093E-2</v>
      </c>
      <c r="AA655" t="s">
        <v>813</v>
      </c>
      <c r="AB655">
        <v>17337</v>
      </c>
      <c r="AC655">
        <v>15582221</v>
      </c>
      <c r="AD655" t="s">
        <v>5</v>
      </c>
      <c r="AE655">
        <v>41</v>
      </c>
      <c r="AF655">
        <v>8</v>
      </c>
      <c r="AH655" t="s">
        <v>5728</v>
      </c>
      <c r="AI655" t="s">
        <v>5727</v>
      </c>
      <c r="AK655" t="s">
        <v>5726</v>
      </c>
      <c r="AL655">
        <v>6</v>
      </c>
      <c r="AM655" s="5">
        <f t="shared" si="82"/>
        <v>0.20689655172413793</v>
      </c>
      <c r="AN655" s="4">
        <f t="shared" si="87"/>
        <v>3.1336092650380602E-4</v>
      </c>
      <c r="AO655" s="3"/>
      <c r="AP655">
        <v>0</v>
      </c>
      <c r="AR655" t="s">
        <v>1</v>
      </c>
      <c r="AT655" s="2" t="s">
        <v>0</v>
      </c>
      <c r="AU655" s="1">
        <f t="shared" si="83"/>
        <v>3.096344582633479</v>
      </c>
      <c r="AV655" s="1">
        <f t="shared" si="84"/>
        <v>2.2206278712097367</v>
      </c>
      <c r="AW655" s="1">
        <f t="shared" si="85"/>
        <v>1.3449111597859942</v>
      </c>
    </row>
    <row r="656" spans="1:49" x14ac:dyDescent="0.2">
      <c r="A656">
        <v>654</v>
      </c>
      <c r="B656" t="s">
        <v>5725</v>
      </c>
      <c r="C656" t="s">
        <v>5724</v>
      </c>
      <c r="F656" t="s">
        <v>5723</v>
      </c>
      <c r="G656" t="s">
        <v>15</v>
      </c>
      <c r="H656" t="s">
        <v>14</v>
      </c>
      <c r="I656" t="s">
        <v>5722</v>
      </c>
      <c r="J656">
        <v>60017161</v>
      </c>
      <c r="K656" t="s">
        <v>2398</v>
      </c>
      <c r="L656" t="s">
        <v>1461</v>
      </c>
      <c r="M656" t="s">
        <v>1460</v>
      </c>
      <c r="N656">
        <v>4</v>
      </c>
      <c r="O656" t="s">
        <v>5721</v>
      </c>
      <c r="P656" t="s">
        <v>5720</v>
      </c>
      <c r="Q656" t="s">
        <v>5719</v>
      </c>
      <c r="R656" s="7">
        <v>33970</v>
      </c>
      <c r="S656" s="8">
        <f t="shared" si="80"/>
        <v>1993</v>
      </c>
      <c r="T656" s="8">
        <v>1993</v>
      </c>
      <c r="U656" s="8">
        <f t="shared" si="81"/>
        <v>29</v>
      </c>
      <c r="V656" s="7">
        <v>34182</v>
      </c>
      <c r="W656" t="s">
        <v>2801</v>
      </c>
      <c r="X656" s="2">
        <v>0.65500000000000003</v>
      </c>
      <c r="Y656" s="6">
        <f t="shared" si="86"/>
        <v>1.7484850911614749E-2</v>
      </c>
      <c r="AA656">
        <v>189375</v>
      </c>
      <c r="AB656">
        <v>26051</v>
      </c>
      <c r="AC656" t="s">
        <v>2800</v>
      </c>
      <c r="AD656" t="s">
        <v>5</v>
      </c>
      <c r="AE656">
        <v>35</v>
      </c>
      <c r="AF656">
        <v>3</v>
      </c>
      <c r="AH656" t="s">
        <v>5718</v>
      </c>
      <c r="AI656" t="s">
        <v>5717</v>
      </c>
      <c r="AJ656" t="s">
        <v>5716</v>
      </c>
      <c r="AK656" t="s">
        <v>5715</v>
      </c>
      <c r="AL656">
        <v>4</v>
      </c>
      <c r="AM656" s="5">
        <f t="shared" si="82"/>
        <v>0.13793103448275862</v>
      </c>
      <c r="AN656" s="4">
        <f t="shared" si="87"/>
        <v>2.089072843358707E-4</v>
      </c>
      <c r="AO656" s="3"/>
      <c r="AP656">
        <v>0</v>
      </c>
      <c r="AR656" t="s">
        <v>1</v>
      </c>
      <c r="AT656" s="2" t="s">
        <v>0</v>
      </c>
      <c r="AU656" s="1">
        <f t="shared" si="83"/>
        <v>1.2302067823431084</v>
      </c>
      <c r="AV656" s="1">
        <f t="shared" si="84"/>
        <v>0.88468790979753109</v>
      </c>
      <c r="AW656" s="1">
        <f t="shared" si="85"/>
        <v>0.53916903725195342</v>
      </c>
    </row>
    <row r="657" spans="1:49" x14ac:dyDescent="0.2">
      <c r="A657">
        <v>655</v>
      </c>
      <c r="B657" t="s">
        <v>5714</v>
      </c>
      <c r="C657" t="s">
        <v>5713</v>
      </c>
      <c r="F657" t="s">
        <v>5712</v>
      </c>
      <c r="G657" t="s">
        <v>15</v>
      </c>
      <c r="H657" t="s">
        <v>14</v>
      </c>
      <c r="I657" t="s">
        <v>5711</v>
      </c>
      <c r="J657" t="s">
        <v>5705</v>
      </c>
      <c r="K657" t="s">
        <v>5710</v>
      </c>
      <c r="L657" t="s">
        <v>5709</v>
      </c>
      <c r="M657" t="s">
        <v>5708</v>
      </c>
      <c r="N657">
        <v>2</v>
      </c>
      <c r="O657" t="s">
        <v>5707</v>
      </c>
      <c r="P657" t="s">
        <v>5706</v>
      </c>
      <c r="Q657" t="s">
        <v>5705</v>
      </c>
      <c r="R657" s="7">
        <v>33970</v>
      </c>
      <c r="S657" s="8">
        <f t="shared" si="80"/>
        <v>1993</v>
      </c>
      <c r="T657" s="8">
        <v>1993</v>
      </c>
      <c r="U657" s="8">
        <f t="shared" si="81"/>
        <v>29</v>
      </c>
      <c r="V657" s="7">
        <v>34182</v>
      </c>
      <c r="W657" t="s">
        <v>814</v>
      </c>
      <c r="X657" s="2">
        <v>1.6519999999999999</v>
      </c>
      <c r="Y657" s="6">
        <f t="shared" si="86"/>
        <v>4.409919649769093E-2</v>
      </c>
      <c r="AA657" t="s">
        <v>813</v>
      </c>
      <c r="AB657">
        <v>17337</v>
      </c>
      <c r="AC657">
        <v>15582221</v>
      </c>
      <c r="AD657" t="s">
        <v>5</v>
      </c>
      <c r="AE657">
        <v>41</v>
      </c>
      <c r="AF657">
        <v>8</v>
      </c>
      <c r="AH657" t="s">
        <v>5704</v>
      </c>
      <c r="AL657">
        <v>27</v>
      </c>
      <c r="AM657" s="5">
        <f t="shared" si="82"/>
        <v>0.93103448275862066</v>
      </c>
      <c r="AN657" s="4">
        <f t="shared" si="87"/>
        <v>1.410124169267127E-3</v>
      </c>
      <c r="AO657" s="3"/>
      <c r="AP657">
        <v>0</v>
      </c>
      <c r="AQ657" t="s">
        <v>4772</v>
      </c>
      <c r="AR657" t="s">
        <v>5703</v>
      </c>
      <c r="AS657" t="s">
        <v>4770</v>
      </c>
      <c r="AT657" s="2" t="s">
        <v>0</v>
      </c>
      <c r="AU657" s="1">
        <f t="shared" si="83"/>
        <v>3.129247479916379</v>
      </c>
      <c r="AV657" s="1">
        <f t="shared" si="84"/>
        <v>2.2754660333479029</v>
      </c>
      <c r="AW657" s="1">
        <f t="shared" si="85"/>
        <v>1.4216845867794268</v>
      </c>
    </row>
    <row r="658" spans="1:49" x14ac:dyDescent="0.2">
      <c r="A658">
        <v>656</v>
      </c>
      <c r="B658" t="s">
        <v>5702</v>
      </c>
      <c r="C658" t="s">
        <v>5701</v>
      </c>
      <c r="F658" t="s">
        <v>5700</v>
      </c>
      <c r="G658" t="s">
        <v>15</v>
      </c>
      <c r="H658" t="s">
        <v>14</v>
      </c>
      <c r="I658" t="s">
        <v>5699</v>
      </c>
      <c r="J658" t="s">
        <v>5698</v>
      </c>
      <c r="K658" t="s">
        <v>5697</v>
      </c>
      <c r="L658" t="s">
        <v>5696</v>
      </c>
      <c r="M658" t="s">
        <v>5695</v>
      </c>
      <c r="N658">
        <v>2</v>
      </c>
      <c r="O658" t="s">
        <v>5694</v>
      </c>
      <c r="P658" t="s">
        <v>5693</v>
      </c>
      <c r="Q658" t="s">
        <v>5692</v>
      </c>
      <c r="R658" s="7">
        <v>33970</v>
      </c>
      <c r="S658" s="8">
        <f t="shared" si="80"/>
        <v>1993</v>
      </c>
      <c r="T658" s="8">
        <v>1993</v>
      </c>
      <c r="U658" s="8">
        <f t="shared" si="81"/>
        <v>29</v>
      </c>
      <c r="V658" s="7">
        <v>34182</v>
      </c>
      <c r="W658" t="s">
        <v>814</v>
      </c>
      <c r="X658" s="2">
        <v>1.6519999999999999</v>
      </c>
      <c r="Y658" s="6">
        <f t="shared" si="86"/>
        <v>4.409919649769093E-2</v>
      </c>
      <c r="AA658" t="s">
        <v>813</v>
      </c>
      <c r="AB658">
        <v>17337</v>
      </c>
      <c r="AC658">
        <v>15582221</v>
      </c>
      <c r="AD658" t="s">
        <v>5</v>
      </c>
      <c r="AE658">
        <v>41</v>
      </c>
      <c r="AF658">
        <v>8</v>
      </c>
      <c r="AH658" t="s">
        <v>5691</v>
      </c>
      <c r="AI658" t="s">
        <v>5690</v>
      </c>
      <c r="AK658" t="s">
        <v>5689</v>
      </c>
      <c r="AL658">
        <v>2</v>
      </c>
      <c r="AM658" s="5">
        <f t="shared" si="82"/>
        <v>6.8965517241379309E-2</v>
      </c>
      <c r="AN658" s="4">
        <f t="shared" si="87"/>
        <v>1.0445364216793535E-4</v>
      </c>
      <c r="AO658" s="3"/>
      <c r="AP658">
        <v>0</v>
      </c>
      <c r="AR658" t="s">
        <v>1</v>
      </c>
      <c r="AT658" s="2" t="s">
        <v>0</v>
      </c>
      <c r="AU658" s="1">
        <f t="shared" si="83"/>
        <v>3.0900773641034029</v>
      </c>
      <c r="AV658" s="1">
        <f t="shared" si="84"/>
        <v>2.2101825069929433</v>
      </c>
      <c r="AW658" s="1">
        <f t="shared" si="85"/>
        <v>1.3302876498824832</v>
      </c>
    </row>
    <row r="659" spans="1:49" x14ac:dyDescent="0.2">
      <c r="A659">
        <v>657</v>
      </c>
      <c r="B659" t="s">
        <v>5688</v>
      </c>
      <c r="C659" t="s">
        <v>5687</v>
      </c>
      <c r="F659" t="s">
        <v>5686</v>
      </c>
      <c r="G659" t="s">
        <v>15</v>
      </c>
      <c r="H659" t="s">
        <v>14</v>
      </c>
      <c r="I659" t="s">
        <v>5685</v>
      </c>
      <c r="J659" t="s">
        <v>5684</v>
      </c>
      <c r="K659" t="s">
        <v>5683</v>
      </c>
      <c r="L659" t="s">
        <v>5682</v>
      </c>
      <c r="M659" t="s">
        <v>5681</v>
      </c>
      <c r="N659">
        <v>4</v>
      </c>
      <c r="O659" t="s">
        <v>5680</v>
      </c>
      <c r="P659" t="s">
        <v>5679</v>
      </c>
      <c r="Q659" t="s">
        <v>5678</v>
      </c>
      <c r="R659" s="7">
        <v>33970</v>
      </c>
      <c r="S659" s="8">
        <f t="shared" si="80"/>
        <v>1993</v>
      </c>
      <c r="T659" s="8">
        <v>1993</v>
      </c>
      <c r="U659" s="8">
        <f t="shared" si="81"/>
        <v>29</v>
      </c>
      <c r="V659" s="7">
        <v>34182</v>
      </c>
      <c r="W659" t="s">
        <v>814</v>
      </c>
      <c r="X659" s="2">
        <v>1.6519999999999999</v>
      </c>
      <c r="Y659" s="6">
        <f t="shared" si="86"/>
        <v>4.409919649769093E-2</v>
      </c>
      <c r="AA659" t="s">
        <v>813</v>
      </c>
      <c r="AB659">
        <v>17337</v>
      </c>
      <c r="AC659">
        <v>15582221</v>
      </c>
      <c r="AD659" t="s">
        <v>5</v>
      </c>
      <c r="AE659">
        <v>41</v>
      </c>
      <c r="AF659">
        <v>8</v>
      </c>
      <c r="AH659" t="s">
        <v>5677</v>
      </c>
      <c r="AI659" t="s">
        <v>5676</v>
      </c>
      <c r="AK659" t="s">
        <v>5675</v>
      </c>
      <c r="AL659">
        <v>21</v>
      </c>
      <c r="AM659" s="5">
        <f t="shared" si="82"/>
        <v>0.72413793103448276</v>
      </c>
      <c r="AN659" s="4">
        <f t="shared" si="87"/>
        <v>1.0967632427633211E-3</v>
      </c>
      <c r="AO659" s="3"/>
      <c r="AP659">
        <v>0</v>
      </c>
      <c r="AQ659" t="s">
        <v>761</v>
      </c>
      <c r="AR659" t="s">
        <v>1</v>
      </c>
      <c r="AS659" t="s">
        <v>759</v>
      </c>
      <c r="AT659" s="2" t="s">
        <v>0</v>
      </c>
      <c r="AU659" s="1">
        <f t="shared" si="83"/>
        <v>3.1198466521212649</v>
      </c>
      <c r="AV659" s="1">
        <f t="shared" si="84"/>
        <v>2.2597979870227127</v>
      </c>
      <c r="AW659" s="1">
        <f t="shared" si="85"/>
        <v>1.3997493219241601</v>
      </c>
    </row>
    <row r="660" spans="1:49" x14ac:dyDescent="0.2">
      <c r="A660">
        <v>658</v>
      </c>
      <c r="B660" t="s">
        <v>5674</v>
      </c>
      <c r="C660" t="s">
        <v>5673</v>
      </c>
      <c r="F660" t="s">
        <v>5672</v>
      </c>
      <c r="G660" t="s">
        <v>15</v>
      </c>
      <c r="H660" t="s">
        <v>14</v>
      </c>
      <c r="I660" t="s">
        <v>5671</v>
      </c>
      <c r="J660">
        <v>60024260</v>
      </c>
      <c r="K660" t="s">
        <v>5670</v>
      </c>
      <c r="L660" t="s">
        <v>5669</v>
      </c>
      <c r="M660" t="s">
        <v>59</v>
      </c>
      <c r="N660">
        <v>2</v>
      </c>
      <c r="O660" t="s">
        <v>5668</v>
      </c>
      <c r="P660" t="s">
        <v>5667</v>
      </c>
      <c r="Q660" t="s">
        <v>5666</v>
      </c>
      <c r="R660" s="7">
        <v>33970</v>
      </c>
      <c r="S660" s="8">
        <f t="shared" si="80"/>
        <v>1993</v>
      </c>
      <c r="T660" s="8">
        <v>1993</v>
      </c>
      <c r="U660" s="8">
        <f t="shared" si="81"/>
        <v>29</v>
      </c>
      <c r="V660" s="7">
        <v>34182</v>
      </c>
      <c r="W660" t="s">
        <v>3989</v>
      </c>
      <c r="X660" s="2">
        <v>0.76700000000000002</v>
      </c>
      <c r="Y660" s="6">
        <f t="shared" si="86"/>
        <v>2.0474626945356504E-2</v>
      </c>
      <c r="AA660">
        <v>983063</v>
      </c>
      <c r="AB660">
        <v>26048</v>
      </c>
      <c r="AD660" t="s">
        <v>5</v>
      </c>
      <c r="AE660">
        <v>39</v>
      </c>
      <c r="AF660">
        <v>3</v>
      </c>
      <c r="AH660" t="s">
        <v>5665</v>
      </c>
      <c r="AI660" t="s">
        <v>5664</v>
      </c>
      <c r="AK660" t="s">
        <v>5663</v>
      </c>
      <c r="AL660">
        <v>2</v>
      </c>
      <c r="AM660" s="5">
        <f t="shared" si="82"/>
        <v>6.8965517241379309E-2</v>
      </c>
      <c r="AN660" s="4">
        <f t="shared" si="87"/>
        <v>1.0445364216793535E-4</v>
      </c>
      <c r="AO660" s="3"/>
      <c r="AP660">
        <v>0</v>
      </c>
      <c r="AR660" t="s">
        <v>1</v>
      </c>
      <c r="AT660" s="2" t="s">
        <v>0</v>
      </c>
      <c r="AU660" s="1">
        <f t="shared" si="83"/>
        <v>1.4363574954399934</v>
      </c>
      <c r="AV660" s="1">
        <f t="shared" si="84"/>
        <v>1.0289540293762218</v>
      </c>
      <c r="AW660" s="1">
        <f t="shared" si="85"/>
        <v>0.62155056331245051</v>
      </c>
    </row>
    <row r="661" spans="1:49" x14ac:dyDescent="0.2">
      <c r="A661">
        <v>659</v>
      </c>
      <c r="B661" t="s">
        <v>5662</v>
      </c>
      <c r="C661" t="s">
        <v>5661</v>
      </c>
      <c r="F661" t="s">
        <v>5660</v>
      </c>
      <c r="G661" t="s">
        <v>15</v>
      </c>
      <c r="H661" t="s">
        <v>14</v>
      </c>
      <c r="I661" t="s">
        <v>5659</v>
      </c>
      <c r="J661" t="s">
        <v>5658</v>
      </c>
      <c r="K661" t="s">
        <v>5657</v>
      </c>
      <c r="L661" t="s">
        <v>5656</v>
      </c>
      <c r="M661" t="s">
        <v>2289</v>
      </c>
      <c r="N661">
        <v>2</v>
      </c>
      <c r="O661" t="s">
        <v>5655</v>
      </c>
      <c r="P661" t="s">
        <v>5654</v>
      </c>
      <c r="Q661" t="s">
        <v>5653</v>
      </c>
      <c r="R661" s="7">
        <v>33970</v>
      </c>
      <c r="S661" s="8">
        <f t="shared" si="80"/>
        <v>1993</v>
      </c>
      <c r="T661" s="8">
        <v>1993</v>
      </c>
      <c r="U661" s="8">
        <f t="shared" si="81"/>
        <v>29</v>
      </c>
      <c r="V661" s="7">
        <v>34182</v>
      </c>
      <c r="W661" t="s">
        <v>5644</v>
      </c>
      <c r="X661" s="2">
        <v>0.69399999999999995</v>
      </c>
      <c r="Y661" s="6">
        <f t="shared" si="86"/>
        <v>1.8525933637649823E-2</v>
      </c>
      <c r="AA661">
        <v>7038992</v>
      </c>
      <c r="AB661">
        <v>13809</v>
      </c>
      <c r="AC661">
        <v>17127971</v>
      </c>
      <c r="AD661" t="s">
        <v>5</v>
      </c>
      <c r="AE661">
        <v>19</v>
      </c>
      <c r="AF661">
        <v>3</v>
      </c>
      <c r="AH661" t="s">
        <v>5652</v>
      </c>
      <c r="AI661" t="s">
        <v>5651</v>
      </c>
      <c r="AK661" t="s">
        <v>5650</v>
      </c>
      <c r="AL661">
        <v>0</v>
      </c>
      <c r="AM661" s="5">
        <f t="shared" si="82"/>
        <v>0</v>
      </c>
      <c r="AN661" s="4">
        <f t="shared" si="87"/>
        <v>0</v>
      </c>
      <c r="AO661" s="3"/>
      <c r="AP661">
        <v>0</v>
      </c>
      <c r="AR661" t="s">
        <v>1</v>
      </c>
      <c r="AT661" s="2">
        <v>2</v>
      </c>
      <c r="AU661" s="1">
        <f t="shared" si="83"/>
        <v>1.2968153546354877</v>
      </c>
      <c r="AV661" s="1">
        <f t="shared" si="84"/>
        <v>0.92629668188249115</v>
      </c>
      <c r="AW661" s="1">
        <f t="shared" si="85"/>
        <v>0.5557780091294946</v>
      </c>
    </row>
    <row r="662" spans="1:49" x14ac:dyDescent="0.2">
      <c r="A662">
        <v>660</v>
      </c>
      <c r="B662" t="s">
        <v>5649</v>
      </c>
      <c r="C662" t="s">
        <v>5648</v>
      </c>
      <c r="F662" t="s">
        <v>5647</v>
      </c>
      <c r="G662" t="s">
        <v>15</v>
      </c>
      <c r="H662" t="s">
        <v>14</v>
      </c>
      <c r="I662" t="s">
        <v>5646</v>
      </c>
      <c r="N662">
        <v>1</v>
      </c>
      <c r="O662" t="s">
        <v>5645</v>
      </c>
      <c r="P662">
        <v>6603048874</v>
      </c>
      <c r="R662" s="7">
        <v>33970</v>
      </c>
      <c r="S662" s="8">
        <f t="shared" si="80"/>
        <v>1993</v>
      </c>
      <c r="T662" s="8">
        <v>1993</v>
      </c>
      <c r="U662" s="8">
        <f t="shared" si="81"/>
        <v>29</v>
      </c>
      <c r="V662" s="7" t="s">
        <v>5626</v>
      </c>
      <c r="W662" t="s">
        <v>5644</v>
      </c>
      <c r="X662" s="2">
        <v>0.69399999999999995</v>
      </c>
      <c r="Y662" s="6">
        <f t="shared" si="86"/>
        <v>1.8525933637649823E-2</v>
      </c>
      <c r="AA662">
        <v>7038992</v>
      </c>
      <c r="AB662">
        <v>13809</v>
      </c>
      <c r="AD662" t="s">
        <v>5</v>
      </c>
      <c r="AE662">
        <v>19</v>
      </c>
      <c r="AF662">
        <v>3</v>
      </c>
      <c r="AH662" t="s">
        <v>5643</v>
      </c>
      <c r="AI662" t="s">
        <v>5642</v>
      </c>
      <c r="AK662" t="s">
        <v>5641</v>
      </c>
      <c r="AL662">
        <v>3</v>
      </c>
      <c r="AM662" s="5">
        <f t="shared" si="82"/>
        <v>0.10344827586206896</v>
      </c>
      <c r="AN662" s="4">
        <f t="shared" si="87"/>
        <v>1.5668046325190301E-4</v>
      </c>
      <c r="AO662" s="3"/>
      <c r="AP662">
        <v>0</v>
      </c>
      <c r="AR662" t="s">
        <v>1</v>
      </c>
      <c r="AT662" s="2">
        <v>2</v>
      </c>
      <c r="AU662" s="1">
        <f t="shared" si="83"/>
        <v>1.3015157685330447</v>
      </c>
      <c r="AV662" s="1">
        <f t="shared" si="84"/>
        <v>0.93413070504508622</v>
      </c>
      <c r="AW662" s="1">
        <f t="shared" si="85"/>
        <v>0.56674564155712781</v>
      </c>
    </row>
    <row r="663" spans="1:49" x14ac:dyDescent="0.2">
      <c r="A663">
        <v>661</v>
      </c>
      <c r="B663" t="s">
        <v>5640</v>
      </c>
      <c r="C663" t="s">
        <v>5639</v>
      </c>
      <c r="F663" t="s">
        <v>5638</v>
      </c>
      <c r="G663" t="s">
        <v>15</v>
      </c>
      <c r="H663" t="s">
        <v>14</v>
      </c>
      <c r="I663" t="s">
        <v>5637</v>
      </c>
      <c r="J663">
        <v>100686397</v>
      </c>
      <c r="K663" t="s">
        <v>5636</v>
      </c>
      <c r="L663" t="s">
        <v>304</v>
      </c>
      <c r="M663" t="s">
        <v>303</v>
      </c>
      <c r="N663">
        <v>2</v>
      </c>
      <c r="O663" t="s">
        <v>5635</v>
      </c>
      <c r="P663" t="s">
        <v>5634</v>
      </c>
      <c r="Q663" t="s">
        <v>5633</v>
      </c>
      <c r="R663" s="7">
        <v>33970</v>
      </c>
      <c r="S663" s="8">
        <f t="shared" si="80"/>
        <v>1993</v>
      </c>
      <c r="T663" s="8">
        <v>1993</v>
      </c>
      <c r="U663" s="8">
        <f t="shared" si="81"/>
        <v>29</v>
      </c>
      <c r="V663" s="7" t="s">
        <v>5626</v>
      </c>
      <c r="W663" s="11" t="s">
        <v>2393</v>
      </c>
      <c r="X663" s="2">
        <v>2.383</v>
      </c>
      <c r="Y663" s="6">
        <f t="shared" si="86"/>
        <v>6.3612824003630442E-2</v>
      </c>
      <c r="AA663" t="s">
        <v>2392</v>
      </c>
      <c r="AB663">
        <v>101151</v>
      </c>
      <c r="AD663" t="s">
        <v>5</v>
      </c>
      <c r="AE663">
        <v>140</v>
      </c>
      <c r="AF663">
        <v>4</v>
      </c>
      <c r="AH663" t="s">
        <v>5632</v>
      </c>
      <c r="AI663" t="s">
        <v>5631</v>
      </c>
      <c r="AK663" t="s">
        <v>5630</v>
      </c>
      <c r="AL663">
        <v>20</v>
      </c>
      <c r="AM663" s="5">
        <f t="shared" si="82"/>
        <v>0.68965517241379315</v>
      </c>
      <c r="AN663" s="4">
        <f t="shared" si="87"/>
        <v>1.0445364216793535E-3</v>
      </c>
      <c r="AO663" s="3"/>
      <c r="AP663">
        <v>0</v>
      </c>
      <c r="AR663" t="s">
        <v>1</v>
      </c>
      <c r="AT663" s="2" t="s">
        <v>0</v>
      </c>
      <c r="AU663" s="1">
        <f t="shared" si="83"/>
        <v>4.4842337729045116</v>
      </c>
      <c r="AV663" s="1">
        <f t="shared" si="84"/>
        <v>3.2328680212654901</v>
      </c>
      <c r="AW663" s="1">
        <f t="shared" si="85"/>
        <v>1.9815022696264679</v>
      </c>
    </row>
    <row r="664" spans="1:49" x14ac:dyDescent="0.2">
      <c r="A664">
        <v>662</v>
      </c>
      <c r="B664" t="s">
        <v>5629</v>
      </c>
      <c r="C664" t="s">
        <v>5628</v>
      </c>
      <c r="F664" t="s">
        <v>5627</v>
      </c>
      <c r="G664" t="s">
        <v>15</v>
      </c>
      <c r="H664" t="s">
        <v>14</v>
      </c>
      <c r="I664" t="s">
        <v>874</v>
      </c>
      <c r="J664">
        <v>60001881</v>
      </c>
      <c r="K664" t="s">
        <v>873</v>
      </c>
      <c r="L664" t="s">
        <v>872</v>
      </c>
      <c r="M664" t="s">
        <v>493</v>
      </c>
      <c r="N664">
        <v>2</v>
      </c>
      <c r="O664" t="s">
        <v>871</v>
      </c>
      <c r="P664" t="s">
        <v>870</v>
      </c>
      <c r="Q664" t="s">
        <v>869</v>
      </c>
      <c r="R664" s="7">
        <v>33970</v>
      </c>
      <c r="S664" s="8">
        <f t="shared" si="80"/>
        <v>1993</v>
      </c>
      <c r="T664" s="8">
        <v>1993</v>
      </c>
      <c r="U664" s="8">
        <f t="shared" si="81"/>
        <v>29</v>
      </c>
      <c r="V664" s="7" t="s">
        <v>5626</v>
      </c>
      <c r="W664" s="11" t="s">
        <v>2393</v>
      </c>
      <c r="X664" s="2">
        <v>2.383</v>
      </c>
      <c r="Y664" s="6">
        <f t="shared" si="86"/>
        <v>6.3612824003630442E-2</v>
      </c>
      <c r="AA664" t="s">
        <v>2392</v>
      </c>
      <c r="AB664">
        <v>101151</v>
      </c>
      <c r="AD664" t="s">
        <v>5</v>
      </c>
      <c r="AE664">
        <v>140</v>
      </c>
      <c r="AF664">
        <v>4</v>
      </c>
      <c r="AH664" t="s">
        <v>5625</v>
      </c>
      <c r="AI664" t="s">
        <v>5624</v>
      </c>
      <c r="AK664" t="s">
        <v>5623</v>
      </c>
      <c r="AL664">
        <v>6</v>
      </c>
      <c r="AM664" s="5">
        <f t="shared" si="82"/>
        <v>0.20689655172413793</v>
      </c>
      <c r="AN664" s="4">
        <f t="shared" si="87"/>
        <v>3.1336092650380602E-4</v>
      </c>
      <c r="AO664" s="3"/>
      <c r="AP664">
        <v>0</v>
      </c>
      <c r="AR664" t="s">
        <v>1</v>
      </c>
      <c r="AT664" s="2" t="s">
        <v>0</v>
      </c>
      <c r="AU664" s="1">
        <f t="shared" si="83"/>
        <v>4.462298508049245</v>
      </c>
      <c r="AV664" s="1">
        <f t="shared" si="84"/>
        <v>3.1963092465067122</v>
      </c>
      <c r="AW664" s="1">
        <f t="shared" si="85"/>
        <v>1.9303199849641799</v>
      </c>
    </row>
    <row r="665" spans="1:49" x14ac:dyDescent="0.2">
      <c r="A665">
        <v>663</v>
      </c>
      <c r="B665" t="s">
        <v>5622</v>
      </c>
      <c r="C665" t="s">
        <v>5621</v>
      </c>
      <c r="F665" t="s">
        <v>5620</v>
      </c>
      <c r="G665" t="s">
        <v>15</v>
      </c>
      <c r="H665" t="s">
        <v>14</v>
      </c>
      <c r="I665" t="s">
        <v>5619</v>
      </c>
      <c r="J665" t="s">
        <v>5618</v>
      </c>
      <c r="K665" t="s">
        <v>5617</v>
      </c>
      <c r="L665" t="s">
        <v>5616</v>
      </c>
      <c r="M665" t="s">
        <v>219</v>
      </c>
      <c r="N665">
        <v>5</v>
      </c>
      <c r="O665" t="s">
        <v>5615</v>
      </c>
      <c r="P665" t="s">
        <v>5614</v>
      </c>
      <c r="Q665" t="s">
        <v>5613</v>
      </c>
      <c r="R665" s="7">
        <v>33970</v>
      </c>
      <c r="S665" s="8">
        <f t="shared" si="80"/>
        <v>1993</v>
      </c>
      <c r="T665" s="8">
        <v>1993</v>
      </c>
      <c r="U665" s="8">
        <f t="shared" si="81"/>
        <v>29</v>
      </c>
      <c r="V665" s="7">
        <v>34182</v>
      </c>
      <c r="W665" t="s">
        <v>1272</v>
      </c>
      <c r="X665" s="2">
        <v>0.94</v>
      </c>
      <c r="Y665" s="6">
        <f t="shared" si="86"/>
        <v>2.5092763140332611E-2</v>
      </c>
      <c r="AA665">
        <v>10518207</v>
      </c>
      <c r="AB665">
        <v>63372</v>
      </c>
      <c r="AD665" t="s">
        <v>5</v>
      </c>
      <c r="AE665">
        <v>3</v>
      </c>
      <c r="AF665">
        <v>8</v>
      </c>
      <c r="AH665" t="s">
        <v>5612</v>
      </c>
      <c r="AI665" t="s">
        <v>5611</v>
      </c>
      <c r="AK665" t="s">
        <v>5610</v>
      </c>
      <c r="AL665">
        <v>4</v>
      </c>
      <c r="AM665" s="5">
        <f t="shared" si="82"/>
        <v>0.13793103448275862</v>
      </c>
      <c r="AN665" s="4">
        <f t="shared" si="87"/>
        <v>2.089072843358707E-4</v>
      </c>
      <c r="AO665" s="3"/>
      <c r="AP665">
        <v>0</v>
      </c>
      <c r="AR665" t="s">
        <v>5609</v>
      </c>
      <c r="AT665" s="2" t="s">
        <v>0</v>
      </c>
      <c r="AU665" s="1">
        <f t="shared" si="83"/>
        <v>1.7627606383533587</v>
      </c>
      <c r="AV665" s="1">
        <f t="shared" si="84"/>
        <v>1.2650835212334242</v>
      </c>
      <c r="AW665" s="1">
        <f t="shared" si="85"/>
        <v>0.76740640411348926</v>
      </c>
    </row>
    <row r="666" spans="1:49" x14ac:dyDescent="0.2">
      <c r="A666">
        <v>664</v>
      </c>
      <c r="B666" t="s">
        <v>5608</v>
      </c>
      <c r="C666" t="s">
        <v>5607</v>
      </c>
      <c r="F666" t="s">
        <v>5606</v>
      </c>
      <c r="G666" t="s">
        <v>15</v>
      </c>
      <c r="H666" t="s">
        <v>14</v>
      </c>
      <c r="I666" t="s">
        <v>5605</v>
      </c>
      <c r="J666">
        <v>60018163</v>
      </c>
      <c r="K666" t="s">
        <v>5604</v>
      </c>
      <c r="L666" t="s">
        <v>1873</v>
      </c>
      <c r="M666" t="s">
        <v>1872</v>
      </c>
      <c r="N666">
        <v>5</v>
      </c>
      <c r="O666" t="s">
        <v>5603</v>
      </c>
      <c r="P666" t="s">
        <v>5602</v>
      </c>
      <c r="Q666" t="s">
        <v>5601</v>
      </c>
      <c r="R666" s="7">
        <v>33970</v>
      </c>
      <c r="S666" s="8">
        <f t="shared" si="80"/>
        <v>1993</v>
      </c>
      <c r="T666" s="8">
        <v>1993</v>
      </c>
      <c r="U666" s="8">
        <f t="shared" si="81"/>
        <v>29</v>
      </c>
      <c r="V666" s="7">
        <v>1993</v>
      </c>
      <c r="W666" t="s">
        <v>5547</v>
      </c>
      <c r="X666" s="2">
        <v>0.246</v>
      </c>
      <c r="Y666" s="6">
        <f t="shared" si="86"/>
        <v>6.5668295026827901E-3</v>
      </c>
      <c r="AA666">
        <v>1734911</v>
      </c>
      <c r="AB666">
        <v>19573</v>
      </c>
      <c r="AC666">
        <v>21916322</v>
      </c>
      <c r="AD666" t="s">
        <v>5</v>
      </c>
      <c r="AE666">
        <v>14</v>
      </c>
      <c r="AF666">
        <v>4</v>
      </c>
      <c r="AH666" t="s">
        <v>5600</v>
      </c>
      <c r="AI666" t="s">
        <v>5599</v>
      </c>
      <c r="AK666" t="s">
        <v>5598</v>
      </c>
      <c r="AL666">
        <v>1</v>
      </c>
      <c r="AM666" s="5">
        <f t="shared" si="82"/>
        <v>3.4482758620689655E-2</v>
      </c>
      <c r="AN666" s="4">
        <f t="shared" si="87"/>
        <v>5.2226821083967674E-5</v>
      </c>
      <c r="AO666" s="3"/>
      <c r="AP666">
        <v>0</v>
      </c>
      <c r="AR666" t="s">
        <v>1</v>
      </c>
      <c r="AT666" s="2" t="s">
        <v>0</v>
      </c>
      <c r="AU666" s="1">
        <f t="shared" si="83"/>
        <v>0.46124486982031426</v>
      </c>
      <c r="AV666" s="1">
        <f t="shared" si="84"/>
        <v>0.33095281618833788</v>
      </c>
      <c r="AW666" s="1">
        <f t="shared" si="85"/>
        <v>0.20066076255636145</v>
      </c>
    </row>
    <row r="667" spans="1:49" x14ac:dyDescent="0.2">
      <c r="A667">
        <v>665</v>
      </c>
      <c r="B667" t="s">
        <v>5597</v>
      </c>
      <c r="C667" t="s">
        <v>5596</v>
      </c>
      <c r="F667" t="s">
        <v>5595</v>
      </c>
      <c r="G667" t="s">
        <v>15</v>
      </c>
      <c r="H667" t="s">
        <v>14</v>
      </c>
      <c r="I667" t="s">
        <v>5594</v>
      </c>
      <c r="J667" t="s">
        <v>5593</v>
      </c>
      <c r="K667" t="s">
        <v>5592</v>
      </c>
      <c r="L667" t="s">
        <v>5591</v>
      </c>
      <c r="M667" t="s">
        <v>2341</v>
      </c>
      <c r="N667">
        <v>4</v>
      </c>
      <c r="O667" t="s">
        <v>5590</v>
      </c>
      <c r="P667" t="s">
        <v>5589</v>
      </c>
      <c r="Q667" t="s">
        <v>5588</v>
      </c>
      <c r="R667" s="7">
        <v>33970</v>
      </c>
      <c r="S667" s="8">
        <f t="shared" si="80"/>
        <v>1993</v>
      </c>
      <c r="T667" s="8">
        <v>1993</v>
      </c>
      <c r="U667" s="8">
        <f t="shared" si="81"/>
        <v>29</v>
      </c>
      <c r="V667" s="7">
        <v>34182</v>
      </c>
      <c r="W667" t="s">
        <v>2565</v>
      </c>
      <c r="X667" s="2">
        <v>1.365</v>
      </c>
      <c r="Y667" s="6">
        <f t="shared" si="86"/>
        <v>3.6437895411227675E-2</v>
      </c>
      <c r="AA667">
        <v>189545</v>
      </c>
      <c r="AB667">
        <v>17393</v>
      </c>
      <c r="AC667">
        <v>19399359</v>
      </c>
      <c r="AD667" t="s">
        <v>5</v>
      </c>
      <c r="AE667">
        <v>42</v>
      </c>
      <c r="AF667">
        <v>3</v>
      </c>
      <c r="AH667" t="s">
        <v>5587</v>
      </c>
      <c r="AI667" t="s">
        <v>5586</v>
      </c>
      <c r="AK667" t="s">
        <v>5585</v>
      </c>
      <c r="AL667">
        <v>62</v>
      </c>
      <c r="AM667" s="5">
        <f t="shared" si="82"/>
        <v>2.1379310344827585</v>
      </c>
      <c r="AN667" s="4">
        <f t="shared" si="87"/>
        <v>3.2380629072059955E-3</v>
      </c>
      <c r="AO667" s="3"/>
      <c r="AP667">
        <v>0</v>
      </c>
      <c r="AR667" t="s">
        <v>1</v>
      </c>
      <c r="AT667" s="2" t="s">
        <v>0</v>
      </c>
      <c r="AU667" s="1">
        <f t="shared" si="83"/>
        <v>2.6477945660021169</v>
      </c>
      <c r="AV667" s="1">
        <f t="shared" si="84"/>
        <v>1.9837979159216836</v>
      </c>
      <c r="AW667" s="1">
        <f t="shared" si="85"/>
        <v>1.3198012658412499</v>
      </c>
    </row>
    <row r="668" spans="1:49" x14ac:dyDescent="0.2">
      <c r="A668">
        <v>666</v>
      </c>
      <c r="B668" t="s">
        <v>5584</v>
      </c>
      <c r="C668" t="s">
        <v>5583</v>
      </c>
      <c r="F668" t="s">
        <v>5582</v>
      </c>
      <c r="G668" t="s">
        <v>15</v>
      </c>
      <c r="H668" t="s">
        <v>14</v>
      </c>
      <c r="I668" t="s">
        <v>4345</v>
      </c>
      <c r="N668">
        <v>2</v>
      </c>
      <c r="O668" t="s">
        <v>5581</v>
      </c>
      <c r="P668" t="s">
        <v>5580</v>
      </c>
      <c r="Q668" t="s">
        <v>1557</v>
      </c>
      <c r="R668" s="7">
        <v>33970</v>
      </c>
      <c r="S668" s="8">
        <f t="shared" si="80"/>
        <v>1993</v>
      </c>
      <c r="T668" s="8">
        <v>1993</v>
      </c>
      <c r="U668" s="8">
        <f t="shared" si="81"/>
        <v>29</v>
      </c>
      <c r="V668" s="7">
        <v>34182</v>
      </c>
      <c r="W668" t="s">
        <v>299</v>
      </c>
      <c r="X668" s="2">
        <v>0.88100000000000001</v>
      </c>
      <c r="Y668" s="6">
        <f t="shared" si="86"/>
        <v>2.3517791836843653E-2</v>
      </c>
      <c r="AA668">
        <v>10459243</v>
      </c>
      <c r="AB668">
        <v>17248</v>
      </c>
      <c r="AD668" t="s">
        <v>5</v>
      </c>
      <c r="AE668">
        <v>35</v>
      </c>
      <c r="AF668">
        <v>4</v>
      </c>
      <c r="AH668" t="s">
        <v>5579</v>
      </c>
      <c r="AI668" t="s">
        <v>5578</v>
      </c>
      <c r="AK668" t="s">
        <v>5577</v>
      </c>
      <c r="AL668">
        <v>5</v>
      </c>
      <c r="AM668" s="5">
        <f t="shared" si="82"/>
        <v>0.17241379310344829</v>
      </c>
      <c r="AN668" s="4">
        <f t="shared" si="87"/>
        <v>2.6113410541983838E-4</v>
      </c>
      <c r="AO668" s="3"/>
      <c r="AP668">
        <v>0</v>
      </c>
      <c r="AR668" t="s">
        <v>1</v>
      </c>
      <c r="AT668" s="2" t="s">
        <v>0</v>
      </c>
      <c r="AU668" s="1">
        <f t="shared" si="83"/>
        <v>1.6540794517416506</v>
      </c>
      <c r="AV668" s="1">
        <f t="shared" si="84"/>
        <v>1.1889462971131746</v>
      </c>
      <c r="AW668" s="1">
        <f t="shared" si="85"/>
        <v>0.72381314248469819</v>
      </c>
    </row>
    <row r="669" spans="1:49" x14ac:dyDescent="0.2">
      <c r="A669">
        <v>667</v>
      </c>
      <c r="B669" t="s">
        <v>5576</v>
      </c>
      <c r="C669" t="s">
        <v>5575</v>
      </c>
      <c r="F669" t="s">
        <v>5574</v>
      </c>
      <c r="G669" t="s">
        <v>15</v>
      </c>
      <c r="H669" t="s">
        <v>14</v>
      </c>
      <c r="I669" t="s">
        <v>5573</v>
      </c>
      <c r="J669">
        <v>60031317</v>
      </c>
      <c r="K669" t="s">
        <v>5572</v>
      </c>
      <c r="L669" t="s">
        <v>5571</v>
      </c>
      <c r="M669" t="s">
        <v>10</v>
      </c>
      <c r="N669">
        <v>1</v>
      </c>
      <c r="O669" t="s">
        <v>5570</v>
      </c>
      <c r="P669">
        <v>57220457228</v>
      </c>
      <c r="Q669">
        <v>60031317</v>
      </c>
      <c r="R669" s="7">
        <v>33970</v>
      </c>
      <c r="S669" s="8">
        <f t="shared" si="80"/>
        <v>1993</v>
      </c>
      <c r="T669" s="8">
        <v>1993</v>
      </c>
      <c r="U669" s="8">
        <f t="shared" si="81"/>
        <v>29</v>
      </c>
      <c r="V669" s="7">
        <v>34182</v>
      </c>
      <c r="W669" t="s">
        <v>800</v>
      </c>
      <c r="X669" s="2">
        <v>1.468</v>
      </c>
      <c r="Y669" s="6">
        <f t="shared" si="86"/>
        <v>3.9187421585115186E-2</v>
      </c>
      <c r="AA669">
        <v>906778</v>
      </c>
      <c r="AB669">
        <v>18931</v>
      </c>
      <c r="AD669" t="s">
        <v>5</v>
      </c>
      <c r="AE669">
        <v>41</v>
      </c>
      <c r="AF669">
        <v>8</v>
      </c>
      <c r="AH669" t="s">
        <v>5569</v>
      </c>
      <c r="AI669" t="s">
        <v>5568</v>
      </c>
      <c r="AK669" t="s">
        <v>5567</v>
      </c>
      <c r="AL669">
        <v>14</v>
      </c>
      <c r="AM669" s="5">
        <f t="shared" si="82"/>
        <v>0.48275862068965519</v>
      </c>
      <c r="AN669" s="4">
        <f t="shared" si="87"/>
        <v>7.3117549517554741E-4</v>
      </c>
      <c r="AO669" s="3"/>
      <c r="AP669">
        <v>0</v>
      </c>
      <c r="AR669" t="s">
        <v>1</v>
      </c>
      <c r="AT669" s="2">
        <v>5.0830000000000002</v>
      </c>
      <c r="AU669" s="1">
        <f t="shared" si="83"/>
        <v>2.7650547758133293</v>
      </c>
      <c r="AV669" s="1">
        <f t="shared" si="84"/>
        <v>1.9959298540145367</v>
      </c>
      <c r="AW669" s="1">
        <f t="shared" si="85"/>
        <v>1.2268049322157439</v>
      </c>
    </row>
    <row r="670" spans="1:49" x14ac:dyDescent="0.2">
      <c r="A670">
        <v>668</v>
      </c>
      <c r="B670" t="s">
        <v>5566</v>
      </c>
      <c r="C670" t="s">
        <v>5565</v>
      </c>
      <c r="F670" t="s">
        <v>5564</v>
      </c>
      <c r="G670" t="s">
        <v>15</v>
      </c>
      <c r="H670" t="s">
        <v>14</v>
      </c>
      <c r="I670" t="s">
        <v>5563</v>
      </c>
      <c r="J670">
        <v>60024324</v>
      </c>
      <c r="K670" t="s">
        <v>5562</v>
      </c>
      <c r="L670" t="s">
        <v>5561</v>
      </c>
      <c r="M670" t="s">
        <v>10</v>
      </c>
      <c r="N670">
        <v>3</v>
      </c>
      <c r="O670" t="s">
        <v>5560</v>
      </c>
      <c r="P670" t="s">
        <v>5559</v>
      </c>
      <c r="Q670" t="s">
        <v>5558</v>
      </c>
      <c r="R670" s="7">
        <v>33970</v>
      </c>
      <c r="S670" s="8">
        <f t="shared" si="80"/>
        <v>1993</v>
      </c>
      <c r="T670" s="8">
        <v>1993</v>
      </c>
      <c r="U670" s="8">
        <f t="shared" si="81"/>
        <v>29</v>
      </c>
      <c r="V670" s="7">
        <v>34182</v>
      </c>
      <c r="W670" t="s">
        <v>4066</v>
      </c>
      <c r="X670" s="2">
        <v>0.91600000000000004</v>
      </c>
      <c r="Y670" s="6">
        <f t="shared" si="86"/>
        <v>2.4452096847387951E-2</v>
      </c>
      <c r="AA670">
        <v>189359</v>
      </c>
      <c r="AB670">
        <v>17344</v>
      </c>
      <c r="AC670">
        <v>15579638</v>
      </c>
      <c r="AD670" t="s">
        <v>5</v>
      </c>
      <c r="AE670">
        <v>36</v>
      </c>
      <c r="AF670">
        <v>3</v>
      </c>
      <c r="AH670" t="s">
        <v>5557</v>
      </c>
      <c r="AI670" t="s">
        <v>5556</v>
      </c>
      <c r="AK670" t="s">
        <v>5555</v>
      </c>
      <c r="AL670">
        <v>5</v>
      </c>
      <c r="AM670" s="5">
        <f t="shared" si="82"/>
        <v>0.17241379310344829</v>
      </c>
      <c r="AN670" s="4">
        <f t="shared" si="87"/>
        <v>2.6113410541983838E-4</v>
      </c>
      <c r="AO670" s="3"/>
      <c r="AP670">
        <v>0</v>
      </c>
      <c r="AR670" t="s">
        <v>1</v>
      </c>
      <c r="AT670" s="2">
        <v>2.1160000000000001</v>
      </c>
      <c r="AU670" s="1">
        <f t="shared" si="83"/>
        <v>1.7194808024797514</v>
      </c>
      <c r="AV670" s="1">
        <f t="shared" si="84"/>
        <v>1.2356615476403896</v>
      </c>
      <c r="AW670" s="1">
        <f t="shared" si="85"/>
        <v>0.7518422928010271</v>
      </c>
    </row>
    <row r="671" spans="1:49" x14ac:dyDescent="0.2">
      <c r="A671">
        <v>669</v>
      </c>
      <c r="B671" t="s">
        <v>5554</v>
      </c>
      <c r="C671" t="s">
        <v>5553</v>
      </c>
      <c r="F671" t="s">
        <v>5552</v>
      </c>
      <c r="G671" t="s">
        <v>15</v>
      </c>
      <c r="H671" t="s">
        <v>14</v>
      </c>
      <c r="I671" t="s">
        <v>5551</v>
      </c>
      <c r="J671">
        <v>60005429</v>
      </c>
      <c r="K671" t="s">
        <v>2412</v>
      </c>
      <c r="L671" t="s">
        <v>2411</v>
      </c>
      <c r="M671" t="s">
        <v>1909</v>
      </c>
      <c r="N671">
        <v>2</v>
      </c>
      <c r="O671" t="s">
        <v>5550</v>
      </c>
      <c r="P671" t="s">
        <v>5549</v>
      </c>
      <c r="Q671" t="s">
        <v>5548</v>
      </c>
      <c r="R671" s="7">
        <v>33970</v>
      </c>
      <c r="S671" s="8">
        <f t="shared" si="80"/>
        <v>1993</v>
      </c>
      <c r="T671" s="8">
        <v>1993</v>
      </c>
      <c r="U671" s="8">
        <f t="shared" si="81"/>
        <v>29</v>
      </c>
      <c r="V671" s="7">
        <v>1993</v>
      </c>
      <c r="W671" t="s">
        <v>5547</v>
      </c>
      <c r="X671" s="2">
        <v>0.246</v>
      </c>
      <c r="Y671" s="6">
        <f t="shared" si="86"/>
        <v>6.5668295026827901E-3</v>
      </c>
      <c r="AA671">
        <v>1734911</v>
      </c>
      <c r="AB671">
        <v>19573</v>
      </c>
      <c r="AC671">
        <v>21916322</v>
      </c>
      <c r="AD671" t="s">
        <v>5</v>
      </c>
      <c r="AE671">
        <v>14</v>
      </c>
      <c r="AF671">
        <v>4</v>
      </c>
      <c r="AH671" t="s">
        <v>5546</v>
      </c>
      <c r="AI671" t="s">
        <v>5545</v>
      </c>
      <c r="AK671" t="s">
        <v>5544</v>
      </c>
      <c r="AL671">
        <v>2</v>
      </c>
      <c r="AM671" s="5">
        <f t="shared" si="82"/>
        <v>6.8965517241379309E-2</v>
      </c>
      <c r="AN671" s="4">
        <f t="shared" si="87"/>
        <v>1.0445364216793535E-4</v>
      </c>
      <c r="AO671" s="3"/>
      <c r="AP671">
        <v>0</v>
      </c>
      <c r="AR671" t="s">
        <v>1</v>
      </c>
      <c r="AT671" s="2" t="s">
        <v>0</v>
      </c>
      <c r="AU671" s="1">
        <f t="shared" si="83"/>
        <v>0.46281167445283328</v>
      </c>
      <c r="AV671" s="1">
        <f t="shared" si="84"/>
        <v>0.33356415724253624</v>
      </c>
      <c r="AW671" s="1">
        <f t="shared" si="85"/>
        <v>0.20431664003223918</v>
      </c>
    </row>
    <row r="672" spans="1:49" x14ac:dyDescent="0.2">
      <c r="A672">
        <v>670</v>
      </c>
      <c r="B672" t="s">
        <v>5543</v>
      </c>
      <c r="C672" t="s">
        <v>5542</v>
      </c>
      <c r="F672" t="s">
        <v>5541</v>
      </c>
      <c r="G672" t="s">
        <v>15</v>
      </c>
      <c r="H672" t="s">
        <v>14</v>
      </c>
      <c r="I672" t="s">
        <v>5540</v>
      </c>
      <c r="J672">
        <v>60014662</v>
      </c>
      <c r="K672" t="s">
        <v>1276</v>
      </c>
      <c r="L672" t="s">
        <v>896</v>
      </c>
      <c r="M672" t="s">
        <v>10</v>
      </c>
      <c r="N672">
        <v>2</v>
      </c>
      <c r="O672" t="s">
        <v>5539</v>
      </c>
      <c r="P672" t="s">
        <v>5538</v>
      </c>
      <c r="Q672" t="s">
        <v>1273</v>
      </c>
      <c r="R672" s="7">
        <v>33970</v>
      </c>
      <c r="S672" s="8">
        <f t="shared" si="80"/>
        <v>1993</v>
      </c>
      <c r="T672" s="8">
        <v>1993</v>
      </c>
      <c r="U672" s="8">
        <f t="shared" si="81"/>
        <v>29</v>
      </c>
      <c r="V672" s="7">
        <v>34182</v>
      </c>
      <c r="W672" t="s">
        <v>1272</v>
      </c>
      <c r="X672" s="2">
        <v>0.94</v>
      </c>
      <c r="Y672" s="6">
        <f t="shared" si="86"/>
        <v>2.5092763140332611E-2</v>
      </c>
      <c r="AA672">
        <v>10518207</v>
      </c>
      <c r="AB672">
        <v>63372</v>
      </c>
      <c r="AD672" t="s">
        <v>5</v>
      </c>
      <c r="AE672">
        <v>3</v>
      </c>
      <c r="AF672">
        <v>8</v>
      </c>
      <c r="AH672" t="s">
        <v>5537</v>
      </c>
      <c r="AI672" t="s">
        <v>5536</v>
      </c>
      <c r="AK672" t="s">
        <v>5535</v>
      </c>
      <c r="AL672">
        <v>14</v>
      </c>
      <c r="AM672" s="5">
        <f t="shared" si="82"/>
        <v>0.48275862068965519</v>
      </c>
      <c r="AN672" s="4">
        <f t="shared" si="87"/>
        <v>7.3117549517554741E-4</v>
      </c>
      <c r="AO672" s="3"/>
      <c r="AP672">
        <v>0</v>
      </c>
      <c r="AR672" t="s">
        <v>1</v>
      </c>
      <c r="AT672" s="2" t="s">
        <v>0</v>
      </c>
      <c r="AU672" s="1">
        <f t="shared" si="83"/>
        <v>1.7784286846785493</v>
      </c>
      <c r="AV672" s="1">
        <f t="shared" si="84"/>
        <v>1.291196931775408</v>
      </c>
      <c r="AW672" s="1">
        <f t="shared" si="85"/>
        <v>0.80396517887226659</v>
      </c>
    </row>
    <row r="673" spans="1:49" x14ac:dyDescent="0.2">
      <c r="A673">
        <v>671</v>
      </c>
      <c r="B673" t="s">
        <v>5534</v>
      </c>
      <c r="C673" t="s">
        <v>5533</v>
      </c>
      <c r="F673" t="s">
        <v>5532</v>
      </c>
      <c r="G673" t="s">
        <v>15</v>
      </c>
      <c r="H673" t="s">
        <v>14</v>
      </c>
      <c r="I673" t="s">
        <v>5531</v>
      </c>
      <c r="J673">
        <v>60014313</v>
      </c>
      <c r="K673" t="s">
        <v>2652</v>
      </c>
      <c r="L673" t="s">
        <v>2651</v>
      </c>
      <c r="M673" t="s">
        <v>10</v>
      </c>
      <c r="N673">
        <v>2</v>
      </c>
      <c r="O673" t="s">
        <v>5530</v>
      </c>
      <c r="P673" t="s">
        <v>5529</v>
      </c>
      <c r="Q673" t="s">
        <v>2648</v>
      </c>
      <c r="R673" s="7">
        <v>33970</v>
      </c>
      <c r="S673" s="8">
        <f t="shared" si="80"/>
        <v>1993</v>
      </c>
      <c r="T673" s="8">
        <v>1993</v>
      </c>
      <c r="U673" s="8">
        <f t="shared" si="81"/>
        <v>29</v>
      </c>
      <c r="V673" s="7">
        <v>34182</v>
      </c>
      <c r="W673" t="s">
        <v>1272</v>
      </c>
      <c r="X673" s="2">
        <v>0.94</v>
      </c>
      <c r="Y673" s="6">
        <f t="shared" si="86"/>
        <v>2.5092763140332611E-2</v>
      </c>
      <c r="AA673">
        <v>10518207</v>
      </c>
      <c r="AB673">
        <v>63372</v>
      </c>
      <c r="AD673" t="s">
        <v>5</v>
      </c>
      <c r="AE673">
        <v>3</v>
      </c>
      <c r="AF673">
        <v>8</v>
      </c>
      <c r="AH673" t="s">
        <v>5528</v>
      </c>
      <c r="AI673" t="s">
        <v>5527</v>
      </c>
      <c r="AK673" t="s">
        <v>5526</v>
      </c>
      <c r="AL673">
        <v>70</v>
      </c>
      <c r="AM673" s="5">
        <f t="shared" si="82"/>
        <v>2.4137931034482758</v>
      </c>
      <c r="AN673" s="4">
        <f t="shared" si="87"/>
        <v>3.655877475877737E-3</v>
      </c>
      <c r="AO673" s="3"/>
      <c r="AP673">
        <v>0</v>
      </c>
      <c r="AR673" t="s">
        <v>1</v>
      </c>
      <c r="AT673" s="2" t="s">
        <v>0</v>
      </c>
      <c r="AU673" s="1">
        <f t="shared" si="83"/>
        <v>1.8661697440996148</v>
      </c>
      <c r="AV673" s="1">
        <f t="shared" si="84"/>
        <v>1.4374320308105175</v>
      </c>
      <c r="AW673" s="1">
        <f t="shared" si="85"/>
        <v>1.0086943175214198</v>
      </c>
    </row>
    <row r="674" spans="1:49" x14ac:dyDescent="0.2">
      <c r="A674">
        <v>672</v>
      </c>
      <c r="B674" t="s">
        <v>5525</v>
      </c>
      <c r="C674" t="s">
        <v>5524</v>
      </c>
      <c r="F674" t="s">
        <v>5523</v>
      </c>
      <c r="G674" t="s">
        <v>15</v>
      </c>
      <c r="H674" t="s">
        <v>14</v>
      </c>
      <c r="I674" t="s">
        <v>5522</v>
      </c>
      <c r="J674" t="s">
        <v>5521</v>
      </c>
      <c r="K674" t="s">
        <v>5520</v>
      </c>
      <c r="L674" t="s">
        <v>5519</v>
      </c>
      <c r="M674" t="s">
        <v>705</v>
      </c>
      <c r="N674">
        <v>4</v>
      </c>
      <c r="O674" t="s">
        <v>5518</v>
      </c>
      <c r="P674" t="s">
        <v>5517</v>
      </c>
      <c r="Q674" t="s">
        <v>5516</v>
      </c>
      <c r="R674" s="7">
        <v>33970</v>
      </c>
      <c r="S674" s="8">
        <f t="shared" si="80"/>
        <v>1993</v>
      </c>
      <c r="T674" s="8">
        <v>1993</v>
      </c>
      <c r="U674" s="8">
        <f t="shared" si="81"/>
        <v>29</v>
      </c>
      <c r="V674" s="7">
        <v>34182</v>
      </c>
      <c r="W674" t="s">
        <v>1272</v>
      </c>
      <c r="X674" s="2">
        <v>0.94</v>
      </c>
      <c r="Y674" s="6">
        <f t="shared" si="86"/>
        <v>2.5092763140332611E-2</v>
      </c>
      <c r="AA674">
        <v>10518207</v>
      </c>
      <c r="AB674">
        <v>63372</v>
      </c>
      <c r="AD674" t="s">
        <v>5</v>
      </c>
      <c r="AE674">
        <v>3</v>
      </c>
      <c r="AF674">
        <v>8</v>
      </c>
      <c r="AH674" t="s">
        <v>5515</v>
      </c>
      <c r="AI674" t="s">
        <v>5514</v>
      </c>
      <c r="AK674" t="s">
        <v>5513</v>
      </c>
      <c r="AL674">
        <v>1</v>
      </c>
      <c r="AM674" s="5">
        <f t="shared" si="82"/>
        <v>3.4482758620689655E-2</v>
      </c>
      <c r="AN674" s="4">
        <f t="shared" si="87"/>
        <v>5.2226821083967674E-5</v>
      </c>
      <c r="AO674" s="3"/>
      <c r="AP674">
        <v>0</v>
      </c>
      <c r="AR674" t="s">
        <v>1</v>
      </c>
      <c r="AT674" s="2" t="s">
        <v>0</v>
      </c>
      <c r="AU674" s="1">
        <f t="shared" si="83"/>
        <v>1.7580602244558017</v>
      </c>
      <c r="AV674" s="1">
        <f t="shared" si="84"/>
        <v>1.2572494980708289</v>
      </c>
      <c r="AW674" s="1">
        <f t="shared" si="85"/>
        <v>0.75643877168585605</v>
      </c>
    </row>
    <row r="675" spans="1:49" x14ac:dyDescent="0.2">
      <c r="A675">
        <v>673</v>
      </c>
      <c r="B675" t="s">
        <v>5512</v>
      </c>
      <c r="C675" t="s">
        <v>5511</v>
      </c>
      <c r="E675">
        <v>8295076</v>
      </c>
      <c r="F675" t="s">
        <v>5510</v>
      </c>
      <c r="G675" t="s">
        <v>15</v>
      </c>
      <c r="H675" t="s">
        <v>14</v>
      </c>
      <c r="I675" t="s">
        <v>5509</v>
      </c>
      <c r="J675" t="s">
        <v>5508</v>
      </c>
      <c r="K675" t="s">
        <v>5507</v>
      </c>
      <c r="L675" t="s">
        <v>5506</v>
      </c>
      <c r="M675" t="s">
        <v>5505</v>
      </c>
      <c r="N675">
        <v>3</v>
      </c>
      <c r="O675" t="s">
        <v>5504</v>
      </c>
      <c r="P675" t="s">
        <v>5503</v>
      </c>
      <c r="Q675" t="s">
        <v>5502</v>
      </c>
      <c r="R675" s="7">
        <v>33970</v>
      </c>
      <c r="S675" s="8">
        <f t="shared" si="80"/>
        <v>1993</v>
      </c>
      <c r="T675" s="8">
        <v>1993</v>
      </c>
      <c r="U675" s="8">
        <f t="shared" si="81"/>
        <v>29</v>
      </c>
      <c r="V675" s="7">
        <v>1993</v>
      </c>
      <c r="W675" t="s">
        <v>5501</v>
      </c>
      <c r="X675" s="2">
        <v>0.51100000000000001</v>
      </c>
      <c r="Y675" s="6">
        <f t="shared" si="86"/>
        <v>1.3640853153946772E-2</v>
      </c>
      <c r="AA675">
        <v>1677063</v>
      </c>
      <c r="AB675">
        <v>16746</v>
      </c>
      <c r="AD675" t="s">
        <v>5</v>
      </c>
      <c r="AE675">
        <v>9</v>
      </c>
      <c r="AF675">
        <v>1</v>
      </c>
      <c r="AH675" t="s">
        <v>5500</v>
      </c>
      <c r="AI675" t="s">
        <v>5499</v>
      </c>
      <c r="AJ675" t="s">
        <v>5498</v>
      </c>
      <c r="AK675" t="s">
        <v>5497</v>
      </c>
      <c r="AL675">
        <v>26</v>
      </c>
      <c r="AM675" s="5">
        <f t="shared" si="82"/>
        <v>0.89655172413793105</v>
      </c>
      <c r="AN675" s="4">
        <f t="shared" si="87"/>
        <v>1.3578973481831594E-3</v>
      </c>
      <c r="AO675" s="3"/>
      <c r="AP675">
        <v>0</v>
      </c>
      <c r="AR675" t="s">
        <v>1</v>
      </c>
      <c r="AT675" s="2">
        <v>1.25</v>
      </c>
      <c r="AU675" s="1">
        <f t="shared" si="83"/>
        <v>0.99559664122176872</v>
      </c>
      <c r="AV675" s="1">
        <f t="shared" si="84"/>
        <v>0.74993752510649658</v>
      </c>
      <c r="AW675" s="1">
        <f t="shared" si="85"/>
        <v>0.50427840899122434</v>
      </c>
    </row>
    <row r="676" spans="1:49" x14ac:dyDescent="0.2">
      <c r="A676">
        <v>674</v>
      </c>
      <c r="B676" t="s">
        <v>5496</v>
      </c>
      <c r="C676" t="s">
        <v>5495</v>
      </c>
      <c r="F676" t="s">
        <v>5494</v>
      </c>
      <c r="G676" t="s">
        <v>15</v>
      </c>
      <c r="H676" t="s">
        <v>14</v>
      </c>
      <c r="I676" t="s">
        <v>5493</v>
      </c>
      <c r="J676">
        <v>60011073</v>
      </c>
      <c r="K676" t="s">
        <v>5492</v>
      </c>
      <c r="L676" t="s">
        <v>5491</v>
      </c>
      <c r="M676" t="s">
        <v>10</v>
      </c>
      <c r="N676">
        <v>1</v>
      </c>
      <c r="O676" t="s">
        <v>5490</v>
      </c>
      <c r="P676">
        <v>6602351532</v>
      </c>
      <c r="Q676">
        <v>60011073</v>
      </c>
      <c r="R676" s="7">
        <v>33970</v>
      </c>
      <c r="S676" s="8">
        <f t="shared" si="80"/>
        <v>1993</v>
      </c>
      <c r="T676" s="8">
        <v>1993</v>
      </c>
      <c r="U676" s="8">
        <f t="shared" si="81"/>
        <v>29</v>
      </c>
      <c r="V676" s="7">
        <v>34151</v>
      </c>
      <c r="W676" t="s">
        <v>814</v>
      </c>
      <c r="X676" s="2">
        <v>1.6519999999999999</v>
      </c>
      <c r="Y676" s="6">
        <f t="shared" si="86"/>
        <v>4.409919649769093E-2</v>
      </c>
      <c r="AA676" t="s">
        <v>813</v>
      </c>
      <c r="AB676">
        <v>17337</v>
      </c>
      <c r="AC676">
        <v>15582221</v>
      </c>
      <c r="AD676" t="s">
        <v>5</v>
      </c>
      <c r="AE676">
        <v>41</v>
      </c>
      <c r="AF676">
        <v>7</v>
      </c>
      <c r="AH676" t="s">
        <v>5489</v>
      </c>
      <c r="AI676" t="s">
        <v>5488</v>
      </c>
      <c r="AK676" t="s">
        <v>5487</v>
      </c>
      <c r="AL676">
        <v>4</v>
      </c>
      <c r="AM676" s="5">
        <f t="shared" si="82"/>
        <v>0.13793103448275862</v>
      </c>
      <c r="AN676" s="4">
        <f t="shared" si="87"/>
        <v>2.089072843358707E-4</v>
      </c>
      <c r="AO676" s="3"/>
      <c r="AP676">
        <v>0</v>
      </c>
      <c r="AR676" t="s">
        <v>1</v>
      </c>
      <c r="AT676" s="2" t="s">
        <v>0</v>
      </c>
      <c r="AU676" s="1">
        <f t="shared" si="83"/>
        <v>3.093210973368441</v>
      </c>
      <c r="AV676" s="1">
        <f t="shared" si="84"/>
        <v>2.21540518910134</v>
      </c>
      <c r="AW676" s="1">
        <f t="shared" si="85"/>
        <v>1.3375994048342388</v>
      </c>
    </row>
    <row r="677" spans="1:49" x14ac:dyDescent="0.2">
      <c r="A677">
        <v>675</v>
      </c>
      <c r="B677" t="s">
        <v>5486</v>
      </c>
      <c r="C677" t="s">
        <v>5485</v>
      </c>
      <c r="F677" t="s">
        <v>5484</v>
      </c>
      <c r="G677" t="s">
        <v>15</v>
      </c>
      <c r="H677" t="s">
        <v>14</v>
      </c>
      <c r="I677" t="s">
        <v>5483</v>
      </c>
      <c r="J677" t="s">
        <v>5482</v>
      </c>
      <c r="K677" t="s">
        <v>5481</v>
      </c>
      <c r="L677" t="s">
        <v>5480</v>
      </c>
      <c r="M677" t="s">
        <v>1975</v>
      </c>
      <c r="N677">
        <v>2</v>
      </c>
      <c r="O677" t="s">
        <v>5479</v>
      </c>
      <c r="P677" t="s">
        <v>5478</v>
      </c>
      <c r="Q677" t="s">
        <v>5477</v>
      </c>
      <c r="R677" s="7">
        <v>33970</v>
      </c>
      <c r="S677" s="8">
        <f t="shared" si="80"/>
        <v>1993</v>
      </c>
      <c r="T677" s="8">
        <v>1993</v>
      </c>
      <c r="U677" s="8">
        <f t="shared" si="81"/>
        <v>29</v>
      </c>
      <c r="V677" s="7">
        <v>34151</v>
      </c>
      <c r="W677" t="s">
        <v>814</v>
      </c>
      <c r="X677" s="2">
        <v>1.6519999999999999</v>
      </c>
      <c r="Y677" s="6">
        <f t="shared" si="86"/>
        <v>4.409919649769093E-2</v>
      </c>
      <c r="AA677" t="s">
        <v>813</v>
      </c>
      <c r="AB677">
        <v>17337</v>
      </c>
      <c r="AC677">
        <v>15582221</v>
      </c>
      <c r="AD677" t="s">
        <v>5</v>
      </c>
      <c r="AE677">
        <v>41</v>
      </c>
      <c r="AF677">
        <v>7</v>
      </c>
      <c r="AH677" t="s">
        <v>5476</v>
      </c>
      <c r="AI677" t="s">
        <v>5475</v>
      </c>
      <c r="AK677" t="s">
        <v>5474</v>
      </c>
      <c r="AL677">
        <v>35</v>
      </c>
      <c r="AM677" s="5">
        <f t="shared" si="82"/>
        <v>1.2068965517241379</v>
      </c>
      <c r="AN677" s="4">
        <f t="shared" si="87"/>
        <v>1.8279387379388685E-3</v>
      </c>
      <c r="AO677" s="3"/>
      <c r="AP677">
        <v>0</v>
      </c>
      <c r="AQ677" t="s">
        <v>2475</v>
      </c>
      <c r="AR677" t="s">
        <v>5473</v>
      </c>
      <c r="AS677" t="s">
        <v>2473</v>
      </c>
      <c r="AT677" s="2" t="s">
        <v>0</v>
      </c>
      <c r="AU677" s="1">
        <f t="shared" si="83"/>
        <v>3.1417819169765311</v>
      </c>
      <c r="AV677" s="1">
        <f t="shared" si="84"/>
        <v>2.2963567617814902</v>
      </c>
      <c r="AW677" s="1">
        <f t="shared" si="85"/>
        <v>1.4509316065864486</v>
      </c>
    </row>
    <row r="678" spans="1:49" x14ac:dyDescent="0.2">
      <c r="A678">
        <v>676</v>
      </c>
      <c r="B678" t="s">
        <v>5472</v>
      </c>
      <c r="C678" t="s">
        <v>5471</v>
      </c>
      <c r="F678" t="s">
        <v>5470</v>
      </c>
      <c r="G678" t="s">
        <v>15</v>
      </c>
      <c r="H678" t="s">
        <v>14</v>
      </c>
      <c r="I678" t="s">
        <v>5469</v>
      </c>
      <c r="J678">
        <v>60076904</v>
      </c>
      <c r="K678" t="s">
        <v>3674</v>
      </c>
      <c r="L678" t="s">
        <v>3673</v>
      </c>
      <c r="M678" t="s">
        <v>10</v>
      </c>
      <c r="N678">
        <v>1</v>
      </c>
      <c r="O678" t="s">
        <v>5468</v>
      </c>
      <c r="P678">
        <v>7005725380</v>
      </c>
      <c r="Q678">
        <v>60076904</v>
      </c>
      <c r="R678" s="7">
        <v>33970</v>
      </c>
      <c r="S678" s="8">
        <f t="shared" si="80"/>
        <v>1993</v>
      </c>
      <c r="T678" s="8">
        <v>1993</v>
      </c>
      <c r="U678" s="8">
        <f t="shared" si="81"/>
        <v>29</v>
      </c>
      <c r="V678" s="7">
        <v>34151</v>
      </c>
      <c r="W678" t="s">
        <v>814</v>
      </c>
      <c r="X678" s="2">
        <v>1.6519999999999999</v>
      </c>
      <c r="Y678" s="6">
        <f t="shared" si="86"/>
        <v>4.409919649769093E-2</v>
      </c>
      <c r="AA678" t="s">
        <v>813</v>
      </c>
      <c r="AB678">
        <v>17337</v>
      </c>
      <c r="AC678">
        <v>15582221</v>
      </c>
      <c r="AD678" t="s">
        <v>5</v>
      </c>
      <c r="AE678">
        <v>41</v>
      </c>
      <c r="AF678">
        <v>7</v>
      </c>
      <c r="AH678" t="s">
        <v>5467</v>
      </c>
      <c r="AI678" t="s">
        <v>5466</v>
      </c>
      <c r="AK678" t="s">
        <v>5465</v>
      </c>
      <c r="AL678">
        <v>13</v>
      </c>
      <c r="AM678" s="5">
        <f t="shared" si="82"/>
        <v>0.44827586206896552</v>
      </c>
      <c r="AN678" s="4">
        <f t="shared" si="87"/>
        <v>6.7894867409157972E-4</v>
      </c>
      <c r="AO678" s="3"/>
      <c r="AP678">
        <v>0</v>
      </c>
      <c r="AR678" t="s">
        <v>1</v>
      </c>
      <c r="AT678" s="2" t="s">
        <v>0</v>
      </c>
      <c r="AU678" s="1">
        <f t="shared" si="83"/>
        <v>3.1073122150611128</v>
      </c>
      <c r="AV678" s="1">
        <f t="shared" si="84"/>
        <v>2.2389072585891254</v>
      </c>
      <c r="AW678" s="1">
        <f t="shared" si="85"/>
        <v>1.3705023021171385</v>
      </c>
    </row>
    <row r="679" spans="1:49" x14ac:dyDescent="0.2">
      <c r="A679">
        <v>677</v>
      </c>
      <c r="B679" t="s">
        <v>5464</v>
      </c>
      <c r="C679" t="s">
        <v>5463</v>
      </c>
      <c r="F679" t="s">
        <v>5462</v>
      </c>
      <c r="G679" t="s">
        <v>15</v>
      </c>
      <c r="H679" t="s">
        <v>14</v>
      </c>
      <c r="I679" t="s">
        <v>2710</v>
      </c>
      <c r="J679">
        <v>60108318</v>
      </c>
      <c r="K679" t="s">
        <v>2709</v>
      </c>
      <c r="L679" t="s">
        <v>997</v>
      </c>
      <c r="M679" t="s">
        <v>10</v>
      </c>
      <c r="N679">
        <v>5</v>
      </c>
      <c r="O679" t="s">
        <v>5461</v>
      </c>
      <c r="P679" t="s">
        <v>5460</v>
      </c>
      <c r="Q679" t="s">
        <v>5459</v>
      </c>
      <c r="R679" s="7">
        <v>33970</v>
      </c>
      <c r="S679" s="8">
        <f t="shared" si="80"/>
        <v>1993</v>
      </c>
      <c r="T679" s="8">
        <v>1993</v>
      </c>
      <c r="U679" s="8">
        <f t="shared" si="81"/>
        <v>29</v>
      </c>
      <c r="V679" s="7">
        <v>34151</v>
      </c>
      <c r="W679" t="s">
        <v>5458</v>
      </c>
      <c r="X679" s="2">
        <v>0.66100000000000003</v>
      </c>
      <c r="Y679" s="6">
        <f t="shared" si="86"/>
        <v>1.7645017484850912E-2</v>
      </c>
      <c r="AA679">
        <v>189197</v>
      </c>
      <c r="AB679">
        <v>26022</v>
      </c>
      <c r="AC679">
        <v>15581713</v>
      </c>
      <c r="AD679" t="s">
        <v>5</v>
      </c>
      <c r="AE679">
        <v>29</v>
      </c>
      <c r="AF679">
        <v>7</v>
      </c>
      <c r="AH679" t="s">
        <v>5457</v>
      </c>
      <c r="AI679" t="s">
        <v>5456</v>
      </c>
      <c r="AK679" t="s">
        <v>5455</v>
      </c>
      <c r="AL679">
        <v>7</v>
      </c>
      <c r="AM679" s="5">
        <f t="shared" si="82"/>
        <v>0.2413793103448276</v>
      </c>
      <c r="AN679" s="4">
        <f t="shared" si="87"/>
        <v>3.655877475877737E-4</v>
      </c>
      <c r="AO679" s="3"/>
      <c r="AP679">
        <v>0</v>
      </c>
      <c r="AQ679" t="s">
        <v>761</v>
      </c>
      <c r="AR679" t="s">
        <v>5454</v>
      </c>
      <c r="AS679" t="s">
        <v>759</v>
      </c>
      <c r="AT679" s="2">
        <v>2.3180000000000001</v>
      </c>
      <c r="AU679" s="1">
        <f t="shared" si="83"/>
        <v>1.246118856367197</v>
      </c>
      <c r="AV679" s="1">
        <f t="shared" si="84"/>
        <v>0.90053026162193428</v>
      </c>
      <c r="AW679" s="1">
        <f t="shared" si="85"/>
        <v>0.55494166687667157</v>
      </c>
    </row>
    <row r="680" spans="1:49" x14ac:dyDescent="0.2">
      <c r="A680">
        <v>678</v>
      </c>
      <c r="B680" t="s">
        <v>5453</v>
      </c>
      <c r="C680" t="s">
        <v>5452</v>
      </c>
      <c r="F680" t="s">
        <v>5451</v>
      </c>
      <c r="G680" t="s">
        <v>15</v>
      </c>
      <c r="H680" t="s">
        <v>14</v>
      </c>
      <c r="I680" t="s">
        <v>5450</v>
      </c>
      <c r="J680">
        <v>60018208</v>
      </c>
      <c r="K680" t="s">
        <v>5215</v>
      </c>
      <c r="L680" t="s">
        <v>5214</v>
      </c>
      <c r="M680" t="s">
        <v>10</v>
      </c>
      <c r="N680">
        <v>4</v>
      </c>
      <c r="O680" t="s">
        <v>5449</v>
      </c>
      <c r="P680" t="s">
        <v>5448</v>
      </c>
      <c r="Q680" t="s">
        <v>5447</v>
      </c>
      <c r="R680" s="7">
        <v>33970</v>
      </c>
      <c r="S680" s="8">
        <f t="shared" si="80"/>
        <v>1993</v>
      </c>
      <c r="T680" s="8">
        <v>1993</v>
      </c>
      <c r="U680" s="8">
        <f t="shared" si="81"/>
        <v>29</v>
      </c>
      <c r="V680" s="7">
        <v>34151</v>
      </c>
      <c r="W680" t="s">
        <v>814</v>
      </c>
      <c r="X680" s="2">
        <v>1.6519999999999999</v>
      </c>
      <c r="Y680" s="6">
        <f t="shared" si="86"/>
        <v>4.409919649769093E-2</v>
      </c>
      <c r="AA680" t="s">
        <v>813</v>
      </c>
      <c r="AB680">
        <v>17337</v>
      </c>
      <c r="AC680">
        <v>15582221</v>
      </c>
      <c r="AD680" t="s">
        <v>5</v>
      </c>
      <c r="AE680">
        <v>41</v>
      </c>
      <c r="AF680">
        <v>7</v>
      </c>
      <c r="AH680" t="s">
        <v>5446</v>
      </c>
      <c r="AI680" t="s">
        <v>5445</v>
      </c>
      <c r="AK680" t="s">
        <v>5444</v>
      </c>
      <c r="AL680">
        <v>67</v>
      </c>
      <c r="AM680" s="5">
        <f t="shared" si="82"/>
        <v>2.3103448275862069</v>
      </c>
      <c r="AN680" s="4">
        <f t="shared" si="87"/>
        <v>3.4991970126258339E-3</v>
      </c>
      <c r="AO680" s="3"/>
      <c r="AP680">
        <v>0</v>
      </c>
      <c r="AR680" t="s">
        <v>1</v>
      </c>
      <c r="AT680" s="2" t="s">
        <v>0</v>
      </c>
      <c r="AU680" s="1">
        <f t="shared" si="83"/>
        <v>3.1919196652171395</v>
      </c>
      <c r="AV680" s="1">
        <f t="shared" si="84"/>
        <v>2.3799196755158381</v>
      </c>
      <c r="AW680" s="1">
        <f t="shared" si="85"/>
        <v>1.5679196858145359</v>
      </c>
    </row>
    <row r="681" spans="1:49" x14ac:dyDescent="0.2">
      <c r="A681">
        <v>679</v>
      </c>
      <c r="B681" t="s">
        <v>5443</v>
      </c>
      <c r="C681" t="s">
        <v>5442</v>
      </c>
      <c r="F681" t="s">
        <v>5441</v>
      </c>
      <c r="G681" t="s">
        <v>15</v>
      </c>
      <c r="H681" t="s">
        <v>14</v>
      </c>
      <c r="I681" t="s">
        <v>5440</v>
      </c>
      <c r="J681">
        <v>60018179</v>
      </c>
      <c r="K681" t="s">
        <v>5439</v>
      </c>
      <c r="L681" t="s">
        <v>5438</v>
      </c>
      <c r="M681" t="s">
        <v>10</v>
      </c>
      <c r="N681">
        <v>2</v>
      </c>
      <c r="O681" t="s">
        <v>5437</v>
      </c>
      <c r="P681" t="s">
        <v>5436</v>
      </c>
      <c r="Q681" t="s">
        <v>5435</v>
      </c>
      <c r="R681" s="7">
        <v>33970</v>
      </c>
      <c r="S681" s="8">
        <f t="shared" si="80"/>
        <v>1993</v>
      </c>
      <c r="T681" s="8">
        <v>1993</v>
      </c>
      <c r="U681" s="8">
        <f t="shared" si="81"/>
        <v>29</v>
      </c>
      <c r="V681" s="7">
        <v>34151</v>
      </c>
      <c r="W681" t="s">
        <v>3890</v>
      </c>
      <c r="X681" s="2">
        <v>0.251</v>
      </c>
      <c r="Y681" s="6">
        <f t="shared" si="86"/>
        <v>6.7003016470462617E-3</v>
      </c>
      <c r="AA681">
        <v>207217</v>
      </c>
      <c r="AB681">
        <v>26145</v>
      </c>
      <c r="AC681">
        <v>13623060</v>
      </c>
      <c r="AD681" t="s">
        <v>5</v>
      </c>
      <c r="AE681">
        <v>75</v>
      </c>
      <c r="AF681">
        <v>1</v>
      </c>
      <c r="AH681" t="s">
        <v>5434</v>
      </c>
      <c r="AI681" t="s">
        <v>5433</v>
      </c>
      <c r="AK681" t="s">
        <v>5432</v>
      </c>
      <c r="AL681">
        <v>0</v>
      </c>
      <c r="AM681" s="5">
        <f t="shared" si="82"/>
        <v>0</v>
      </c>
      <c r="AN681" s="4">
        <f t="shared" si="87"/>
        <v>0</v>
      </c>
      <c r="AO681" s="3"/>
      <c r="AP681">
        <v>0</v>
      </c>
      <c r="AR681" t="s">
        <v>1</v>
      </c>
      <c r="AT681" s="2">
        <v>1.3360000000000001</v>
      </c>
      <c r="AU681" s="1">
        <f t="shared" si="83"/>
        <v>0.46902111529323826</v>
      </c>
      <c r="AV681" s="1">
        <f t="shared" si="84"/>
        <v>0.33501508235231309</v>
      </c>
      <c r="AW681" s="1">
        <f t="shared" si="85"/>
        <v>0.20100904941138784</v>
      </c>
    </row>
    <row r="682" spans="1:49" x14ac:dyDescent="0.2">
      <c r="A682">
        <v>680</v>
      </c>
      <c r="B682" t="s">
        <v>5431</v>
      </c>
      <c r="C682" t="s">
        <v>5430</v>
      </c>
      <c r="F682" t="s">
        <v>5429</v>
      </c>
      <c r="G682" t="s">
        <v>15</v>
      </c>
      <c r="H682" t="s">
        <v>14</v>
      </c>
      <c r="I682" t="s">
        <v>5428</v>
      </c>
      <c r="J682">
        <v>60025997</v>
      </c>
      <c r="K682" t="s">
        <v>5427</v>
      </c>
      <c r="L682" t="s">
        <v>151</v>
      </c>
      <c r="M682" t="s">
        <v>150</v>
      </c>
      <c r="N682">
        <v>2</v>
      </c>
      <c r="O682" t="s">
        <v>5426</v>
      </c>
      <c r="P682" t="s">
        <v>5425</v>
      </c>
      <c r="Q682" t="s">
        <v>5424</v>
      </c>
      <c r="R682" s="7">
        <v>33970</v>
      </c>
      <c r="S682" s="8">
        <f t="shared" si="80"/>
        <v>1993</v>
      </c>
      <c r="T682" s="8">
        <v>1993</v>
      </c>
      <c r="U682" s="8">
        <f t="shared" si="81"/>
        <v>29</v>
      </c>
      <c r="V682" s="7">
        <v>1993</v>
      </c>
      <c r="W682" t="s">
        <v>1720</v>
      </c>
      <c r="X682" s="2">
        <v>0.111</v>
      </c>
      <c r="Y682" s="6">
        <f t="shared" si="86"/>
        <v>2.9630816048690639E-3</v>
      </c>
      <c r="AA682">
        <v>87566621</v>
      </c>
      <c r="AB682">
        <v>24890</v>
      </c>
      <c r="AC682">
        <v>15206424</v>
      </c>
      <c r="AD682" t="s">
        <v>5</v>
      </c>
      <c r="AE682">
        <v>76</v>
      </c>
      <c r="AF682">
        <v>7</v>
      </c>
      <c r="AH682" t="s">
        <v>5423</v>
      </c>
      <c r="AI682" t="s">
        <v>5422</v>
      </c>
      <c r="AJ682" t="s">
        <v>5421</v>
      </c>
      <c r="AK682" t="s">
        <v>5420</v>
      </c>
      <c r="AL682">
        <v>0</v>
      </c>
      <c r="AM682" s="5">
        <f t="shared" si="82"/>
        <v>0</v>
      </c>
      <c r="AN682" s="4">
        <f t="shared" si="87"/>
        <v>0</v>
      </c>
      <c r="AO682" s="3"/>
      <c r="AP682">
        <v>0</v>
      </c>
      <c r="AR682" t="s">
        <v>1</v>
      </c>
      <c r="AT682" s="2" t="s">
        <v>0</v>
      </c>
      <c r="AU682" s="1">
        <f t="shared" si="83"/>
        <v>0.20741571234083445</v>
      </c>
      <c r="AV682" s="1">
        <f t="shared" si="84"/>
        <v>0.1481540802434532</v>
      </c>
      <c r="AW682" s="1">
        <f t="shared" si="85"/>
        <v>8.8892448146071903E-2</v>
      </c>
    </row>
    <row r="683" spans="1:49" x14ac:dyDescent="0.2">
      <c r="A683">
        <v>681</v>
      </c>
      <c r="B683" t="s">
        <v>5419</v>
      </c>
      <c r="C683" t="s">
        <v>5418</v>
      </c>
      <c r="F683" t="s">
        <v>5417</v>
      </c>
      <c r="G683" t="s">
        <v>15</v>
      </c>
      <c r="H683" t="s">
        <v>14</v>
      </c>
      <c r="I683" t="s">
        <v>5416</v>
      </c>
      <c r="J683" t="s">
        <v>5415</v>
      </c>
      <c r="K683" t="s">
        <v>5414</v>
      </c>
      <c r="L683" t="s">
        <v>5413</v>
      </c>
      <c r="M683" t="s">
        <v>2341</v>
      </c>
      <c r="N683">
        <v>4</v>
      </c>
      <c r="O683" t="s">
        <v>5412</v>
      </c>
      <c r="P683" t="s">
        <v>5411</v>
      </c>
      <c r="Q683" t="s">
        <v>5410</v>
      </c>
      <c r="R683" s="7">
        <v>33970</v>
      </c>
      <c r="S683" s="8">
        <f t="shared" si="80"/>
        <v>1993</v>
      </c>
      <c r="T683" s="8">
        <v>1993</v>
      </c>
      <c r="U683" s="8">
        <f t="shared" si="81"/>
        <v>29</v>
      </c>
      <c r="V683" s="7">
        <v>1993</v>
      </c>
      <c r="W683" t="s">
        <v>1720</v>
      </c>
      <c r="X683" s="2">
        <v>0.111</v>
      </c>
      <c r="Y683" s="6">
        <f t="shared" si="86"/>
        <v>2.9630816048690639E-3</v>
      </c>
      <c r="AA683">
        <v>87566621</v>
      </c>
      <c r="AB683">
        <v>24890</v>
      </c>
      <c r="AC683">
        <v>15206424</v>
      </c>
      <c r="AD683" t="s">
        <v>5</v>
      </c>
      <c r="AE683">
        <v>76</v>
      </c>
      <c r="AF683">
        <v>7</v>
      </c>
      <c r="AH683" t="s">
        <v>5409</v>
      </c>
      <c r="AI683" t="s">
        <v>5408</v>
      </c>
      <c r="AJ683" t="s">
        <v>5407</v>
      </c>
      <c r="AK683" t="s">
        <v>5406</v>
      </c>
      <c r="AL683">
        <v>0</v>
      </c>
      <c r="AM683" s="5">
        <f t="shared" si="82"/>
        <v>0</v>
      </c>
      <c r="AN683" s="4">
        <f t="shared" si="87"/>
        <v>0</v>
      </c>
      <c r="AO683" s="3"/>
      <c r="AP683">
        <v>0</v>
      </c>
      <c r="AR683" t="s">
        <v>1</v>
      </c>
      <c r="AT683" s="2" t="s">
        <v>0</v>
      </c>
      <c r="AU683" s="1">
        <f t="shared" si="83"/>
        <v>0.20741571234083445</v>
      </c>
      <c r="AV683" s="1">
        <f t="shared" si="84"/>
        <v>0.1481540802434532</v>
      </c>
      <c r="AW683" s="1">
        <f t="shared" si="85"/>
        <v>8.8892448146071903E-2</v>
      </c>
    </row>
    <row r="684" spans="1:49" x14ac:dyDescent="0.2">
      <c r="A684">
        <v>682</v>
      </c>
      <c r="B684" t="s">
        <v>5405</v>
      </c>
      <c r="C684" t="s">
        <v>5404</v>
      </c>
      <c r="F684" t="s">
        <v>5403</v>
      </c>
      <c r="G684" t="s">
        <v>15</v>
      </c>
      <c r="H684" t="s">
        <v>14</v>
      </c>
      <c r="I684" t="s">
        <v>5402</v>
      </c>
      <c r="J684">
        <v>60005811</v>
      </c>
      <c r="K684" t="s">
        <v>5401</v>
      </c>
      <c r="L684" t="s">
        <v>5400</v>
      </c>
      <c r="M684" t="s">
        <v>59</v>
      </c>
      <c r="N684">
        <v>1</v>
      </c>
      <c r="O684" t="s">
        <v>5399</v>
      </c>
      <c r="P684">
        <v>7004311323</v>
      </c>
      <c r="Q684">
        <v>60005811</v>
      </c>
      <c r="R684" s="7">
        <v>33970</v>
      </c>
      <c r="S684" s="8">
        <f t="shared" si="80"/>
        <v>1993</v>
      </c>
      <c r="T684" s="8">
        <v>1993</v>
      </c>
      <c r="U684" s="8">
        <f t="shared" si="81"/>
        <v>29</v>
      </c>
      <c r="V684" s="7">
        <v>34151</v>
      </c>
      <c r="W684" t="s">
        <v>1687</v>
      </c>
      <c r="X684" s="2">
        <v>0.752</v>
      </c>
      <c r="Y684" s="6">
        <f t="shared" si="86"/>
        <v>2.0074210512266089E-2</v>
      </c>
      <c r="AA684">
        <v>3649059</v>
      </c>
      <c r="AB684">
        <v>17277</v>
      </c>
      <c r="AC684">
        <v>15581691</v>
      </c>
      <c r="AD684" t="s">
        <v>5</v>
      </c>
      <c r="AE684">
        <v>18</v>
      </c>
      <c r="AF684">
        <v>3</v>
      </c>
      <c r="AH684" t="s">
        <v>5398</v>
      </c>
      <c r="AI684" t="s">
        <v>5397</v>
      </c>
      <c r="AJ684" t="s">
        <v>5396</v>
      </c>
      <c r="AK684" t="s">
        <v>5395</v>
      </c>
      <c r="AL684">
        <v>8</v>
      </c>
      <c r="AM684" s="5">
        <f t="shared" si="82"/>
        <v>0.27586206896551724</v>
      </c>
      <c r="AN684" s="4">
        <f t="shared" si="87"/>
        <v>4.1781456867174139E-4</v>
      </c>
      <c r="AO684" s="3"/>
      <c r="AP684">
        <v>0</v>
      </c>
      <c r="AR684" t="s">
        <v>1</v>
      </c>
      <c r="AT684" s="2">
        <v>3.5539999999999998</v>
      </c>
      <c r="AU684" s="1">
        <f t="shared" si="83"/>
        <v>1.4177291729187784</v>
      </c>
      <c r="AV684" s="1">
        <f t="shared" si="84"/>
        <v>1.0246012540468914</v>
      </c>
      <c r="AW684" s="1">
        <f t="shared" si="85"/>
        <v>0.63147333517500448</v>
      </c>
    </row>
    <row r="685" spans="1:49" x14ac:dyDescent="0.2">
      <c r="A685">
        <v>683</v>
      </c>
      <c r="B685" t="s">
        <v>5394</v>
      </c>
      <c r="C685" t="s">
        <v>5393</v>
      </c>
      <c r="F685" t="s">
        <v>5392</v>
      </c>
      <c r="G685" t="s">
        <v>15</v>
      </c>
      <c r="H685" t="s">
        <v>14</v>
      </c>
      <c r="I685" t="s">
        <v>5391</v>
      </c>
      <c r="J685">
        <v>60005304</v>
      </c>
      <c r="K685" t="s">
        <v>592</v>
      </c>
      <c r="L685" t="s">
        <v>591</v>
      </c>
      <c r="M685" t="s">
        <v>10</v>
      </c>
      <c r="N685">
        <v>2</v>
      </c>
      <c r="O685" t="s">
        <v>5390</v>
      </c>
      <c r="P685" t="s">
        <v>5389</v>
      </c>
      <c r="Q685" t="s">
        <v>4190</v>
      </c>
      <c r="R685" s="7">
        <v>33970</v>
      </c>
      <c r="S685" s="8">
        <f t="shared" si="80"/>
        <v>1993</v>
      </c>
      <c r="T685" s="8">
        <v>1993</v>
      </c>
      <c r="U685" s="8">
        <f t="shared" si="81"/>
        <v>29</v>
      </c>
      <c r="V685" s="7">
        <v>34151</v>
      </c>
      <c r="W685" t="s">
        <v>814</v>
      </c>
      <c r="X685" s="2">
        <v>1.6519999999999999</v>
      </c>
      <c r="Y685" s="6">
        <f t="shared" si="86"/>
        <v>4.409919649769093E-2</v>
      </c>
      <c r="AA685" t="s">
        <v>813</v>
      </c>
      <c r="AB685">
        <v>17337</v>
      </c>
      <c r="AC685">
        <v>15582221</v>
      </c>
      <c r="AD685" t="s">
        <v>5</v>
      </c>
      <c r="AE685">
        <v>41</v>
      </c>
      <c r="AF685">
        <v>7</v>
      </c>
      <c r="AH685" t="s">
        <v>5388</v>
      </c>
      <c r="AI685" t="s">
        <v>5387</v>
      </c>
      <c r="AK685" t="s">
        <v>5386</v>
      </c>
      <c r="AL685">
        <v>30</v>
      </c>
      <c r="AM685" s="5">
        <f t="shared" si="82"/>
        <v>1.0344827586206897</v>
      </c>
      <c r="AN685" s="4">
        <f t="shared" si="87"/>
        <v>1.5668046325190302E-3</v>
      </c>
      <c r="AO685" s="3"/>
      <c r="AP685">
        <v>0</v>
      </c>
      <c r="AR685" t="s">
        <v>1</v>
      </c>
      <c r="AT685" s="2" t="s">
        <v>0</v>
      </c>
      <c r="AU685" s="1">
        <f t="shared" si="83"/>
        <v>3.1339478938139362</v>
      </c>
      <c r="AV685" s="1">
        <f t="shared" si="84"/>
        <v>2.2833000565104977</v>
      </c>
      <c r="AW685" s="1">
        <f t="shared" si="85"/>
        <v>1.4326522192070599</v>
      </c>
    </row>
    <row r="686" spans="1:49" x14ac:dyDescent="0.2">
      <c r="A686">
        <v>684</v>
      </c>
      <c r="B686" t="s">
        <v>5385</v>
      </c>
      <c r="C686" t="s">
        <v>5384</v>
      </c>
      <c r="F686" t="s">
        <v>5383</v>
      </c>
      <c r="G686" t="s">
        <v>15</v>
      </c>
      <c r="H686" t="s">
        <v>14</v>
      </c>
      <c r="I686" t="s">
        <v>5382</v>
      </c>
      <c r="J686">
        <v>60023456</v>
      </c>
      <c r="K686" t="s">
        <v>5381</v>
      </c>
      <c r="L686" t="s">
        <v>3686</v>
      </c>
      <c r="M686" t="s">
        <v>10</v>
      </c>
      <c r="N686">
        <v>2</v>
      </c>
      <c r="O686" t="s">
        <v>5380</v>
      </c>
      <c r="P686" t="s">
        <v>5379</v>
      </c>
      <c r="Q686" t="s">
        <v>5378</v>
      </c>
      <c r="R686" s="7">
        <v>33970</v>
      </c>
      <c r="S686" s="8">
        <f t="shared" si="80"/>
        <v>1993</v>
      </c>
      <c r="T686" s="8">
        <v>1993</v>
      </c>
      <c r="U686" s="8">
        <f t="shared" si="81"/>
        <v>29</v>
      </c>
      <c r="V686" s="7">
        <v>34151</v>
      </c>
      <c r="W686" t="s">
        <v>814</v>
      </c>
      <c r="X686" s="2">
        <v>1.6519999999999999</v>
      </c>
      <c r="Y686" s="6">
        <f t="shared" si="86"/>
        <v>4.409919649769093E-2</v>
      </c>
      <c r="AA686" t="s">
        <v>813</v>
      </c>
      <c r="AB686">
        <v>17337</v>
      </c>
      <c r="AC686">
        <v>15582221</v>
      </c>
      <c r="AD686" t="s">
        <v>5</v>
      </c>
      <c r="AE686">
        <v>41</v>
      </c>
      <c r="AF686">
        <v>7</v>
      </c>
      <c r="AH686" t="s">
        <v>5377</v>
      </c>
      <c r="AI686" t="s">
        <v>5376</v>
      </c>
      <c r="AK686" t="s">
        <v>5375</v>
      </c>
      <c r="AL686">
        <v>0</v>
      </c>
      <c r="AM686" s="5">
        <f t="shared" si="82"/>
        <v>0</v>
      </c>
      <c r="AN686" s="4">
        <f t="shared" si="87"/>
        <v>0</v>
      </c>
      <c r="AO686" s="3"/>
      <c r="AP686">
        <v>0</v>
      </c>
      <c r="AR686" t="s">
        <v>1</v>
      </c>
      <c r="AT686" s="2" t="s">
        <v>0</v>
      </c>
      <c r="AU686" s="1">
        <f t="shared" si="83"/>
        <v>3.0869437548383649</v>
      </c>
      <c r="AV686" s="1">
        <f t="shared" si="84"/>
        <v>2.2049598248845466</v>
      </c>
      <c r="AW686" s="1">
        <f t="shared" si="85"/>
        <v>1.3229758949307278</v>
      </c>
    </row>
    <row r="687" spans="1:49" x14ac:dyDescent="0.2">
      <c r="A687">
        <v>685</v>
      </c>
      <c r="B687" t="s">
        <v>5374</v>
      </c>
      <c r="C687" t="s">
        <v>5373</v>
      </c>
      <c r="D687" t="s">
        <v>5372</v>
      </c>
      <c r="F687" t="s">
        <v>5371</v>
      </c>
      <c r="G687" t="s">
        <v>15</v>
      </c>
      <c r="H687" t="s">
        <v>14</v>
      </c>
      <c r="I687" t="s">
        <v>5370</v>
      </c>
      <c r="J687" t="s">
        <v>5369</v>
      </c>
      <c r="K687" t="s">
        <v>5368</v>
      </c>
      <c r="L687" t="s">
        <v>5367</v>
      </c>
      <c r="M687" t="s">
        <v>219</v>
      </c>
      <c r="N687">
        <v>7</v>
      </c>
      <c r="O687" t="s">
        <v>5366</v>
      </c>
      <c r="P687" t="s">
        <v>5365</v>
      </c>
      <c r="Q687" t="s">
        <v>5364</v>
      </c>
      <c r="R687" s="7">
        <v>33970</v>
      </c>
      <c r="S687" s="8">
        <f t="shared" si="80"/>
        <v>1993</v>
      </c>
      <c r="T687" s="8">
        <v>1993</v>
      </c>
      <c r="U687" s="8">
        <f t="shared" si="81"/>
        <v>29</v>
      </c>
      <c r="V687" s="7" t="s">
        <v>5363</v>
      </c>
      <c r="W687" t="s">
        <v>5362</v>
      </c>
      <c r="X687" s="2" t="s">
        <v>0</v>
      </c>
      <c r="Y687" s="6" t="e">
        <f t="shared" si="86"/>
        <v>#VALUE!</v>
      </c>
      <c r="AA687">
        <v>9641807</v>
      </c>
      <c r="AB687">
        <v>71966</v>
      </c>
      <c r="AD687" t="s">
        <v>5</v>
      </c>
      <c r="AE687">
        <v>1</v>
      </c>
      <c r="AF687" s="9">
        <v>44446</v>
      </c>
      <c r="AH687" t="s">
        <v>5361</v>
      </c>
      <c r="AI687" t="s">
        <v>5360</v>
      </c>
      <c r="AK687" t="s">
        <v>5359</v>
      </c>
      <c r="AL687">
        <v>1</v>
      </c>
      <c r="AM687" s="5">
        <f t="shared" si="82"/>
        <v>3.4482758620689655E-2</v>
      </c>
      <c r="AN687" s="4">
        <f t="shared" si="87"/>
        <v>5.2226821083967674E-5</v>
      </c>
      <c r="AO687" s="3"/>
      <c r="AP687">
        <v>0</v>
      </c>
      <c r="AR687" t="s">
        <v>1</v>
      </c>
      <c r="AT687" s="2" t="s">
        <v>0</v>
      </c>
      <c r="AU687" s="1" t="e">
        <f t="shared" si="83"/>
        <v>#VALUE!</v>
      </c>
      <c r="AV687" s="1" t="e">
        <f t="shared" si="84"/>
        <v>#VALUE!</v>
      </c>
      <c r="AW687" s="1" t="e">
        <f t="shared" si="85"/>
        <v>#VALUE!</v>
      </c>
    </row>
    <row r="688" spans="1:49" x14ac:dyDescent="0.2">
      <c r="A688">
        <v>686</v>
      </c>
      <c r="B688" t="s">
        <v>5358</v>
      </c>
      <c r="C688" t="s">
        <v>5357</v>
      </c>
      <c r="F688" t="s">
        <v>5356</v>
      </c>
      <c r="G688" t="s">
        <v>15</v>
      </c>
      <c r="H688" t="s">
        <v>14</v>
      </c>
      <c r="I688" t="s">
        <v>4266</v>
      </c>
      <c r="J688" t="s">
        <v>5355</v>
      </c>
      <c r="K688" t="s">
        <v>5354</v>
      </c>
      <c r="L688" t="s">
        <v>5353</v>
      </c>
      <c r="M688" t="s">
        <v>235</v>
      </c>
      <c r="N688">
        <v>2</v>
      </c>
      <c r="O688" t="s">
        <v>4265</v>
      </c>
      <c r="P688" t="s">
        <v>4264</v>
      </c>
      <c r="Q688" t="s">
        <v>5352</v>
      </c>
      <c r="R688" s="7">
        <v>33970</v>
      </c>
      <c r="S688" s="8">
        <f t="shared" si="80"/>
        <v>1993</v>
      </c>
      <c r="T688" s="8">
        <v>1993</v>
      </c>
      <c r="U688" s="8">
        <f t="shared" si="81"/>
        <v>29</v>
      </c>
      <c r="V688" s="7">
        <v>34151</v>
      </c>
      <c r="W688" t="s">
        <v>814</v>
      </c>
      <c r="X688" s="2">
        <v>1.6519999999999999</v>
      </c>
      <c r="Y688" s="6">
        <f t="shared" si="86"/>
        <v>4.409919649769093E-2</v>
      </c>
      <c r="AA688" t="s">
        <v>813</v>
      </c>
      <c r="AB688">
        <v>17337</v>
      </c>
      <c r="AC688">
        <v>15582221</v>
      </c>
      <c r="AD688" t="s">
        <v>5</v>
      </c>
      <c r="AE688">
        <v>41</v>
      </c>
      <c r="AF688">
        <v>7</v>
      </c>
      <c r="AH688" t="s">
        <v>5351</v>
      </c>
      <c r="AI688" t="s">
        <v>5350</v>
      </c>
      <c r="AK688" t="s">
        <v>5349</v>
      </c>
      <c r="AL688">
        <v>67</v>
      </c>
      <c r="AM688" s="5">
        <f t="shared" si="82"/>
        <v>2.3103448275862069</v>
      </c>
      <c r="AN688" s="4">
        <f t="shared" si="87"/>
        <v>3.4991970126258339E-3</v>
      </c>
      <c r="AO688" s="3"/>
      <c r="AP688">
        <v>0</v>
      </c>
      <c r="AQ688" t="s">
        <v>2475</v>
      </c>
      <c r="AR688" t="s">
        <v>4259</v>
      </c>
      <c r="AS688" t="s">
        <v>2473</v>
      </c>
      <c r="AT688" s="2" t="s">
        <v>0</v>
      </c>
      <c r="AU688" s="1">
        <f t="shared" si="83"/>
        <v>3.1919196652171395</v>
      </c>
      <c r="AV688" s="1">
        <f t="shared" si="84"/>
        <v>2.3799196755158381</v>
      </c>
      <c r="AW688" s="1">
        <f t="shared" si="85"/>
        <v>1.5679196858145359</v>
      </c>
    </row>
    <row r="689" spans="1:49" x14ac:dyDescent="0.2">
      <c r="A689">
        <v>687</v>
      </c>
      <c r="B689" t="s">
        <v>5348</v>
      </c>
      <c r="C689" t="s">
        <v>5347</v>
      </c>
      <c r="F689" t="s">
        <v>5346</v>
      </c>
      <c r="G689" t="s">
        <v>15</v>
      </c>
      <c r="H689" t="s">
        <v>14</v>
      </c>
      <c r="I689" t="s">
        <v>5345</v>
      </c>
      <c r="J689">
        <v>60010818</v>
      </c>
      <c r="K689" t="s">
        <v>1546</v>
      </c>
      <c r="L689" t="s">
        <v>1545</v>
      </c>
      <c r="M689" t="s">
        <v>493</v>
      </c>
      <c r="N689">
        <v>3</v>
      </c>
      <c r="O689" t="s">
        <v>5344</v>
      </c>
      <c r="P689" t="s">
        <v>5343</v>
      </c>
      <c r="Q689" t="s">
        <v>4287</v>
      </c>
      <c r="R689" s="7">
        <v>33970</v>
      </c>
      <c r="S689" s="8">
        <f t="shared" si="80"/>
        <v>1993</v>
      </c>
      <c r="T689" s="8">
        <v>1993</v>
      </c>
      <c r="U689" s="8">
        <f t="shared" si="81"/>
        <v>29</v>
      </c>
      <c r="V689" s="7">
        <v>34151</v>
      </c>
      <c r="W689" t="s">
        <v>868</v>
      </c>
      <c r="X689" s="2">
        <v>0.375</v>
      </c>
      <c r="Y689" s="6">
        <f t="shared" si="86"/>
        <v>1.0010410827260351E-2</v>
      </c>
      <c r="AA689">
        <v>135194</v>
      </c>
      <c r="AB689">
        <v>24918</v>
      </c>
      <c r="AD689" t="s">
        <v>5</v>
      </c>
      <c r="AE689">
        <v>29</v>
      </c>
      <c r="AF689">
        <v>15</v>
      </c>
      <c r="AH689" t="s">
        <v>5342</v>
      </c>
      <c r="AI689" t="s">
        <v>5341</v>
      </c>
      <c r="AJ689" t="s">
        <v>5340</v>
      </c>
      <c r="AK689" t="s">
        <v>5339</v>
      </c>
      <c r="AL689">
        <v>9</v>
      </c>
      <c r="AM689" s="5">
        <f t="shared" si="82"/>
        <v>0.31034482758620691</v>
      </c>
      <c r="AN689" s="4">
        <f t="shared" si="87"/>
        <v>4.7004138975570908E-4</v>
      </c>
      <c r="AO689" s="3"/>
      <c r="AP689">
        <v>0</v>
      </c>
      <c r="AR689" t="s">
        <v>1</v>
      </c>
      <c r="AT689" s="2">
        <v>1.3140000000000001</v>
      </c>
      <c r="AU689" s="1">
        <f t="shared" si="83"/>
        <v>0.71482999960089588</v>
      </c>
      <c r="AV689" s="1">
        <f t="shared" si="84"/>
        <v>0.52402261085080304</v>
      </c>
      <c r="AW689" s="1">
        <f t="shared" si="85"/>
        <v>0.33321522210071014</v>
      </c>
    </row>
    <row r="690" spans="1:49" x14ac:dyDescent="0.2">
      <c r="A690">
        <v>688</v>
      </c>
      <c r="B690" t="s">
        <v>5338</v>
      </c>
      <c r="C690" t="s">
        <v>5337</v>
      </c>
      <c r="F690" t="s">
        <v>5336</v>
      </c>
      <c r="G690" t="s">
        <v>15</v>
      </c>
      <c r="H690" t="s">
        <v>14</v>
      </c>
      <c r="I690" t="s">
        <v>5335</v>
      </c>
      <c r="J690" t="s">
        <v>5334</v>
      </c>
      <c r="K690" t="s">
        <v>5333</v>
      </c>
      <c r="L690" t="s">
        <v>5332</v>
      </c>
      <c r="M690" t="s">
        <v>5331</v>
      </c>
      <c r="N690">
        <v>3</v>
      </c>
      <c r="O690" t="s">
        <v>5330</v>
      </c>
      <c r="P690" t="s">
        <v>5329</v>
      </c>
      <c r="Q690" t="s">
        <v>5328</v>
      </c>
      <c r="R690" s="7">
        <v>33970</v>
      </c>
      <c r="S690" s="8">
        <f t="shared" si="80"/>
        <v>1993</v>
      </c>
      <c r="T690" s="8">
        <v>1993</v>
      </c>
      <c r="U690" s="8">
        <f t="shared" si="81"/>
        <v>29</v>
      </c>
      <c r="V690" s="7">
        <v>34151</v>
      </c>
      <c r="W690" t="s">
        <v>814</v>
      </c>
      <c r="X690" s="2">
        <v>1.6519999999999999</v>
      </c>
      <c r="Y690" s="6">
        <f t="shared" si="86"/>
        <v>4.409919649769093E-2</v>
      </c>
      <c r="AA690" t="s">
        <v>813</v>
      </c>
      <c r="AB690">
        <v>17337</v>
      </c>
      <c r="AC690">
        <v>15582221</v>
      </c>
      <c r="AD690" t="s">
        <v>5</v>
      </c>
      <c r="AE690">
        <v>41</v>
      </c>
      <c r="AF690">
        <v>7</v>
      </c>
      <c r="AH690" t="s">
        <v>5327</v>
      </c>
      <c r="AI690" t="s">
        <v>5326</v>
      </c>
      <c r="AK690" t="s">
        <v>5325</v>
      </c>
      <c r="AL690">
        <v>14</v>
      </c>
      <c r="AM690" s="5">
        <f t="shared" si="82"/>
        <v>0.48275862068965519</v>
      </c>
      <c r="AN690" s="4">
        <f t="shared" si="87"/>
        <v>7.3117549517554741E-4</v>
      </c>
      <c r="AO690" s="3"/>
      <c r="AP690">
        <v>0</v>
      </c>
      <c r="AR690" t="s">
        <v>1</v>
      </c>
      <c r="AT690" s="2" t="s">
        <v>0</v>
      </c>
      <c r="AU690" s="1">
        <f t="shared" si="83"/>
        <v>3.1088790196936316</v>
      </c>
      <c r="AV690" s="1">
        <f t="shared" si="84"/>
        <v>2.241518599643324</v>
      </c>
      <c r="AW690" s="1">
        <f t="shared" si="85"/>
        <v>1.3741581795930162</v>
      </c>
    </row>
    <row r="691" spans="1:49" x14ac:dyDescent="0.2">
      <c r="A691">
        <v>689</v>
      </c>
      <c r="B691" t="s">
        <v>5324</v>
      </c>
      <c r="C691" t="s">
        <v>5323</v>
      </c>
      <c r="F691" t="s">
        <v>5322</v>
      </c>
      <c r="G691" t="s">
        <v>15</v>
      </c>
      <c r="H691" t="s">
        <v>14</v>
      </c>
      <c r="I691" t="s">
        <v>5131</v>
      </c>
      <c r="J691" t="s">
        <v>5130</v>
      </c>
      <c r="K691" t="s">
        <v>5129</v>
      </c>
      <c r="L691" t="s">
        <v>5128</v>
      </c>
      <c r="M691" t="s">
        <v>2289</v>
      </c>
      <c r="N691">
        <v>2</v>
      </c>
      <c r="O691" t="s">
        <v>5127</v>
      </c>
      <c r="P691" t="s">
        <v>5126</v>
      </c>
      <c r="Q691" t="s">
        <v>5125</v>
      </c>
      <c r="R691" s="7">
        <v>33970</v>
      </c>
      <c r="S691" s="8">
        <f t="shared" si="80"/>
        <v>1993</v>
      </c>
      <c r="T691" s="8">
        <v>1993</v>
      </c>
      <c r="U691" s="8">
        <f t="shared" si="81"/>
        <v>29</v>
      </c>
      <c r="V691" s="7">
        <v>34151</v>
      </c>
      <c r="W691" t="s">
        <v>1687</v>
      </c>
      <c r="X691" s="2">
        <v>0.752</v>
      </c>
      <c r="Y691" s="6">
        <f t="shared" si="86"/>
        <v>2.0074210512266089E-2</v>
      </c>
      <c r="AA691">
        <v>3649059</v>
      </c>
      <c r="AB691">
        <v>17277</v>
      </c>
      <c r="AC691">
        <v>15581691</v>
      </c>
      <c r="AD691" t="s">
        <v>5</v>
      </c>
      <c r="AE691">
        <v>18</v>
      </c>
      <c r="AF691">
        <v>3</v>
      </c>
      <c r="AH691" t="s">
        <v>5321</v>
      </c>
      <c r="AI691" t="s">
        <v>5320</v>
      </c>
      <c r="AK691" t="s">
        <v>5319</v>
      </c>
      <c r="AL691">
        <v>24</v>
      </c>
      <c r="AM691" s="5">
        <f t="shared" si="82"/>
        <v>0.82758620689655171</v>
      </c>
      <c r="AN691" s="4">
        <f t="shared" si="87"/>
        <v>1.2534437060152241E-3</v>
      </c>
      <c r="AO691" s="3"/>
      <c r="AP691">
        <v>0</v>
      </c>
      <c r="AQ691" t="s">
        <v>5121</v>
      </c>
      <c r="AR691" t="s">
        <v>1</v>
      </c>
      <c r="AS691" t="s">
        <v>5318</v>
      </c>
      <c r="AT691" s="2">
        <v>3.5539999999999998</v>
      </c>
      <c r="AU691" s="1">
        <f t="shared" si="83"/>
        <v>1.4427980470390829</v>
      </c>
      <c r="AV691" s="1">
        <f t="shared" si="84"/>
        <v>1.0663827109140658</v>
      </c>
      <c r="AW691" s="1">
        <f t="shared" si="85"/>
        <v>0.68996737478904835</v>
      </c>
    </row>
    <row r="692" spans="1:49" x14ac:dyDescent="0.2">
      <c r="A692">
        <v>690</v>
      </c>
      <c r="B692" t="s">
        <v>5317</v>
      </c>
      <c r="C692" t="s">
        <v>5316</v>
      </c>
      <c r="F692" t="s">
        <v>5315</v>
      </c>
      <c r="G692" t="s">
        <v>15</v>
      </c>
      <c r="H692" t="s">
        <v>14</v>
      </c>
      <c r="I692" t="s">
        <v>5314</v>
      </c>
      <c r="J692" t="s">
        <v>5309</v>
      </c>
      <c r="K692" t="s">
        <v>5313</v>
      </c>
      <c r="L692" t="s">
        <v>5312</v>
      </c>
      <c r="M692" t="s">
        <v>235</v>
      </c>
      <c r="N692">
        <v>2</v>
      </c>
      <c r="O692" t="s">
        <v>5311</v>
      </c>
      <c r="P692" t="s">
        <v>5310</v>
      </c>
      <c r="Q692" t="s">
        <v>5309</v>
      </c>
      <c r="R692" s="7">
        <v>33970</v>
      </c>
      <c r="S692" s="8">
        <f t="shared" si="80"/>
        <v>1993</v>
      </c>
      <c r="T692" s="8">
        <v>1993</v>
      </c>
      <c r="U692" s="8">
        <f t="shared" si="81"/>
        <v>29</v>
      </c>
      <c r="V692" s="7">
        <v>34151</v>
      </c>
      <c r="W692" t="s">
        <v>814</v>
      </c>
      <c r="X692" s="2">
        <v>1.6519999999999999</v>
      </c>
      <c r="Y692" s="6">
        <f t="shared" si="86"/>
        <v>4.409919649769093E-2</v>
      </c>
      <c r="AA692" t="s">
        <v>813</v>
      </c>
      <c r="AB692">
        <v>17337</v>
      </c>
      <c r="AC692">
        <v>15582221</v>
      </c>
      <c r="AD692" t="s">
        <v>5</v>
      </c>
      <c r="AE692">
        <v>41</v>
      </c>
      <c r="AF692">
        <v>7</v>
      </c>
      <c r="AH692" t="s">
        <v>5308</v>
      </c>
      <c r="AI692" t="s">
        <v>5307</v>
      </c>
      <c r="AK692" t="s">
        <v>5306</v>
      </c>
      <c r="AL692">
        <v>53</v>
      </c>
      <c r="AM692" s="5">
        <f t="shared" si="82"/>
        <v>1.8275862068965518</v>
      </c>
      <c r="AN692" s="4">
        <f t="shared" si="87"/>
        <v>2.7680215174502869E-3</v>
      </c>
      <c r="AO692" s="3"/>
      <c r="AP692">
        <v>0</v>
      </c>
      <c r="AR692" t="s">
        <v>1</v>
      </c>
      <c r="AT692" s="2" t="s">
        <v>0</v>
      </c>
      <c r="AU692" s="1">
        <f t="shared" si="83"/>
        <v>3.1699844003618733</v>
      </c>
      <c r="AV692" s="1">
        <f t="shared" si="84"/>
        <v>2.343360900757061</v>
      </c>
      <c r="AW692" s="1">
        <f t="shared" si="85"/>
        <v>1.5167374011522479</v>
      </c>
    </row>
    <row r="693" spans="1:49" x14ac:dyDescent="0.2">
      <c r="A693">
        <v>691</v>
      </c>
      <c r="B693" t="s">
        <v>5305</v>
      </c>
      <c r="C693" t="s">
        <v>5304</v>
      </c>
      <c r="F693" t="s">
        <v>5303</v>
      </c>
      <c r="G693" t="s">
        <v>15</v>
      </c>
      <c r="H693" t="s">
        <v>14</v>
      </c>
      <c r="I693" t="s">
        <v>1240</v>
      </c>
      <c r="J693" t="s">
        <v>5298</v>
      </c>
      <c r="K693" t="s">
        <v>5302</v>
      </c>
      <c r="L693" t="s">
        <v>5301</v>
      </c>
      <c r="M693" t="s">
        <v>219</v>
      </c>
      <c r="N693">
        <v>3</v>
      </c>
      <c r="O693" t="s">
        <v>5300</v>
      </c>
      <c r="P693" t="s">
        <v>5299</v>
      </c>
      <c r="Q693" t="s">
        <v>5298</v>
      </c>
      <c r="R693" s="7">
        <v>33970</v>
      </c>
      <c r="S693" s="8">
        <f t="shared" si="80"/>
        <v>1993</v>
      </c>
      <c r="T693" s="8">
        <v>1993</v>
      </c>
      <c r="U693" s="8">
        <f t="shared" si="81"/>
        <v>29</v>
      </c>
      <c r="V693" s="7">
        <v>34151</v>
      </c>
      <c r="W693" t="s">
        <v>814</v>
      </c>
      <c r="X693" s="2">
        <v>1.6519999999999999</v>
      </c>
      <c r="Y693" s="6">
        <f t="shared" si="86"/>
        <v>4.409919649769093E-2</v>
      </c>
      <c r="AA693" t="s">
        <v>813</v>
      </c>
      <c r="AB693">
        <v>17337</v>
      </c>
      <c r="AC693">
        <v>15582221</v>
      </c>
      <c r="AD693" t="s">
        <v>5</v>
      </c>
      <c r="AE693">
        <v>41</v>
      </c>
      <c r="AF693">
        <v>7</v>
      </c>
      <c r="AH693" t="s">
        <v>5297</v>
      </c>
      <c r="AI693" t="s">
        <v>5296</v>
      </c>
      <c r="AK693" t="s">
        <v>5295</v>
      </c>
      <c r="AL693">
        <v>6</v>
      </c>
      <c r="AM693" s="5">
        <f t="shared" si="82"/>
        <v>0.20689655172413793</v>
      </c>
      <c r="AN693" s="4">
        <f t="shared" si="87"/>
        <v>3.1336092650380602E-4</v>
      </c>
      <c r="AO693" s="3"/>
      <c r="AP693">
        <v>0</v>
      </c>
      <c r="AR693" t="s">
        <v>1</v>
      </c>
      <c r="AT693" s="2" t="s">
        <v>0</v>
      </c>
      <c r="AU693" s="1">
        <f t="shared" si="83"/>
        <v>3.096344582633479</v>
      </c>
      <c r="AV693" s="1">
        <f t="shared" si="84"/>
        <v>2.2206278712097367</v>
      </c>
      <c r="AW693" s="1">
        <f t="shared" si="85"/>
        <v>1.3449111597859942</v>
      </c>
    </row>
    <row r="694" spans="1:49" x14ac:dyDescent="0.2">
      <c r="A694">
        <v>692</v>
      </c>
      <c r="B694" t="s">
        <v>5294</v>
      </c>
      <c r="C694" t="s">
        <v>5293</v>
      </c>
      <c r="F694" t="s">
        <v>5292</v>
      </c>
      <c r="G694" t="s">
        <v>15</v>
      </c>
      <c r="H694" t="s">
        <v>14</v>
      </c>
      <c r="I694" t="s">
        <v>5291</v>
      </c>
      <c r="J694">
        <v>60015481</v>
      </c>
      <c r="K694" t="s">
        <v>5290</v>
      </c>
      <c r="L694" t="s">
        <v>5289</v>
      </c>
      <c r="M694" t="s">
        <v>10</v>
      </c>
      <c r="N694">
        <v>2</v>
      </c>
      <c r="O694" t="s">
        <v>5288</v>
      </c>
      <c r="P694" t="s">
        <v>5287</v>
      </c>
      <c r="Q694" t="s">
        <v>5286</v>
      </c>
      <c r="R694" s="7">
        <v>33970</v>
      </c>
      <c r="S694" s="8">
        <f t="shared" si="80"/>
        <v>1993</v>
      </c>
      <c r="T694" s="8">
        <v>1993</v>
      </c>
      <c r="U694" s="8">
        <f t="shared" si="81"/>
        <v>29</v>
      </c>
      <c r="V694" s="7">
        <v>34151</v>
      </c>
      <c r="W694" t="s">
        <v>814</v>
      </c>
      <c r="X694" s="2">
        <v>1.6519999999999999</v>
      </c>
      <c r="Y694" s="6">
        <f t="shared" si="86"/>
        <v>4.409919649769093E-2</v>
      </c>
      <c r="AA694" t="s">
        <v>813</v>
      </c>
      <c r="AB694">
        <v>17337</v>
      </c>
      <c r="AC694">
        <v>15582221</v>
      </c>
      <c r="AD694" t="s">
        <v>5</v>
      </c>
      <c r="AE694">
        <v>41</v>
      </c>
      <c r="AF694">
        <v>7</v>
      </c>
      <c r="AH694" t="s">
        <v>5285</v>
      </c>
      <c r="AI694" t="s">
        <v>5284</v>
      </c>
      <c r="AK694" t="s">
        <v>5283</v>
      </c>
      <c r="AL694">
        <v>13</v>
      </c>
      <c r="AM694" s="5">
        <f t="shared" si="82"/>
        <v>0.44827586206896552</v>
      </c>
      <c r="AN694" s="4">
        <f t="shared" si="87"/>
        <v>6.7894867409157972E-4</v>
      </c>
      <c r="AO694" s="3"/>
      <c r="AP694">
        <v>0</v>
      </c>
      <c r="AQ694" t="s">
        <v>761</v>
      </c>
      <c r="AR694" t="s">
        <v>1</v>
      </c>
      <c r="AS694" t="s">
        <v>759</v>
      </c>
      <c r="AT694" s="2" t="s">
        <v>0</v>
      </c>
      <c r="AU694" s="1">
        <f t="shared" si="83"/>
        <v>3.1073122150611128</v>
      </c>
      <c r="AV694" s="1">
        <f t="shared" si="84"/>
        <v>2.2389072585891254</v>
      </c>
      <c r="AW694" s="1">
        <f t="shared" si="85"/>
        <v>1.3705023021171385</v>
      </c>
    </row>
    <row r="695" spans="1:49" x14ac:dyDescent="0.2">
      <c r="A695">
        <v>693</v>
      </c>
      <c r="B695" t="s">
        <v>5282</v>
      </c>
      <c r="C695" t="s">
        <v>5281</v>
      </c>
      <c r="F695" t="s">
        <v>5280</v>
      </c>
      <c r="G695" t="s">
        <v>15</v>
      </c>
      <c r="H695" t="s">
        <v>14</v>
      </c>
      <c r="I695" t="s">
        <v>5279</v>
      </c>
      <c r="N695">
        <v>3</v>
      </c>
      <c r="O695" t="s">
        <v>5278</v>
      </c>
      <c r="P695" t="s">
        <v>5277</v>
      </c>
      <c r="Q695" t="s">
        <v>2929</v>
      </c>
      <c r="R695" s="7">
        <v>33970</v>
      </c>
      <c r="S695" s="8">
        <f t="shared" si="80"/>
        <v>1993</v>
      </c>
      <c r="T695" s="8">
        <v>1993</v>
      </c>
      <c r="U695" s="8">
        <f t="shared" si="81"/>
        <v>29</v>
      </c>
      <c r="V695" s="7" t="s">
        <v>5276</v>
      </c>
      <c r="W695" t="s">
        <v>5275</v>
      </c>
      <c r="X695" s="2" t="s">
        <v>0</v>
      </c>
      <c r="Y695" s="6" t="e">
        <f t="shared" si="86"/>
        <v>#VALUE!</v>
      </c>
      <c r="AA695">
        <v>87562324</v>
      </c>
      <c r="AB695">
        <v>20786</v>
      </c>
      <c r="AC695">
        <v>15387305</v>
      </c>
      <c r="AD695" t="s">
        <v>5</v>
      </c>
      <c r="AE695">
        <v>72</v>
      </c>
      <c r="AF695">
        <v>4</v>
      </c>
      <c r="AH695" t="s">
        <v>5274</v>
      </c>
      <c r="AI695" t="s">
        <v>5273</v>
      </c>
      <c r="AK695" t="s">
        <v>5272</v>
      </c>
      <c r="AL695">
        <v>11</v>
      </c>
      <c r="AM695" s="5">
        <f t="shared" si="82"/>
        <v>0.37931034482758619</v>
      </c>
      <c r="AN695" s="4">
        <f t="shared" si="87"/>
        <v>5.7449503192364435E-4</v>
      </c>
      <c r="AO695" s="3"/>
      <c r="AP695">
        <v>0</v>
      </c>
      <c r="AR695" t="s">
        <v>1</v>
      </c>
      <c r="AT695" s="2" t="s">
        <v>0</v>
      </c>
      <c r="AU695" s="1" t="e">
        <f t="shared" si="83"/>
        <v>#VALUE!</v>
      </c>
      <c r="AV695" s="1" t="e">
        <f t="shared" si="84"/>
        <v>#VALUE!</v>
      </c>
      <c r="AW695" s="1" t="e">
        <f t="shared" si="85"/>
        <v>#VALUE!</v>
      </c>
    </row>
    <row r="696" spans="1:49" x14ac:dyDescent="0.2">
      <c r="A696">
        <v>694</v>
      </c>
      <c r="B696" t="s">
        <v>5271</v>
      </c>
      <c r="C696" t="s">
        <v>5270</v>
      </c>
      <c r="F696" t="s">
        <v>5269</v>
      </c>
      <c r="G696" t="s">
        <v>15</v>
      </c>
      <c r="H696" t="s">
        <v>14</v>
      </c>
      <c r="I696" t="s">
        <v>5268</v>
      </c>
      <c r="J696" t="s">
        <v>5267</v>
      </c>
      <c r="K696" t="s">
        <v>5266</v>
      </c>
      <c r="L696" t="s">
        <v>5265</v>
      </c>
      <c r="M696" t="s">
        <v>5264</v>
      </c>
      <c r="N696">
        <v>2</v>
      </c>
      <c r="O696" t="s">
        <v>5263</v>
      </c>
      <c r="P696" t="s">
        <v>5262</v>
      </c>
      <c r="Q696" t="s">
        <v>5261</v>
      </c>
      <c r="R696" s="7">
        <v>33970</v>
      </c>
      <c r="S696" s="8">
        <f t="shared" si="80"/>
        <v>1993</v>
      </c>
      <c r="T696" s="8">
        <v>1993</v>
      </c>
      <c r="U696" s="8">
        <f t="shared" si="81"/>
        <v>29</v>
      </c>
      <c r="V696" s="7">
        <v>34151</v>
      </c>
      <c r="W696" t="s">
        <v>814</v>
      </c>
      <c r="X696" s="2">
        <v>1.6519999999999999</v>
      </c>
      <c r="Y696" s="6">
        <f t="shared" si="86"/>
        <v>4.409919649769093E-2</v>
      </c>
      <c r="AA696" t="s">
        <v>813</v>
      </c>
      <c r="AB696">
        <v>17337</v>
      </c>
      <c r="AC696">
        <v>15582221</v>
      </c>
      <c r="AD696" t="s">
        <v>5</v>
      </c>
      <c r="AE696">
        <v>41</v>
      </c>
      <c r="AF696">
        <v>7</v>
      </c>
      <c r="AH696" t="s">
        <v>5260</v>
      </c>
      <c r="AI696" t="s">
        <v>5259</v>
      </c>
      <c r="AK696" t="s">
        <v>5258</v>
      </c>
      <c r="AL696">
        <v>13</v>
      </c>
      <c r="AM696" s="5">
        <f t="shared" si="82"/>
        <v>0.44827586206896552</v>
      </c>
      <c r="AN696" s="4">
        <f t="shared" si="87"/>
        <v>6.7894867409157972E-4</v>
      </c>
      <c r="AO696" s="3"/>
      <c r="AP696">
        <v>0</v>
      </c>
      <c r="AR696" t="s">
        <v>1</v>
      </c>
      <c r="AT696" s="2" t="s">
        <v>0</v>
      </c>
      <c r="AU696" s="1">
        <f t="shared" si="83"/>
        <v>3.1073122150611128</v>
      </c>
      <c r="AV696" s="1">
        <f t="shared" si="84"/>
        <v>2.2389072585891254</v>
      </c>
      <c r="AW696" s="1">
        <f t="shared" si="85"/>
        <v>1.3705023021171385</v>
      </c>
    </row>
    <row r="697" spans="1:49" x14ac:dyDescent="0.2">
      <c r="A697">
        <v>695</v>
      </c>
      <c r="B697" t="s">
        <v>5257</v>
      </c>
      <c r="C697" t="s">
        <v>5256</v>
      </c>
      <c r="F697" t="s">
        <v>5255</v>
      </c>
      <c r="G697" t="s">
        <v>15</v>
      </c>
      <c r="H697" t="s">
        <v>14</v>
      </c>
      <c r="I697" t="s">
        <v>5254</v>
      </c>
      <c r="J697">
        <v>60026134</v>
      </c>
      <c r="K697" t="s">
        <v>5253</v>
      </c>
      <c r="L697" t="s">
        <v>5252</v>
      </c>
      <c r="M697" t="s">
        <v>2508</v>
      </c>
      <c r="N697">
        <v>3</v>
      </c>
      <c r="O697" t="s">
        <v>5251</v>
      </c>
      <c r="P697" t="s">
        <v>5250</v>
      </c>
      <c r="Q697" t="s">
        <v>5249</v>
      </c>
      <c r="R697" s="7">
        <v>33970</v>
      </c>
      <c r="S697" s="8">
        <f t="shared" si="80"/>
        <v>1993</v>
      </c>
      <c r="T697" s="8">
        <v>1993</v>
      </c>
      <c r="U697" s="8">
        <f t="shared" si="81"/>
        <v>29</v>
      </c>
      <c r="V697" s="7">
        <v>34151</v>
      </c>
      <c r="W697" t="s">
        <v>814</v>
      </c>
      <c r="X697" s="2">
        <v>1.6519999999999999</v>
      </c>
      <c r="Y697" s="6">
        <f t="shared" si="86"/>
        <v>4.409919649769093E-2</v>
      </c>
      <c r="AA697" t="s">
        <v>813</v>
      </c>
      <c r="AB697">
        <v>17337</v>
      </c>
      <c r="AC697">
        <v>15582221</v>
      </c>
      <c r="AD697" t="s">
        <v>5</v>
      </c>
      <c r="AE697">
        <v>41</v>
      </c>
      <c r="AF697">
        <v>7</v>
      </c>
      <c r="AH697" t="s">
        <v>5248</v>
      </c>
      <c r="AI697" t="s">
        <v>5247</v>
      </c>
      <c r="AK697" t="s">
        <v>5246</v>
      </c>
      <c r="AL697">
        <v>31</v>
      </c>
      <c r="AM697" s="5">
        <f t="shared" si="82"/>
        <v>1.0689655172413792</v>
      </c>
      <c r="AN697" s="4">
        <f t="shared" si="87"/>
        <v>1.6190314536029978E-3</v>
      </c>
      <c r="AO697" s="3"/>
      <c r="AP697">
        <v>0</v>
      </c>
      <c r="AR697" t="s">
        <v>1</v>
      </c>
      <c r="AT697" s="2" t="s">
        <v>0</v>
      </c>
      <c r="AU697" s="1">
        <f t="shared" si="83"/>
        <v>3.135514698446455</v>
      </c>
      <c r="AV697" s="1">
        <f t="shared" si="84"/>
        <v>2.2859113975646963</v>
      </c>
      <c r="AW697" s="1">
        <f t="shared" si="85"/>
        <v>1.4363080966829378</v>
      </c>
    </row>
    <row r="698" spans="1:49" x14ac:dyDescent="0.2">
      <c r="A698">
        <v>696</v>
      </c>
      <c r="B698" t="s">
        <v>5245</v>
      </c>
      <c r="C698" t="s">
        <v>5244</v>
      </c>
      <c r="F698" t="s">
        <v>5243</v>
      </c>
      <c r="G698" t="s">
        <v>15</v>
      </c>
      <c r="H698" t="s">
        <v>14</v>
      </c>
      <c r="I698" t="s">
        <v>4202</v>
      </c>
      <c r="J698">
        <v>101435394</v>
      </c>
      <c r="K698" t="s">
        <v>5242</v>
      </c>
      <c r="L698" t="s">
        <v>3639</v>
      </c>
      <c r="M698" t="s">
        <v>521</v>
      </c>
      <c r="N698">
        <v>2</v>
      </c>
      <c r="O698" t="s">
        <v>5241</v>
      </c>
      <c r="P698" t="s">
        <v>5240</v>
      </c>
      <c r="Q698" t="s">
        <v>5239</v>
      </c>
      <c r="R698" s="7">
        <v>33970</v>
      </c>
      <c r="S698" s="8">
        <f t="shared" si="80"/>
        <v>1993</v>
      </c>
      <c r="T698" s="8">
        <v>1993</v>
      </c>
      <c r="U698" s="8">
        <f t="shared" si="81"/>
        <v>29</v>
      </c>
      <c r="V698" s="7">
        <v>34151</v>
      </c>
      <c r="W698" t="s">
        <v>868</v>
      </c>
      <c r="X698" s="2">
        <v>0.375</v>
      </c>
      <c r="Y698" s="6">
        <f t="shared" si="86"/>
        <v>1.0010410827260351E-2</v>
      </c>
      <c r="AA698">
        <v>135194</v>
      </c>
      <c r="AB698">
        <v>24918</v>
      </c>
      <c r="AD698" t="s">
        <v>5</v>
      </c>
      <c r="AE698">
        <v>29</v>
      </c>
      <c r="AF698">
        <v>15</v>
      </c>
      <c r="AH698" t="s">
        <v>5238</v>
      </c>
      <c r="AI698" t="s">
        <v>5237</v>
      </c>
      <c r="AJ698" t="s">
        <v>5236</v>
      </c>
      <c r="AK698" t="s">
        <v>5235</v>
      </c>
      <c r="AL698">
        <v>7</v>
      </c>
      <c r="AM698" s="5">
        <f t="shared" si="82"/>
        <v>0.2413793103448276</v>
      </c>
      <c r="AN698" s="4">
        <f t="shared" si="87"/>
        <v>3.655877475877737E-4</v>
      </c>
      <c r="AO698" s="3"/>
      <c r="AP698">
        <v>0</v>
      </c>
      <c r="AR698" t="s">
        <v>1</v>
      </c>
      <c r="AT698" s="2">
        <v>1.3140000000000001</v>
      </c>
      <c r="AU698" s="1">
        <f t="shared" si="83"/>
        <v>0.71169639033585774</v>
      </c>
      <c r="AV698" s="1">
        <f t="shared" si="84"/>
        <v>0.51879992874240621</v>
      </c>
      <c r="AW698" s="1">
        <f t="shared" si="85"/>
        <v>0.32590346714895468</v>
      </c>
    </row>
    <row r="699" spans="1:49" x14ac:dyDescent="0.2">
      <c r="A699">
        <v>697</v>
      </c>
      <c r="B699" t="s">
        <v>5234</v>
      </c>
      <c r="C699" t="s">
        <v>5233</v>
      </c>
      <c r="F699" t="s">
        <v>5232</v>
      </c>
      <c r="G699" t="s">
        <v>15</v>
      </c>
      <c r="H699" t="s">
        <v>14</v>
      </c>
      <c r="I699" t="s">
        <v>5231</v>
      </c>
      <c r="J699" t="s">
        <v>5230</v>
      </c>
      <c r="K699" t="s">
        <v>5229</v>
      </c>
      <c r="L699" t="s">
        <v>5228</v>
      </c>
      <c r="M699" t="s">
        <v>5227</v>
      </c>
      <c r="N699">
        <v>2</v>
      </c>
      <c r="O699" t="s">
        <v>5226</v>
      </c>
      <c r="P699" t="s">
        <v>5225</v>
      </c>
      <c r="Q699" t="s">
        <v>5224</v>
      </c>
      <c r="R699" s="7">
        <v>33970</v>
      </c>
      <c r="S699" s="8">
        <f t="shared" si="80"/>
        <v>1993</v>
      </c>
      <c r="T699" s="8">
        <v>1993</v>
      </c>
      <c r="U699" s="8">
        <f t="shared" si="81"/>
        <v>29</v>
      </c>
      <c r="V699" s="7">
        <v>34151</v>
      </c>
      <c r="W699" t="s">
        <v>868</v>
      </c>
      <c r="X699" s="2">
        <v>0.375</v>
      </c>
      <c r="Y699" s="6">
        <f t="shared" si="86"/>
        <v>1.0010410827260351E-2</v>
      </c>
      <c r="AA699">
        <v>135194</v>
      </c>
      <c r="AB699">
        <v>24918</v>
      </c>
      <c r="AD699" t="s">
        <v>5</v>
      </c>
      <c r="AE699">
        <v>29</v>
      </c>
      <c r="AF699">
        <v>15</v>
      </c>
      <c r="AH699" t="s">
        <v>5223</v>
      </c>
      <c r="AI699" t="s">
        <v>5222</v>
      </c>
      <c r="AJ699" t="s">
        <v>5221</v>
      </c>
      <c r="AK699" t="s">
        <v>5220</v>
      </c>
      <c r="AL699">
        <v>1</v>
      </c>
      <c r="AM699" s="5">
        <f t="shared" si="82"/>
        <v>3.4482758620689655E-2</v>
      </c>
      <c r="AN699" s="4">
        <f t="shared" si="87"/>
        <v>5.2226821083967674E-5</v>
      </c>
      <c r="AO699" s="3"/>
      <c r="AP699">
        <v>0</v>
      </c>
      <c r="AR699" t="s">
        <v>1</v>
      </c>
      <c r="AT699" s="2">
        <v>1.3140000000000001</v>
      </c>
      <c r="AU699" s="1">
        <f t="shared" si="83"/>
        <v>0.70229556254074355</v>
      </c>
      <c r="AV699" s="1">
        <f t="shared" si="84"/>
        <v>0.50313188241721596</v>
      </c>
      <c r="AW699" s="1">
        <f t="shared" si="85"/>
        <v>0.30396820229368826</v>
      </c>
    </row>
    <row r="700" spans="1:49" x14ac:dyDescent="0.2">
      <c r="A700">
        <v>698</v>
      </c>
      <c r="B700" t="s">
        <v>5219</v>
      </c>
      <c r="C700" t="s">
        <v>5218</v>
      </c>
      <c r="F700" t="s">
        <v>5217</v>
      </c>
      <c r="G700" t="s">
        <v>15</v>
      </c>
      <c r="H700" t="s">
        <v>14</v>
      </c>
      <c r="I700" t="s">
        <v>5216</v>
      </c>
      <c r="J700">
        <v>60018208</v>
      </c>
      <c r="K700" t="s">
        <v>5215</v>
      </c>
      <c r="L700" t="s">
        <v>5214</v>
      </c>
      <c r="M700" t="s">
        <v>10</v>
      </c>
      <c r="N700">
        <v>2</v>
      </c>
      <c r="O700" t="s">
        <v>5213</v>
      </c>
      <c r="P700" t="s">
        <v>5212</v>
      </c>
      <c r="Q700" t="s">
        <v>5211</v>
      </c>
      <c r="R700" s="7">
        <v>33970</v>
      </c>
      <c r="S700" s="8">
        <f t="shared" si="80"/>
        <v>1993</v>
      </c>
      <c r="T700" s="8">
        <v>1993</v>
      </c>
      <c r="U700" s="8">
        <f t="shared" si="81"/>
        <v>29</v>
      </c>
      <c r="V700" s="7">
        <v>34151</v>
      </c>
      <c r="W700" t="s">
        <v>814</v>
      </c>
      <c r="X700" s="2">
        <v>1.6519999999999999</v>
      </c>
      <c r="Y700" s="6">
        <f t="shared" si="86"/>
        <v>4.409919649769093E-2</v>
      </c>
      <c r="AA700" t="s">
        <v>813</v>
      </c>
      <c r="AB700">
        <v>17337</v>
      </c>
      <c r="AC700">
        <v>15582221</v>
      </c>
      <c r="AD700" t="s">
        <v>5</v>
      </c>
      <c r="AE700">
        <v>41</v>
      </c>
      <c r="AF700">
        <v>7</v>
      </c>
      <c r="AH700" t="s">
        <v>5210</v>
      </c>
      <c r="AI700" t="s">
        <v>5209</v>
      </c>
      <c r="AK700" t="s">
        <v>5208</v>
      </c>
      <c r="AL700">
        <v>139</v>
      </c>
      <c r="AM700" s="5">
        <f t="shared" si="82"/>
        <v>4.7931034482758621</v>
      </c>
      <c r="AN700" s="4">
        <f t="shared" si="87"/>
        <v>7.2595281306715061E-3</v>
      </c>
      <c r="AO700" s="3"/>
      <c r="AP700">
        <v>0</v>
      </c>
      <c r="AR700" t="s">
        <v>1</v>
      </c>
      <c r="AT700" s="2" t="s">
        <v>0</v>
      </c>
      <c r="AU700" s="1">
        <f t="shared" si="83"/>
        <v>3.3047295987585104</v>
      </c>
      <c r="AV700" s="1">
        <f t="shared" si="84"/>
        <v>2.567936231418122</v>
      </c>
      <c r="AW700" s="1">
        <f t="shared" si="85"/>
        <v>1.8311428640777332</v>
      </c>
    </row>
    <row r="701" spans="1:49" x14ac:dyDescent="0.2">
      <c r="A701">
        <v>699</v>
      </c>
      <c r="B701" t="s">
        <v>5207</v>
      </c>
      <c r="C701" t="s">
        <v>5206</v>
      </c>
      <c r="F701" t="s">
        <v>5205</v>
      </c>
      <c r="G701" t="s">
        <v>15</v>
      </c>
      <c r="H701" t="s">
        <v>14</v>
      </c>
      <c r="I701" t="s">
        <v>5204</v>
      </c>
      <c r="J701">
        <v>60011001</v>
      </c>
      <c r="K701" t="s">
        <v>3707</v>
      </c>
      <c r="L701" t="s">
        <v>3706</v>
      </c>
      <c r="M701" t="s">
        <v>150</v>
      </c>
      <c r="N701">
        <v>1</v>
      </c>
      <c r="O701" t="s">
        <v>5203</v>
      </c>
      <c r="P701">
        <v>7102188996</v>
      </c>
      <c r="Q701">
        <v>60011001</v>
      </c>
      <c r="R701" s="7">
        <v>33970</v>
      </c>
      <c r="S701" s="8">
        <f t="shared" si="80"/>
        <v>1993</v>
      </c>
      <c r="T701" s="8">
        <v>1993</v>
      </c>
      <c r="U701" s="8">
        <f t="shared" si="81"/>
        <v>29</v>
      </c>
      <c r="V701" s="7">
        <v>1993</v>
      </c>
      <c r="W701" t="s">
        <v>1720</v>
      </c>
      <c r="X701" s="2">
        <v>0.111</v>
      </c>
      <c r="Y701" s="6">
        <f t="shared" si="86"/>
        <v>2.9630816048690639E-3</v>
      </c>
      <c r="AA701">
        <v>87566621</v>
      </c>
      <c r="AB701">
        <v>24890</v>
      </c>
      <c r="AC701">
        <v>15206424</v>
      </c>
      <c r="AD701" t="s">
        <v>5</v>
      </c>
      <c r="AE701">
        <v>76</v>
      </c>
      <c r="AF701">
        <v>7</v>
      </c>
      <c r="AH701" t="s">
        <v>5202</v>
      </c>
      <c r="AI701" t="s">
        <v>5201</v>
      </c>
      <c r="AJ701" t="s">
        <v>5200</v>
      </c>
      <c r="AK701" t="s">
        <v>5199</v>
      </c>
      <c r="AL701">
        <v>1</v>
      </c>
      <c r="AM701" s="5">
        <f t="shared" si="82"/>
        <v>3.4482758620689655E-2</v>
      </c>
      <c r="AN701" s="4">
        <f t="shared" si="87"/>
        <v>5.2226821083967674E-5</v>
      </c>
      <c r="AO701" s="3"/>
      <c r="AP701">
        <v>0</v>
      </c>
      <c r="AR701" t="s">
        <v>1</v>
      </c>
      <c r="AT701" s="2" t="s">
        <v>0</v>
      </c>
      <c r="AU701" s="1">
        <f t="shared" si="83"/>
        <v>0.20898251697335346</v>
      </c>
      <c r="AV701" s="1">
        <f t="shared" si="84"/>
        <v>0.15076542129765158</v>
      </c>
      <c r="AW701" s="1">
        <f t="shared" si="85"/>
        <v>9.2548325621949645E-2</v>
      </c>
    </row>
    <row r="702" spans="1:49" x14ac:dyDescent="0.2">
      <c r="A702">
        <v>700</v>
      </c>
      <c r="B702" t="s">
        <v>5198</v>
      </c>
      <c r="C702" t="s">
        <v>5197</v>
      </c>
      <c r="F702" t="s">
        <v>5196</v>
      </c>
      <c r="G702" t="s">
        <v>15</v>
      </c>
      <c r="H702" t="s">
        <v>14</v>
      </c>
      <c r="I702" t="s">
        <v>5195</v>
      </c>
      <c r="J702" t="s">
        <v>5194</v>
      </c>
      <c r="K702" t="s">
        <v>5193</v>
      </c>
      <c r="L702" t="s">
        <v>5192</v>
      </c>
      <c r="M702" t="s">
        <v>235</v>
      </c>
      <c r="N702">
        <v>3</v>
      </c>
      <c r="O702" t="s">
        <v>5191</v>
      </c>
      <c r="P702" t="s">
        <v>5190</v>
      </c>
      <c r="Q702" t="s">
        <v>5189</v>
      </c>
      <c r="R702" s="7">
        <v>33970</v>
      </c>
      <c r="S702" s="8">
        <f t="shared" si="80"/>
        <v>1993</v>
      </c>
      <c r="T702" s="8">
        <v>1993</v>
      </c>
      <c r="U702" s="8">
        <f t="shared" si="81"/>
        <v>29</v>
      </c>
      <c r="V702" s="7">
        <v>34151</v>
      </c>
      <c r="W702" t="s">
        <v>814</v>
      </c>
      <c r="X702" s="2">
        <v>1.6519999999999999</v>
      </c>
      <c r="Y702" s="6">
        <f t="shared" si="86"/>
        <v>4.409919649769093E-2</v>
      </c>
      <c r="AA702" t="s">
        <v>813</v>
      </c>
      <c r="AB702">
        <v>17337</v>
      </c>
      <c r="AC702">
        <v>15582221</v>
      </c>
      <c r="AD702" t="s">
        <v>5</v>
      </c>
      <c r="AE702">
        <v>41</v>
      </c>
      <c r="AF702">
        <v>7</v>
      </c>
      <c r="AH702" t="s">
        <v>5188</v>
      </c>
      <c r="AI702" t="s">
        <v>5187</v>
      </c>
      <c r="AK702" t="s">
        <v>5186</v>
      </c>
      <c r="AL702">
        <v>58</v>
      </c>
      <c r="AM702" s="5">
        <f t="shared" si="82"/>
        <v>2</v>
      </c>
      <c r="AN702" s="4">
        <f t="shared" si="87"/>
        <v>3.0291556228701248E-3</v>
      </c>
      <c r="AO702" s="3"/>
      <c r="AP702">
        <v>0</v>
      </c>
      <c r="AR702" t="s">
        <v>1</v>
      </c>
      <c r="AT702" s="2" t="s">
        <v>0</v>
      </c>
      <c r="AU702" s="1">
        <f t="shared" si="83"/>
        <v>3.1778184235244686</v>
      </c>
      <c r="AV702" s="1">
        <f t="shared" si="84"/>
        <v>2.3564176060280526</v>
      </c>
      <c r="AW702" s="1">
        <f t="shared" si="85"/>
        <v>1.5350167885316366</v>
      </c>
    </row>
    <row r="703" spans="1:49" x14ac:dyDescent="0.2">
      <c r="A703">
        <v>701</v>
      </c>
      <c r="B703" t="s">
        <v>5185</v>
      </c>
      <c r="C703" t="s">
        <v>5184</v>
      </c>
      <c r="F703" t="s">
        <v>5183</v>
      </c>
      <c r="G703" t="s">
        <v>15</v>
      </c>
      <c r="H703" t="s">
        <v>14</v>
      </c>
      <c r="I703" t="s">
        <v>5182</v>
      </c>
      <c r="J703">
        <v>60000502</v>
      </c>
      <c r="K703" t="s">
        <v>5181</v>
      </c>
      <c r="L703" t="s">
        <v>5180</v>
      </c>
      <c r="M703" t="s">
        <v>120</v>
      </c>
      <c r="N703">
        <v>1</v>
      </c>
      <c r="O703" t="s">
        <v>5179</v>
      </c>
      <c r="P703">
        <v>7006000195</v>
      </c>
      <c r="Q703">
        <v>60000502</v>
      </c>
      <c r="R703" s="7">
        <v>33970</v>
      </c>
      <c r="S703" s="8">
        <f t="shared" si="80"/>
        <v>1993</v>
      </c>
      <c r="T703" s="8">
        <v>1993</v>
      </c>
      <c r="U703" s="8">
        <f t="shared" si="81"/>
        <v>29</v>
      </c>
      <c r="V703" s="7">
        <v>34151</v>
      </c>
      <c r="W703" t="s">
        <v>814</v>
      </c>
      <c r="X703" s="2">
        <v>1.6519999999999999</v>
      </c>
      <c r="Y703" s="6">
        <f t="shared" si="86"/>
        <v>4.409919649769093E-2</v>
      </c>
      <c r="AA703" t="s">
        <v>813</v>
      </c>
      <c r="AB703">
        <v>17337</v>
      </c>
      <c r="AC703">
        <v>15582221</v>
      </c>
      <c r="AD703" t="s">
        <v>5</v>
      </c>
      <c r="AE703">
        <v>41</v>
      </c>
      <c r="AF703">
        <v>7</v>
      </c>
      <c r="AH703" t="s">
        <v>5178</v>
      </c>
      <c r="AI703" t="s">
        <v>5177</v>
      </c>
      <c r="AK703" t="s">
        <v>5176</v>
      </c>
      <c r="AL703">
        <v>43</v>
      </c>
      <c r="AM703" s="5">
        <f t="shared" si="82"/>
        <v>1.4827586206896552</v>
      </c>
      <c r="AN703" s="4">
        <f t="shared" si="87"/>
        <v>2.2457533066106098E-3</v>
      </c>
      <c r="AO703" s="3"/>
      <c r="AP703">
        <v>0</v>
      </c>
      <c r="AQ703" t="s">
        <v>1141</v>
      </c>
      <c r="AR703" t="s">
        <v>1</v>
      </c>
      <c r="AS703" t="s">
        <v>1140</v>
      </c>
      <c r="AT703" s="2" t="s">
        <v>0</v>
      </c>
      <c r="AU703" s="1">
        <f t="shared" si="83"/>
        <v>3.1543163540366832</v>
      </c>
      <c r="AV703" s="1">
        <f t="shared" si="84"/>
        <v>2.317247490215077</v>
      </c>
      <c r="AW703" s="1">
        <f t="shared" si="85"/>
        <v>1.4801786263934704</v>
      </c>
    </row>
    <row r="704" spans="1:49" x14ac:dyDescent="0.2">
      <c r="A704">
        <v>702</v>
      </c>
      <c r="B704" t="s">
        <v>5175</v>
      </c>
      <c r="C704" t="s">
        <v>5174</v>
      </c>
      <c r="F704" t="s">
        <v>5173</v>
      </c>
      <c r="G704" t="s">
        <v>15</v>
      </c>
      <c r="H704" t="s">
        <v>14</v>
      </c>
      <c r="I704" t="s">
        <v>5172</v>
      </c>
      <c r="J704">
        <v>60031226</v>
      </c>
      <c r="K704" t="s">
        <v>4121</v>
      </c>
      <c r="L704" t="s">
        <v>4120</v>
      </c>
      <c r="M704" t="s">
        <v>818</v>
      </c>
      <c r="N704">
        <v>4</v>
      </c>
      <c r="O704" t="s">
        <v>5171</v>
      </c>
      <c r="P704" t="s">
        <v>5170</v>
      </c>
      <c r="Q704" t="s">
        <v>5169</v>
      </c>
      <c r="R704" s="7">
        <v>33970</v>
      </c>
      <c r="S704" s="8">
        <f t="shared" si="80"/>
        <v>1993</v>
      </c>
      <c r="T704" s="8">
        <v>1993</v>
      </c>
      <c r="U704" s="8">
        <f t="shared" si="81"/>
        <v>29</v>
      </c>
      <c r="V704" s="7">
        <v>34151</v>
      </c>
      <c r="W704" t="s">
        <v>616</v>
      </c>
      <c r="X704" s="2">
        <v>1.6379999999999999</v>
      </c>
      <c r="Y704" s="6">
        <f t="shared" si="86"/>
        <v>4.3725474493473214E-2</v>
      </c>
      <c r="AA704" t="s">
        <v>615</v>
      </c>
      <c r="AB704">
        <v>17391</v>
      </c>
      <c r="AC704">
        <v>19410476</v>
      </c>
      <c r="AD704" t="s">
        <v>5</v>
      </c>
      <c r="AE704">
        <v>41</v>
      </c>
      <c r="AF704">
        <v>7</v>
      </c>
      <c r="AH704" t="s">
        <v>5168</v>
      </c>
      <c r="AI704" t="s">
        <v>5167</v>
      </c>
      <c r="AK704" t="s">
        <v>5166</v>
      </c>
      <c r="AL704">
        <v>36</v>
      </c>
      <c r="AM704" s="5">
        <f t="shared" si="82"/>
        <v>1.2413793103448276</v>
      </c>
      <c r="AN704" s="4">
        <f t="shared" si="87"/>
        <v>1.8801655590228363E-3</v>
      </c>
      <c r="AO704" s="3"/>
      <c r="AP704">
        <v>0</v>
      </c>
      <c r="AQ704" t="s">
        <v>5165</v>
      </c>
      <c r="AR704" t="s">
        <v>1</v>
      </c>
      <c r="AS704" t="s">
        <v>5164</v>
      </c>
      <c r="AT704" s="2">
        <v>4.931</v>
      </c>
      <c r="AU704" s="1">
        <f t="shared" si="83"/>
        <v>3.1171881813138103</v>
      </c>
      <c r="AV704" s="1">
        <f t="shared" si="84"/>
        <v>2.2802820026248027</v>
      </c>
      <c r="AW704" s="1">
        <f t="shared" si="85"/>
        <v>1.443375823935795</v>
      </c>
    </row>
    <row r="705" spans="1:49" x14ac:dyDescent="0.2">
      <c r="A705">
        <v>703</v>
      </c>
      <c r="B705" t="s">
        <v>5163</v>
      </c>
      <c r="C705" t="s">
        <v>5162</v>
      </c>
      <c r="F705" t="s">
        <v>5161</v>
      </c>
      <c r="G705" t="s">
        <v>15</v>
      </c>
      <c r="H705" t="s">
        <v>14</v>
      </c>
      <c r="I705" t="s">
        <v>2241</v>
      </c>
      <c r="J705">
        <v>60003122</v>
      </c>
      <c r="K705" t="s">
        <v>2240</v>
      </c>
      <c r="L705" t="s">
        <v>2239</v>
      </c>
      <c r="M705" t="s">
        <v>508</v>
      </c>
      <c r="N705">
        <v>2</v>
      </c>
      <c r="O705" t="s">
        <v>2238</v>
      </c>
      <c r="P705" t="s">
        <v>2237</v>
      </c>
      <c r="Q705" t="s">
        <v>2236</v>
      </c>
      <c r="R705" s="7">
        <v>33970</v>
      </c>
      <c r="S705" s="8">
        <f t="shared" ref="S705:S768" si="88">YEAR(R705)</f>
        <v>1993</v>
      </c>
      <c r="T705" s="8">
        <v>1993</v>
      </c>
      <c r="U705" s="8">
        <f t="shared" ref="U705:U768" si="89">2022-T705</f>
        <v>29</v>
      </c>
      <c r="V705" s="7">
        <v>34151</v>
      </c>
      <c r="W705" t="s">
        <v>1687</v>
      </c>
      <c r="X705" s="2">
        <v>0.752</v>
      </c>
      <c r="Y705" s="6">
        <f t="shared" si="86"/>
        <v>2.0074210512266089E-2</v>
      </c>
      <c r="AA705">
        <v>3649059</v>
      </c>
      <c r="AB705">
        <v>17277</v>
      </c>
      <c r="AC705">
        <v>15581691</v>
      </c>
      <c r="AD705" t="s">
        <v>5</v>
      </c>
      <c r="AE705">
        <v>18</v>
      </c>
      <c r="AF705">
        <v>3</v>
      </c>
      <c r="AH705" t="s">
        <v>5160</v>
      </c>
      <c r="AI705" t="s">
        <v>5159</v>
      </c>
      <c r="AJ705" t="s">
        <v>5158</v>
      </c>
      <c r="AK705" t="s">
        <v>5157</v>
      </c>
      <c r="AL705">
        <v>10</v>
      </c>
      <c r="AM705" s="5">
        <f t="shared" ref="AM705:AM768" si="90">AL705/U705</f>
        <v>0.34482758620689657</v>
      </c>
      <c r="AN705" s="4">
        <f t="shared" si="87"/>
        <v>5.2226821083967677E-4</v>
      </c>
      <c r="AO705" s="3"/>
      <c r="AP705">
        <v>0</v>
      </c>
      <c r="AQ705" t="s">
        <v>5121</v>
      </c>
      <c r="AR705" t="s">
        <v>1</v>
      </c>
      <c r="AS705" t="s">
        <v>5120</v>
      </c>
      <c r="AT705" s="2">
        <v>3.5539999999999998</v>
      </c>
      <c r="AU705" s="1">
        <f t="shared" ref="AU705:AU768" si="91">(Y705*0.7+AN705*0.3)*100</f>
        <v>1.4208627821838165</v>
      </c>
      <c r="AV705" s="1">
        <f t="shared" ref="AV705:AV768" si="92">(Y705*0.5+AN705*0.5)*100</f>
        <v>1.0298239361552883</v>
      </c>
      <c r="AW705" s="1">
        <f t="shared" ref="AW705:AW768" si="93">(Y705*0.3+AN705*0.7)*100</f>
        <v>0.63878509012675999</v>
      </c>
    </row>
    <row r="706" spans="1:49" x14ac:dyDescent="0.2">
      <c r="A706">
        <v>704</v>
      </c>
      <c r="B706" t="s">
        <v>5156</v>
      </c>
      <c r="C706" t="s">
        <v>5155</v>
      </c>
      <c r="F706" t="s">
        <v>5154</v>
      </c>
      <c r="G706" t="s">
        <v>15</v>
      </c>
      <c r="H706" t="s">
        <v>14</v>
      </c>
      <c r="I706" t="s">
        <v>5153</v>
      </c>
      <c r="J706">
        <v>60025778</v>
      </c>
      <c r="K706" t="s">
        <v>3404</v>
      </c>
      <c r="L706" t="s">
        <v>1317</v>
      </c>
      <c r="M706" t="s">
        <v>10</v>
      </c>
      <c r="N706">
        <v>2</v>
      </c>
      <c r="O706" t="s">
        <v>5152</v>
      </c>
      <c r="P706" t="s">
        <v>5151</v>
      </c>
      <c r="Q706" t="s">
        <v>4730</v>
      </c>
      <c r="R706" s="7">
        <v>33970</v>
      </c>
      <c r="S706" s="8">
        <f t="shared" si="88"/>
        <v>1993</v>
      </c>
      <c r="T706" s="8">
        <v>1993</v>
      </c>
      <c r="U706" s="8">
        <f t="shared" si="89"/>
        <v>29</v>
      </c>
      <c r="V706" s="7">
        <v>34151</v>
      </c>
      <c r="W706" t="s">
        <v>814</v>
      </c>
      <c r="X706" s="2">
        <v>1.6519999999999999</v>
      </c>
      <c r="Y706" s="6">
        <f t="shared" ref="Y706:Y769" si="94">(X706-$Z$4)/($Z$3-$Z$4)</f>
        <v>4.409919649769093E-2</v>
      </c>
      <c r="AA706" t="s">
        <v>813</v>
      </c>
      <c r="AB706">
        <v>17337</v>
      </c>
      <c r="AC706">
        <v>15582221</v>
      </c>
      <c r="AD706" t="s">
        <v>5</v>
      </c>
      <c r="AE706">
        <v>41</v>
      </c>
      <c r="AF706">
        <v>7</v>
      </c>
      <c r="AH706" t="s">
        <v>5150</v>
      </c>
      <c r="AI706" t="s">
        <v>5149</v>
      </c>
      <c r="AK706" t="s">
        <v>5148</v>
      </c>
      <c r="AL706">
        <v>7</v>
      </c>
      <c r="AM706" s="5">
        <f t="shared" si="90"/>
        <v>0.2413793103448276</v>
      </c>
      <c r="AN706" s="4">
        <f t="shared" ref="AN706:AN769" si="95">(AM706-$AO$4)/($AO$3-$AO$4)</f>
        <v>3.655877475877737E-4</v>
      </c>
      <c r="AO706" s="3"/>
      <c r="AP706">
        <v>0</v>
      </c>
      <c r="AR706" t="s">
        <v>1</v>
      </c>
      <c r="AT706" s="2" t="s">
        <v>0</v>
      </c>
      <c r="AU706" s="1">
        <f t="shared" si="91"/>
        <v>3.0979113872659982</v>
      </c>
      <c r="AV706" s="1">
        <f t="shared" si="92"/>
        <v>2.2232392122639353</v>
      </c>
      <c r="AW706" s="1">
        <f t="shared" si="93"/>
        <v>1.3485670372618719</v>
      </c>
    </row>
    <row r="707" spans="1:49" x14ac:dyDescent="0.2">
      <c r="A707">
        <v>705</v>
      </c>
      <c r="B707" t="s">
        <v>5147</v>
      </c>
      <c r="C707" t="s">
        <v>5146</v>
      </c>
      <c r="F707" t="s">
        <v>5145</v>
      </c>
      <c r="G707" t="s">
        <v>15</v>
      </c>
      <c r="H707" t="s">
        <v>14</v>
      </c>
      <c r="I707" t="s">
        <v>5144</v>
      </c>
      <c r="J707">
        <v>60013372</v>
      </c>
      <c r="K707" t="s">
        <v>5143</v>
      </c>
      <c r="L707" t="s">
        <v>3234</v>
      </c>
      <c r="M707" t="s">
        <v>10</v>
      </c>
      <c r="N707">
        <v>2</v>
      </c>
      <c r="O707" t="s">
        <v>5142</v>
      </c>
      <c r="P707" t="s">
        <v>5141</v>
      </c>
      <c r="Q707" t="s">
        <v>5140</v>
      </c>
      <c r="R707" s="7">
        <v>33970</v>
      </c>
      <c r="S707" s="8">
        <f t="shared" si="88"/>
        <v>1993</v>
      </c>
      <c r="T707" s="8">
        <v>1993</v>
      </c>
      <c r="U707" s="8">
        <f t="shared" si="89"/>
        <v>29</v>
      </c>
      <c r="V707" s="7">
        <v>34151</v>
      </c>
      <c r="W707" t="s">
        <v>814</v>
      </c>
      <c r="X707" s="2">
        <v>1.6519999999999999</v>
      </c>
      <c r="Y707" s="6">
        <f t="shared" si="94"/>
        <v>4.409919649769093E-2</v>
      </c>
      <c r="AA707" t="s">
        <v>813</v>
      </c>
      <c r="AB707">
        <v>17337</v>
      </c>
      <c r="AC707">
        <v>15582221</v>
      </c>
      <c r="AD707" t="s">
        <v>5</v>
      </c>
      <c r="AE707">
        <v>41</v>
      </c>
      <c r="AF707">
        <v>7</v>
      </c>
      <c r="AH707" t="s">
        <v>5139</v>
      </c>
      <c r="AI707" t="s">
        <v>5138</v>
      </c>
      <c r="AK707" t="s">
        <v>5137</v>
      </c>
      <c r="AL707">
        <v>18</v>
      </c>
      <c r="AM707" s="5">
        <f t="shared" si="90"/>
        <v>0.62068965517241381</v>
      </c>
      <c r="AN707" s="4">
        <f t="shared" si="95"/>
        <v>9.4008277951141816E-4</v>
      </c>
      <c r="AO707" s="3"/>
      <c r="AP707">
        <v>0</v>
      </c>
      <c r="AQ707" t="s">
        <v>5136</v>
      </c>
      <c r="AR707" t="s">
        <v>5135</v>
      </c>
      <c r="AS707" t="s">
        <v>647</v>
      </c>
      <c r="AT707" s="2" t="s">
        <v>0</v>
      </c>
      <c r="AU707" s="1">
        <f t="shared" si="91"/>
        <v>3.1151462382237076</v>
      </c>
      <c r="AV707" s="1">
        <f t="shared" si="92"/>
        <v>2.2519639638601174</v>
      </c>
      <c r="AW707" s="1">
        <f t="shared" si="93"/>
        <v>1.388781689496527</v>
      </c>
    </row>
    <row r="708" spans="1:49" x14ac:dyDescent="0.2">
      <c r="A708">
        <v>706</v>
      </c>
      <c r="B708" t="s">
        <v>5134</v>
      </c>
      <c r="C708" t="s">
        <v>5133</v>
      </c>
      <c r="F708" t="s">
        <v>5132</v>
      </c>
      <c r="G708" t="s">
        <v>15</v>
      </c>
      <c r="H708" t="s">
        <v>14</v>
      </c>
      <c r="I708" t="s">
        <v>5131</v>
      </c>
      <c r="J708" t="s">
        <v>5130</v>
      </c>
      <c r="K708" t="s">
        <v>5129</v>
      </c>
      <c r="L708" t="s">
        <v>5128</v>
      </c>
      <c r="M708" t="s">
        <v>2289</v>
      </c>
      <c r="N708">
        <v>2</v>
      </c>
      <c r="O708" t="s">
        <v>5127</v>
      </c>
      <c r="P708" t="s">
        <v>5126</v>
      </c>
      <c r="Q708" t="s">
        <v>5125</v>
      </c>
      <c r="R708" s="7">
        <v>33970</v>
      </c>
      <c r="S708" s="8">
        <f t="shared" si="88"/>
        <v>1993</v>
      </c>
      <c r="T708" s="8">
        <v>1993</v>
      </c>
      <c r="U708" s="8">
        <f t="shared" si="89"/>
        <v>29</v>
      </c>
      <c r="V708" s="7">
        <v>34151</v>
      </c>
      <c r="W708" t="s">
        <v>1687</v>
      </c>
      <c r="X708" s="2">
        <v>0.752</v>
      </c>
      <c r="Y708" s="6">
        <f t="shared" si="94"/>
        <v>2.0074210512266089E-2</v>
      </c>
      <c r="AA708">
        <v>3649059</v>
      </c>
      <c r="AB708">
        <v>17277</v>
      </c>
      <c r="AC708">
        <v>15581691</v>
      </c>
      <c r="AD708" t="s">
        <v>5</v>
      </c>
      <c r="AE708">
        <v>18</v>
      </c>
      <c r="AF708">
        <v>3</v>
      </c>
      <c r="AH708" t="s">
        <v>5124</v>
      </c>
      <c r="AI708" t="s">
        <v>5123</v>
      </c>
      <c r="AK708" t="s">
        <v>5122</v>
      </c>
      <c r="AL708">
        <v>82</v>
      </c>
      <c r="AM708" s="5">
        <f t="shared" si="90"/>
        <v>2.8275862068965516</v>
      </c>
      <c r="AN708" s="4">
        <f t="shared" si="95"/>
        <v>4.2825993288853493E-3</v>
      </c>
      <c r="AO708" s="3"/>
      <c r="AP708">
        <v>0</v>
      </c>
      <c r="AQ708" t="s">
        <v>5121</v>
      </c>
      <c r="AR708" t="s">
        <v>1</v>
      </c>
      <c r="AS708" t="s">
        <v>5120</v>
      </c>
      <c r="AT708" s="2">
        <v>3.5539999999999998</v>
      </c>
      <c r="AU708" s="1">
        <f t="shared" si="91"/>
        <v>1.5336727157251866</v>
      </c>
      <c r="AV708" s="1">
        <f t="shared" si="92"/>
        <v>1.2178404920575721</v>
      </c>
      <c r="AW708" s="1">
        <f t="shared" si="93"/>
        <v>0.90200826838995707</v>
      </c>
    </row>
    <row r="709" spans="1:49" x14ac:dyDescent="0.2">
      <c r="A709">
        <v>707</v>
      </c>
      <c r="B709" t="s">
        <v>5119</v>
      </c>
      <c r="C709" t="s">
        <v>5118</v>
      </c>
      <c r="F709" t="s">
        <v>5117</v>
      </c>
      <c r="G709" t="s">
        <v>15</v>
      </c>
      <c r="H709" t="s">
        <v>14</v>
      </c>
      <c r="I709" t="s">
        <v>5116</v>
      </c>
      <c r="N709">
        <v>2</v>
      </c>
      <c r="O709" t="s">
        <v>5115</v>
      </c>
      <c r="P709" t="s">
        <v>5114</v>
      </c>
      <c r="Q709" t="s">
        <v>1557</v>
      </c>
      <c r="R709" s="7">
        <v>33970</v>
      </c>
      <c r="S709" s="8">
        <f t="shared" si="88"/>
        <v>1993</v>
      </c>
      <c r="T709" s="8">
        <v>1993</v>
      </c>
      <c r="U709" s="8">
        <f t="shared" si="89"/>
        <v>29</v>
      </c>
      <c r="V709" s="7">
        <v>34151</v>
      </c>
      <c r="W709" t="s">
        <v>814</v>
      </c>
      <c r="X709" s="2">
        <v>1.6519999999999999</v>
      </c>
      <c r="Y709" s="6">
        <f t="shared" si="94"/>
        <v>4.409919649769093E-2</v>
      </c>
      <c r="AA709" t="s">
        <v>813</v>
      </c>
      <c r="AB709">
        <v>17337</v>
      </c>
      <c r="AC709">
        <v>15582221</v>
      </c>
      <c r="AD709" t="s">
        <v>5</v>
      </c>
      <c r="AE709">
        <v>41</v>
      </c>
      <c r="AF709">
        <v>7</v>
      </c>
      <c r="AH709" t="s">
        <v>5113</v>
      </c>
      <c r="AI709" t="s">
        <v>5112</v>
      </c>
      <c r="AK709" t="s">
        <v>5111</v>
      </c>
      <c r="AL709">
        <v>53</v>
      </c>
      <c r="AM709" s="5">
        <f t="shared" si="90"/>
        <v>1.8275862068965518</v>
      </c>
      <c r="AN709" s="4">
        <f t="shared" si="95"/>
        <v>2.7680215174502869E-3</v>
      </c>
      <c r="AO709" s="3"/>
      <c r="AP709">
        <v>0</v>
      </c>
      <c r="AR709" t="s">
        <v>1</v>
      </c>
      <c r="AT709" s="2" t="s">
        <v>0</v>
      </c>
      <c r="AU709" s="1">
        <f t="shared" si="91"/>
        <v>3.1699844003618733</v>
      </c>
      <c r="AV709" s="1">
        <f t="shared" si="92"/>
        <v>2.343360900757061</v>
      </c>
      <c r="AW709" s="1">
        <f t="shared" si="93"/>
        <v>1.5167374011522479</v>
      </c>
    </row>
    <row r="710" spans="1:49" x14ac:dyDescent="0.2">
      <c r="A710">
        <v>708</v>
      </c>
      <c r="B710" t="s">
        <v>5110</v>
      </c>
      <c r="C710" t="s">
        <v>5109</v>
      </c>
      <c r="F710" t="s">
        <v>5108</v>
      </c>
      <c r="G710" t="s">
        <v>15</v>
      </c>
      <c r="H710" t="s">
        <v>14</v>
      </c>
      <c r="I710" t="s">
        <v>5107</v>
      </c>
      <c r="N710">
        <v>1</v>
      </c>
      <c r="O710" t="s">
        <v>5106</v>
      </c>
      <c r="P710">
        <v>7004324236</v>
      </c>
      <c r="R710" s="7">
        <v>33970</v>
      </c>
      <c r="S710" s="8">
        <f t="shared" si="88"/>
        <v>1993</v>
      </c>
      <c r="T710" s="8">
        <v>1993</v>
      </c>
      <c r="U710" s="8">
        <f t="shared" si="89"/>
        <v>29</v>
      </c>
      <c r="V710" s="7" t="s">
        <v>5063</v>
      </c>
      <c r="W710" t="s">
        <v>1555</v>
      </c>
      <c r="X710" s="2">
        <v>0.371</v>
      </c>
      <c r="Y710" s="6">
        <f t="shared" si="94"/>
        <v>9.9036331117695747E-3</v>
      </c>
      <c r="AA710">
        <v>486604</v>
      </c>
      <c r="AB710">
        <v>28580</v>
      </c>
      <c r="AC710" t="s">
        <v>1554</v>
      </c>
      <c r="AD710" t="s">
        <v>5</v>
      </c>
      <c r="AE710">
        <v>28</v>
      </c>
      <c r="AF710">
        <v>4</v>
      </c>
      <c r="AH710" t="s">
        <v>5105</v>
      </c>
      <c r="AI710" t="s">
        <v>5104</v>
      </c>
      <c r="AK710" t="s">
        <v>5103</v>
      </c>
      <c r="AL710">
        <v>6</v>
      </c>
      <c r="AM710" s="5">
        <f t="shared" si="90"/>
        <v>0.20689655172413793</v>
      </c>
      <c r="AN710" s="4">
        <f t="shared" si="95"/>
        <v>3.1336092650380602E-4</v>
      </c>
      <c r="AO710" s="3"/>
      <c r="AP710">
        <v>0</v>
      </c>
      <c r="AR710" t="s">
        <v>1</v>
      </c>
      <c r="AT710" s="2">
        <v>1.431</v>
      </c>
      <c r="AU710" s="1">
        <f t="shared" si="91"/>
        <v>0.70265514561898434</v>
      </c>
      <c r="AV710" s="1">
        <f t="shared" si="92"/>
        <v>0.51084970191366907</v>
      </c>
      <c r="AW710" s="1">
        <f t="shared" si="93"/>
        <v>0.31904425820835369</v>
      </c>
    </row>
    <row r="711" spans="1:49" x14ac:dyDescent="0.2">
      <c r="A711">
        <v>709</v>
      </c>
      <c r="B711" t="s">
        <v>5102</v>
      </c>
      <c r="C711" t="s">
        <v>5101</v>
      </c>
      <c r="F711" t="s">
        <v>5100</v>
      </c>
      <c r="G711" t="s">
        <v>15</v>
      </c>
      <c r="H711" t="s">
        <v>14</v>
      </c>
      <c r="I711" t="s">
        <v>5099</v>
      </c>
      <c r="J711" t="s">
        <v>5098</v>
      </c>
      <c r="K711" t="s">
        <v>5097</v>
      </c>
      <c r="L711" t="s">
        <v>5096</v>
      </c>
      <c r="M711" t="s">
        <v>5095</v>
      </c>
      <c r="N711">
        <v>5</v>
      </c>
      <c r="O711" t="s">
        <v>5094</v>
      </c>
      <c r="P711" t="s">
        <v>5093</v>
      </c>
      <c r="Q711" t="s">
        <v>5092</v>
      </c>
      <c r="R711" s="7">
        <v>33970</v>
      </c>
      <c r="S711" s="8">
        <f t="shared" si="88"/>
        <v>1993</v>
      </c>
      <c r="T711" s="8">
        <v>1993</v>
      </c>
      <c r="U711" s="8">
        <f t="shared" si="89"/>
        <v>29</v>
      </c>
      <c r="V711" s="7">
        <v>34151</v>
      </c>
      <c r="W711" t="s">
        <v>5091</v>
      </c>
      <c r="X711" s="2">
        <v>0.34699999999999998</v>
      </c>
      <c r="Y711" s="6">
        <f t="shared" si="94"/>
        <v>9.2629668188249116E-3</v>
      </c>
      <c r="AA711" t="s">
        <v>5090</v>
      </c>
      <c r="AB711">
        <v>18817</v>
      </c>
      <c r="AC711">
        <v>15418251</v>
      </c>
      <c r="AD711" t="s">
        <v>5</v>
      </c>
      <c r="AE711">
        <v>4</v>
      </c>
      <c r="AF711">
        <v>4</v>
      </c>
      <c r="AH711" t="s">
        <v>5089</v>
      </c>
      <c r="AI711" t="s">
        <v>5088</v>
      </c>
      <c r="AK711" t="s">
        <v>5087</v>
      </c>
      <c r="AL711">
        <v>14</v>
      </c>
      <c r="AM711" s="5">
        <f t="shared" si="90"/>
        <v>0.48275862068965519</v>
      </c>
      <c r="AN711" s="4">
        <f t="shared" si="95"/>
        <v>7.3117549517554741E-4</v>
      </c>
      <c r="AO711" s="3"/>
      <c r="AP711">
        <v>0</v>
      </c>
      <c r="AR711" t="s">
        <v>1</v>
      </c>
      <c r="AT711" s="2" t="s">
        <v>0</v>
      </c>
      <c r="AU711" s="1">
        <f t="shared" si="91"/>
        <v>0.67034294217301027</v>
      </c>
      <c r="AV711" s="1">
        <f t="shared" si="92"/>
        <v>0.49970711570002291</v>
      </c>
      <c r="AW711" s="1">
        <f t="shared" si="93"/>
        <v>0.32907128922703566</v>
      </c>
    </row>
    <row r="712" spans="1:49" x14ac:dyDescent="0.2">
      <c r="A712">
        <v>710</v>
      </c>
      <c r="B712" t="s">
        <v>5086</v>
      </c>
      <c r="C712" t="s">
        <v>5085</v>
      </c>
      <c r="F712" t="s">
        <v>5084</v>
      </c>
      <c r="G712" t="s">
        <v>15</v>
      </c>
      <c r="H712" t="s">
        <v>14</v>
      </c>
      <c r="I712" t="s">
        <v>5083</v>
      </c>
      <c r="N712">
        <v>7</v>
      </c>
      <c r="O712" t="s">
        <v>5082</v>
      </c>
      <c r="P712" t="s">
        <v>5081</v>
      </c>
      <c r="Q712" t="s">
        <v>4046</v>
      </c>
      <c r="R712" s="7">
        <v>33970</v>
      </c>
      <c r="S712" s="8">
        <f t="shared" si="88"/>
        <v>1993</v>
      </c>
      <c r="T712" s="8">
        <v>1993</v>
      </c>
      <c r="U712" s="8">
        <f t="shared" si="89"/>
        <v>29</v>
      </c>
      <c r="V712" s="7" t="s">
        <v>5063</v>
      </c>
      <c r="W712" t="s">
        <v>1555</v>
      </c>
      <c r="X712" s="2">
        <v>0.371</v>
      </c>
      <c r="Y712" s="6">
        <f t="shared" si="94"/>
        <v>9.9036331117695747E-3</v>
      </c>
      <c r="AA712">
        <v>486604</v>
      </c>
      <c r="AB712">
        <v>28580</v>
      </c>
      <c r="AC712" t="s">
        <v>1554</v>
      </c>
      <c r="AD712" t="s">
        <v>5</v>
      </c>
      <c r="AE712">
        <v>28</v>
      </c>
      <c r="AF712">
        <v>4</v>
      </c>
      <c r="AH712" t="s">
        <v>5080</v>
      </c>
      <c r="AI712" t="s">
        <v>5079</v>
      </c>
      <c r="AK712" t="s">
        <v>5078</v>
      </c>
      <c r="AL712">
        <v>17</v>
      </c>
      <c r="AM712" s="5">
        <f t="shared" si="90"/>
        <v>0.58620689655172409</v>
      </c>
      <c r="AN712" s="4">
        <f t="shared" si="95"/>
        <v>8.8785595842745036E-4</v>
      </c>
      <c r="AO712" s="3"/>
      <c r="AP712">
        <v>0</v>
      </c>
      <c r="AR712" t="s">
        <v>1</v>
      </c>
      <c r="AT712" s="2">
        <v>1.431</v>
      </c>
      <c r="AU712" s="1">
        <f t="shared" si="91"/>
        <v>0.71988999657669372</v>
      </c>
      <c r="AV712" s="1">
        <f t="shared" si="92"/>
        <v>0.53957445350985123</v>
      </c>
      <c r="AW712" s="1">
        <f t="shared" si="93"/>
        <v>0.35925891044300878</v>
      </c>
    </row>
    <row r="713" spans="1:49" x14ac:dyDescent="0.2">
      <c r="A713">
        <v>711</v>
      </c>
      <c r="B713" t="s">
        <v>5077</v>
      </c>
      <c r="C713" t="s">
        <v>5076</v>
      </c>
      <c r="F713" t="s">
        <v>5075</v>
      </c>
      <c r="G713" t="s">
        <v>15</v>
      </c>
      <c r="H713" t="s">
        <v>14</v>
      </c>
      <c r="I713" t="s">
        <v>2241</v>
      </c>
      <c r="J713">
        <v>60003122</v>
      </c>
      <c r="K713" t="s">
        <v>2240</v>
      </c>
      <c r="L713" t="s">
        <v>2239</v>
      </c>
      <c r="M713" t="s">
        <v>508</v>
      </c>
      <c r="N713">
        <v>2</v>
      </c>
      <c r="O713" t="s">
        <v>2238</v>
      </c>
      <c r="P713" t="s">
        <v>2237</v>
      </c>
      <c r="Q713" t="s">
        <v>2236</v>
      </c>
      <c r="R713" s="7">
        <v>33970</v>
      </c>
      <c r="S713" s="8">
        <f t="shared" si="88"/>
        <v>1993</v>
      </c>
      <c r="T713" s="8">
        <v>1993</v>
      </c>
      <c r="U713" s="8">
        <f t="shared" si="89"/>
        <v>29</v>
      </c>
      <c r="V713" s="7">
        <v>34151</v>
      </c>
      <c r="W713" t="s">
        <v>1687</v>
      </c>
      <c r="X713" s="2">
        <v>0.752</v>
      </c>
      <c r="Y713" s="6">
        <f t="shared" si="94"/>
        <v>2.0074210512266089E-2</v>
      </c>
      <c r="AA713">
        <v>3649059</v>
      </c>
      <c r="AB713">
        <v>17277</v>
      </c>
      <c r="AC713">
        <v>15581691</v>
      </c>
      <c r="AD713" t="s">
        <v>5</v>
      </c>
      <c r="AE713">
        <v>18</v>
      </c>
      <c r="AF713">
        <v>3</v>
      </c>
      <c r="AH713" t="s">
        <v>5074</v>
      </c>
      <c r="AI713" t="s">
        <v>5073</v>
      </c>
      <c r="AJ713" t="s">
        <v>5072</v>
      </c>
      <c r="AK713" t="s">
        <v>5071</v>
      </c>
      <c r="AL713">
        <v>17</v>
      </c>
      <c r="AM713" s="5">
        <f t="shared" si="90"/>
        <v>0.58620689655172409</v>
      </c>
      <c r="AN713" s="4">
        <f t="shared" si="95"/>
        <v>8.8785595842745036E-4</v>
      </c>
      <c r="AO713" s="3"/>
      <c r="AP713">
        <v>0</v>
      </c>
      <c r="AQ713" t="s">
        <v>5070</v>
      </c>
      <c r="AR713">
        <v>9211044</v>
      </c>
      <c r="AS713" t="s">
        <v>5069</v>
      </c>
      <c r="AT713" s="2">
        <v>3.5539999999999998</v>
      </c>
      <c r="AU713" s="1">
        <f t="shared" si="91"/>
        <v>1.4318304146114498</v>
      </c>
      <c r="AV713" s="1">
        <f t="shared" si="92"/>
        <v>1.0481033235346771</v>
      </c>
      <c r="AW713" s="1">
        <f t="shared" si="93"/>
        <v>0.66437623245790411</v>
      </c>
    </row>
    <row r="714" spans="1:49" x14ac:dyDescent="0.2">
      <c r="A714">
        <v>712</v>
      </c>
      <c r="B714" t="s">
        <v>5068</v>
      </c>
      <c r="C714" t="s">
        <v>5067</v>
      </c>
      <c r="F714" t="s">
        <v>5066</v>
      </c>
      <c r="G714" t="s">
        <v>15</v>
      </c>
      <c r="H714" t="s">
        <v>14</v>
      </c>
      <c r="I714" t="s">
        <v>5065</v>
      </c>
      <c r="N714">
        <v>1</v>
      </c>
      <c r="O714" t="s">
        <v>5064</v>
      </c>
      <c r="P714">
        <v>7005779558</v>
      </c>
      <c r="R714" s="7">
        <v>33970</v>
      </c>
      <c r="S714" s="8">
        <f t="shared" si="88"/>
        <v>1993</v>
      </c>
      <c r="T714" s="8">
        <v>1993</v>
      </c>
      <c r="U714" s="8">
        <f t="shared" si="89"/>
        <v>29</v>
      </c>
      <c r="V714" s="7" t="s">
        <v>5063</v>
      </c>
      <c r="W714" t="s">
        <v>1555</v>
      </c>
      <c r="X714" s="2">
        <v>0.371</v>
      </c>
      <c r="Y714" s="6">
        <f t="shared" si="94"/>
        <v>9.9036331117695747E-3</v>
      </c>
      <c r="AA714">
        <v>486604</v>
      </c>
      <c r="AB714">
        <v>28580</v>
      </c>
      <c r="AC714" t="s">
        <v>1554</v>
      </c>
      <c r="AD714" t="s">
        <v>5</v>
      </c>
      <c r="AE714">
        <v>28</v>
      </c>
      <c r="AF714">
        <v>4</v>
      </c>
      <c r="AH714" t="s">
        <v>5062</v>
      </c>
      <c r="AI714" t="s">
        <v>5061</v>
      </c>
      <c r="AK714" t="s">
        <v>5060</v>
      </c>
      <c r="AL714">
        <v>6</v>
      </c>
      <c r="AM714" s="5">
        <f t="shared" si="90"/>
        <v>0.20689655172413793</v>
      </c>
      <c r="AN714" s="4">
        <f t="shared" si="95"/>
        <v>3.1336092650380602E-4</v>
      </c>
      <c r="AO714" s="3"/>
      <c r="AP714">
        <v>0</v>
      </c>
      <c r="AR714" t="s">
        <v>1</v>
      </c>
      <c r="AT714" s="2">
        <v>1.431</v>
      </c>
      <c r="AU714" s="1">
        <f t="shared" si="91"/>
        <v>0.70265514561898434</v>
      </c>
      <c r="AV714" s="1">
        <f t="shared" si="92"/>
        <v>0.51084970191366907</v>
      </c>
      <c r="AW714" s="1">
        <f t="shared" si="93"/>
        <v>0.31904425820835369</v>
      </c>
    </row>
    <row r="715" spans="1:49" x14ac:dyDescent="0.2">
      <c r="A715">
        <v>713</v>
      </c>
      <c r="B715" t="s">
        <v>5059</v>
      </c>
      <c r="C715" t="s">
        <v>5058</v>
      </c>
      <c r="F715" t="s">
        <v>5057</v>
      </c>
      <c r="G715" t="s">
        <v>15</v>
      </c>
      <c r="H715" t="s">
        <v>14</v>
      </c>
      <c r="I715" t="s">
        <v>5056</v>
      </c>
      <c r="J715">
        <v>60101699</v>
      </c>
      <c r="K715" t="s">
        <v>3302</v>
      </c>
      <c r="L715" t="s">
        <v>151</v>
      </c>
      <c r="M715" t="s">
        <v>150</v>
      </c>
      <c r="N715">
        <v>2</v>
      </c>
      <c r="O715" t="s">
        <v>5055</v>
      </c>
      <c r="P715" t="s">
        <v>5054</v>
      </c>
      <c r="Q715" t="s">
        <v>5053</v>
      </c>
      <c r="R715" s="7">
        <v>33970</v>
      </c>
      <c r="S715" s="8">
        <f t="shared" si="88"/>
        <v>1993</v>
      </c>
      <c r="T715" s="8">
        <v>1993</v>
      </c>
      <c r="U715" s="8">
        <f t="shared" si="89"/>
        <v>29</v>
      </c>
      <c r="V715" s="7">
        <v>34151</v>
      </c>
      <c r="W715" t="s">
        <v>602</v>
      </c>
      <c r="X715" s="2">
        <v>0.371</v>
      </c>
      <c r="Y715" s="6">
        <f t="shared" si="94"/>
        <v>9.9036331117695747E-3</v>
      </c>
      <c r="AA715">
        <v>214922</v>
      </c>
      <c r="AB715">
        <v>130262</v>
      </c>
      <c r="AC715">
        <v>13474065</v>
      </c>
      <c r="AD715" t="s">
        <v>5</v>
      </c>
      <c r="AE715">
        <v>32</v>
      </c>
      <c r="AF715" t="s">
        <v>5052</v>
      </c>
      <c r="AH715" t="s">
        <v>5051</v>
      </c>
      <c r="AI715" t="s">
        <v>5050</v>
      </c>
      <c r="AJ715" t="s">
        <v>5049</v>
      </c>
      <c r="AK715" t="s">
        <v>5048</v>
      </c>
      <c r="AL715">
        <v>2</v>
      </c>
      <c r="AM715" s="5">
        <f t="shared" si="90"/>
        <v>6.8965517241379309E-2</v>
      </c>
      <c r="AN715" s="4">
        <f t="shared" si="95"/>
        <v>1.0445364216793535E-4</v>
      </c>
      <c r="AO715" s="3"/>
      <c r="AP715">
        <v>0</v>
      </c>
      <c r="AR715" t="s">
        <v>1</v>
      </c>
      <c r="AT715" s="2">
        <v>1.48</v>
      </c>
      <c r="AU715" s="1">
        <f t="shared" si="91"/>
        <v>0.69638792708890818</v>
      </c>
      <c r="AV715" s="1">
        <f t="shared" si="92"/>
        <v>0.50040433769687553</v>
      </c>
      <c r="AW715" s="1">
        <f t="shared" si="93"/>
        <v>0.30442074830484273</v>
      </c>
    </row>
    <row r="716" spans="1:49" x14ac:dyDescent="0.2">
      <c r="A716">
        <v>714</v>
      </c>
      <c r="B716" t="s">
        <v>5047</v>
      </c>
      <c r="C716" t="s">
        <v>5046</v>
      </c>
      <c r="F716" t="s">
        <v>5045</v>
      </c>
      <c r="G716" t="s">
        <v>15</v>
      </c>
      <c r="H716" t="s">
        <v>14</v>
      </c>
      <c r="I716" t="s">
        <v>5044</v>
      </c>
      <c r="J716" t="s">
        <v>5043</v>
      </c>
      <c r="K716" t="s">
        <v>5042</v>
      </c>
      <c r="L716" t="s">
        <v>5041</v>
      </c>
      <c r="M716" t="s">
        <v>235</v>
      </c>
      <c r="N716">
        <v>2</v>
      </c>
      <c r="O716" t="s">
        <v>5040</v>
      </c>
      <c r="P716" t="s">
        <v>5039</v>
      </c>
      <c r="Q716" t="s">
        <v>5038</v>
      </c>
      <c r="R716" s="7">
        <v>33970</v>
      </c>
      <c r="S716" s="8">
        <f t="shared" si="88"/>
        <v>1993</v>
      </c>
      <c r="T716" s="8">
        <v>1993</v>
      </c>
      <c r="U716" s="8">
        <f t="shared" si="89"/>
        <v>29</v>
      </c>
      <c r="V716" s="7" t="s">
        <v>5037</v>
      </c>
      <c r="W716" t="s">
        <v>906</v>
      </c>
      <c r="X716" s="2">
        <v>0.33800000000000002</v>
      </c>
      <c r="Y716" s="6">
        <f t="shared" si="94"/>
        <v>9.0227169589706634E-3</v>
      </c>
      <c r="AA716">
        <v>7372884</v>
      </c>
      <c r="AB716">
        <v>70506</v>
      </c>
      <c r="AC716">
        <v>10991247</v>
      </c>
      <c r="AD716" t="s">
        <v>5</v>
      </c>
      <c r="AE716">
        <v>11</v>
      </c>
      <c r="AF716">
        <v>4</v>
      </c>
      <c r="AH716" t="s">
        <v>5036</v>
      </c>
      <c r="AI716" t="s">
        <v>5035</v>
      </c>
      <c r="AJ716" t="s">
        <v>5034</v>
      </c>
      <c r="AK716" t="s">
        <v>5033</v>
      </c>
      <c r="AL716">
        <v>3</v>
      </c>
      <c r="AM716" s="5">
        <f t="shared" si="90"/>
        <v>0.10344827586206896</v>
      </c>
      <c r="AN716" s="4">
        <f t="shared" si="95"/>
        <v>1.5668046325190301E-4</v>
      </c>
      <c r="AO716" s="3"/>
      <c r="AP716">
        <v>0</v>
      </c>
      <c r="AR716" t="s">
        <v>1</v>
      </c>
      <c r="AT716" s="2" t="s">
        <v>0</v>
      </c>
      <c r="AU716" s="1">
        <f t="shared" si="91"/>
        <v>0.6362906010255035</v>
      </c>
      <c r="AV716" s="1">
        <f t="shared" si="92"/>
        <v>0.4589698711111283</v>
      </c>
      <c r="AW716" s="1">
        <f t="shared" si="93"/>
        <v>0.28164914119675311</v>
      </c>
    </row>
    <row r="717" spans="1:49" x14ac:dyDescent="0.2">
      <c r="A717">
        <v>715</v>
      </c>
      <c r="B717" t="s">
        <v>5032</v>
      </c>
      <c r="C717" t="s">
        <v>5031</v>
      </c>
      <c r="F717" t="s">
        <v>5030</v>
      </c>
      <c r="G717" t="s">
        <v>15</v>
      </c>
      <c r="H717" t="s">
        <v>14</v>
      </c>
      <c r="I717" t="s">
        <v>5029</v>
      </c>
      <c r="J717">
        <v>60000264</v>
      </c>
      <c r="K717" t="s">
        <v>278</v>
      </c>
      <c r="L717" t="s">
        <v>277</v>
      </c>
      <c r="M717" t="s">
        <v>150</v>
      </c>
      <c r="N717">
        <v>1</v>
      </c>
      <c r="O717" t="s">
        <v>5028</v>
      </c>
      <c r="P717">
        <v>7202486515</v>
      </c>
      <c r="Q717">
        <v>60000264</v>
      </c>
      <c r="R717" s="7">
        <v>33970</v>
      </c>
      <c r="S717" s="8">
        <f t="shared" si="88"/>
        <v>1993</v>
      </c>
      <c r="T717" s="8">
        <v>1993</v>
      </c>
      <c r="U717" s="8">
        <f t="shared" si="89"/>
        <v>29</v>
      </c>
      <c r="V717" s="7">
        <v>34151</v>
      </c>
      <c r="W717" t="s">
        <v>627</v>
      </c>
      <c r="X717" s="2">
        <v>0.52100000000000002</v>
      </c>
      <c r="Y717" s="6">
        <f t="shared" si="94"/>
        <v>1.3907797442673715E-2</v>
      </c>
      <c r="AA717">
        <v>8931321</v>
      </c>
      <c r="AB717">
        <v>16252</v>
      </c>
      <c r="AD717" t="s">
        <v>5</v>
      </c>
      <c r="AE717">
        <v>6</v>
      </c>
      <c r="AF717">
        <v>3</v>
      </c>
      <c r="AH717" t="s">
        <v>5027</v>
      </c>
      <c r="AI717" t="s">
        <v>5026</v>
      </c>
      <c r="AK717" t="s">
        <v>5025</v>
      </c>
      <c r="AL717">
        <v>2</v>
      </c>
      <c r="AM717" s="5">
        <f t="shared" si="90"/>
        <v>6.8965517241379309E-2</v>
      </c>
      <c r="AN717" s="4">
        <f t="shared" si="95"/>
        <v>1.0445364216793535E-4</v>
      </c>
      <c r="AO717" s="3"/>
      <c r="AP717">
        <v>0</v>
      </c>
      <c r="AR717" t="s">
        <v>1</v>
      </c>
      <c r="AT717" s="2">
        <v>1.9039999999999999</v>
      </c>
      <c r="AU717" s="1">
        <f t="shared" si="91"/>
        <v>0.97667943025219806</v>
      </c>
      <c r="AV717" s="1">
        <f t="shared" si="92"/>
        <v>0.70061255424208257</v>
      </c>
      <c r="AW717" s="1">
        <f t="shared" si="93"/>
        <v>0.42454567823196687</v>
      </c>
    </row>
    <row r="718" spans="1:49" x14ac:dyDescent="0.2">
      <c r="A718">
        <v>716</v>
      </c>
      <c r="B718" t="s">
        <v>5024</v>
      </c>
      <c r="C718" t="s">
        <v>5023</v>
      </c>
      <c r="F718" t="s">
        <v>5022</v>
      </c>
      <c r="G718" t="s">
        <v>15</v>
      </c>
      <c r="H718" t="s">
        <v>14</v>
      </c>
      <c r="I718" t="s">
        <v>5021</v>
      </c>
      <c r="J718" t="s">
        <v>3257</v>
      </c>
      <c r="K718" t="s">
        <v>3256</v>
      </c>
      <c r="L718" t="s">
        <v>3255</v>
      </c>
      <c r="M718" t="s">
        <v>235</v>
      </c>
      <c r="N718">
        <v>5</v>
      </c>
      <c r="O718" t="s">
        <v>5020</v>
      </c>
      <c r="P718" t="s">
        <v>5019</v>
      </c>
      <c r="Q718" t="s">
        <v>5018</v>
      </c>
      <c r="R718" s="7">
        <v>33970</v>
      </c>
      <c r="S718" s="8">
        <f t="shared" si="88"/>
        <v>1993</v>
      </c>
      <c r="T718" s="8">
        <v>1993</v>
      </c>
      <c r="U718" s="8">
        <f t="shared" si="89"/>
        <v>29</v>
      </c>
      <c r="V718" s="7">
        <v>34151</v>
      </c>
      <c r="W718" t="s">
        <v>1272</v>
      </c>
      <c r="X718" s="2">
        <v>0.94</v>
      </c>
      <c r="Y718" s="6">
        <f t="shared" si="94"/>
        <v>2.5092763140332611E-2</v>
      </c>
      <c r="AA718">
        <v>10518207</v>
      </c>
      <c r="AB718">
        <v>63372</v>
      </c>
      <c r="AD718" t="s">
        <v>5</v>
      </c>
      <c r="AE718">
        <v>3</v>
      </c>
      <c r="AF718">
        <v>7</v>
      </c>
      <c r="AH718" t="s">
        <v>5017</v>
      </c>
      <c r="AI718" t="s">
        <v>5016</v>
      </c>
      <c r="AK718" t="s">
        <v>5015</v>
      </c>
      <c r="AL718">
        <v>23</v>
      </c>
      <c r="AM718" s="5">
        <f t="shared" si="90"/>
        <v>0.7931034482758621</v>
      </c>
      <c r="AN718" s="4">
        <f t="shared" si="95"/>
        <v>1.2012168849312565E-3</v>
      </c>
      <c r="AO718" s="3"/>
      <c r="AP718">
        <v>0</v>
      </c>
      <c r="AR718" t="s">
        <v>5014</v>
      </c>
      <c r="AS718" t="s">
        <v>1294</v>
      </c>
      <c r="AT718" s="2" t="s">
        <v>0</v>
      </c>
      <c r="AU718" s="1">
        <f t="shared" si="91"/>
        <v>1.7925299263712204</v>
      </c>
      <c r="AV718" s="1">
        <f t="shared" si="92"/>
        <v>1.3146990012631934</v>
      </c>
      <c r="AW718" s="1">
        <f t="shared" si="93"/>
        <v>0.83686807615516623</v>
      </c>
    </row>
    <row r="719" spans="1:49" x14ac:dyDescent="0.2">
      <c r="A719">
        <v>717</v>
      </c>
      <c r="B719" t="s">
        <v>5013</v>
      </c>
      <c r="C719" t="s">
        <v>5012</v>
      </c>
      <c r="F719" t="s">
        <v>5011</v>
      </c>
      <c r="G719" t="s">
        <v>15</v>
      </c>
      <c r="H719" t="s">
        <v>14</v>
      </c>
      <c r="I719" t="s">
        <v>5010</v>
      </c>
      <c r="J719">
        <v>60003500</v>
      </c>
      <c r="K719" t="s">
        <v>2557</v>
      </c>
      <c r="L719" t="s">
        <v>2556</v>
      </c>
      <c r="M719" t="s">
        <v>10</v>
      </c>
      <c r="N719">
        <v>1</v>
      </c>
      <c r="O719" t="s">
        <v>5009</v>
      </c>
      <c r="P719">
        <v>24541951100</v>
      </c>
      <c r="Q719">
        <v>60003500</v>
      </c>
      <c r="R719" s="7">
        <v>33970</v>
      </c>
      <c r="S719" s="8">
        <f t="shared" si="88"/>
        <v>1993</v>
      </c>
      <c r="T719" s="8">
        <v>1993</v>
      </c>
      <c r="U719" s="8">
        <f t="shared" si="89"/>
        <v>29</v>
      </c>
      <c r="V719" s="7">
        <v>34151</v>
      </c>
      <c r="W719" t="s">
        <v>587</v>
      </c>
      <c r="X719" s="2">
        <v>1.137</v>
      </c>
      <c r="Y719" s="6">
        <f t="shared" si="94"/>
        <v>3.0351565628253384E-2</v>
      </c>
      <c r="AA719">
        <v>189251</v>
      </c>
      <c r="AB719">
        <v>17336</v>
      </c>
      <c r="AD719" t="s">
        <v>5</v>
      </c>
      <c r="AE719">
        <v>29</v>
      </c>
      <c r="AF719">
        <v>3</v>
      </c>
      <c r="AH719" t="s">
        <v>5008</v>
      </c>
      <c r="AI719" t="s">
        <v>5007</v>
      </c>
      <c r="AK719" t="s">
        <v>5006</v>
      </c>
      <c r="AL719">
        <v>11</v>
      </c>
      <c r="AM719" s="5">
        <f t="shared" si="90"/>
        <v>0.37931034482758619</v>
      </c>
      <c r="AN719" s="4">
        <f t="shared" si="95"/>
        <v>5.7449503192364435E-4</v>
      </c>
      <c r="AO719" s="3"/>
      <c r="AP719">
        <v>0</v>
      </c>
      <c r="AR719" t="s">
        <v>1</v>
      </c>
      <c r="AT719" s="2" t="s">
        <v>0</v>
      </c>
      <c r="AU719" s="1">
        <f t="shared" si="91"/>
        <v>2.1418444449354457</v>
      </c>
      <c r="AV719" s="1">
        <f t="shared" si="92"/>
        <v>1.5463030330088514</v>
      </c>
      <c r="AW719" s="1">
        <f t="shared" si="93"/>
        <v>0.95076162108225659</v>
      </c>
    </row>
    <row r="720" spans="1:49" x14ac:dyDescent="0.2">
      <c r="A720">
        <v>718</v>
      </c>
      <c r="B720" t="s">
        <v>5005</v>
      </c>
      <c r="C720" t="s">
        <v>5004</v>
      </c>
      <c r="F720" t="s">
        <v>5003</v>
      </c>
      <c r="G720" t="s">
        <v>15</v>
      </c>
      <c r="H720" t="s">
        <v>14</v>
      </c>
      <c r="I720" t="s">
        <v>5002</v>
      </c>
      <c r="J720">
        <v>60031475</v>
      </c>
      <c r="K720" t="s">
        <v>5001</v>
      </c>
      <c r="L720" t="s">
        <v>5000</v>
      </c>
      <c r="M720" t="s">
        <v>576</v>
      </c>
      <c r="N720">
        <v>3</v>
      </c>
      <c r="O720" t="s">
        <v>4999</v>
      </c>
      <c r="P720" t="s">
        <v>4998</v>
      </c>
      <c r="Q720" t="s">
        <v>4997</v>
      </c>
      <c r="R720" s="7">
        <v>33970</v>
      </c>
      <c r="S720" s="8">
        <f t="shared" si="88"/>
        <v>1993</v>
      </c>
      <c r="T720" s="8">
        <v>1993</v>
      </c>
      <c r="U720" s="8">
        <f t="shared" si="89"/>
        <v>29</v>
      </c>
      <c r="V720" s="7">
        <v>34151</v>
      </c>
      <c r="W720" t="s">
        <v>2382</v>
      </c>
      <c r="X720" s="2">
        <v>0.30399999999999999</v>
      </c>
      <c r="Y720" s="6">
        <f t="shared" si="94"/>
        <v>8.115106377299057E-3</v>
      </c>
      <c r="AA720">
        <v>8952477</v>
      </c>
      <c r="AB720">
        <v>12250</v>
      </c>
      <c r="AC720">
        <v>10982760</v>
      </c>
      <c r="AD720" t="s">
        <v>5</v>
      </c>
      <c r="AE720">
        <v>6</v>
      </c>
      <c r="AF720">
        <v>9</v>
      </c>
      <c r="AH720" t="s">
        <v>4996</v>
      </c>
      <c r="AI720" t="s">
        <v>4995</v>
      </c>
      <c r="AJ720" t="s">
        <v>4994</v>
      </c>
      <c r="AK720" t="s">
        <v>4993</v>
      </c>
      <c r="AL720">
        <v>0</v>
      </c>
      <c r="AM720" s="5">
        <f t="shared" si="90"/>
        <v>0</v>
      </c>
      <c r="AN720" s="4">
        <f t="shared" si="95"/>
        <v>0</v>
      </c>
      <c r="AO720" s="3"/>
      <c r="AP720">
        <v>0</v>
      </c>
      <c r="AR720" t="s">
        <v>1</v>
      </c>
      <c r="AT720" s="2" t="s">
        <v>0</v>
      </c>
      <c r="AU720" s="1">
        <f t="shared" si="91"/>
        <v>0.56805744641093392</v>
      </c>
      <c r="AV720" s="1">
        <f t="shared" si="92"/>
        <v>0.40575531886495286</v>
      </c>
      <c r="AW720" s="1">
        <f t="shared" si="93"/>
        <v>0.24345319131897172</v>
      </c>
    </row>
    <row r="721" spans="1:49" x14ac:dyDescent="0.2">
      <c r="A721">
        <v>719</v>
      </c>
      <c r="B721" t="s">
        <v>4992</v>
      </c>
      <c r="C721" t="s">
        <v>4991</v>
      </c>
      <c r="F721" t="s">
        <v>4990</v>
      </c>
      <c r="G721" t="s">
        <v>15</v>
      </c>
      <c r="H721" t="s">
        <v>14</v>
      </c>
      <c r="I721" t="s">
        <v>4059</v>
      </c>
      <c r="J721">
        <v>60003217</v>
      </c>
      <c r="K721" t="s">
        <v>4058</v>
      </c>
      <c r="L721" t="s">
        <v>4057</v>
      </c>
      <c r="M721" t="s">
        <v>3993</v>
      </c>
      <c r="N721">
        <v>1</v>
      </c>
      <c r="O721" t="s">
        <v>4989</v>
      </c>
      <c r="P721">
        <v>7005087231</v>
      </c>
      <c r="Q721">
        <v>60003217</v>
      </c>
      <c r="R721" s="7">
        <v>33970</v>
      </c>
      <c r="S721" s="8">
        <f t="shared" si="88"/>
        <v>1993</v>
      </c>
      <c r="T721" s="8">
        <v>1993</v>
      </c>
      <c r="U721" s="8">
        <f t="shared" si="89"/>
        <v>29</v>
      </c>
      <c r="V721" s="7">
        <v>34151</v>
      </c>
      <c r="W721" t="s">
        <v>2382</v>
      </c>
      <c r="X721" s="2">
        <v>0.30399999999999999</v>
      </c>
      <c r="Y721" s="6">
        <f t="shared" si="94"/>
        <v>8.115106377299057E-3</v>
      </c>
      <c r="AA721">
        <v>8952477</v>
      </c>
      <c r="AB721">
        <v>12250</v>
      </c>
      <c r="AC721">
        <v>10982760</v>
      </c>
      <c r="AD721" t="s">
        <v>5</v>
      </c>
      <c r="AE721">
        <v>6</v>
      </c>
      <c r="AF721">
        <v>9</v>
      </c>
      <c r="AH721" t="s">
        <v>4988</v>
      </c>
      <c r="AI721" t="s">
        <v>4987</v>
      </c>
      <c r="AJ721" t="s">
        <v>4986</v>
      </c>
      <c r="AK721" t="s">
        <v>4985</v>
      </c>
      <c r="AL721">
        <v>27</v>
      </c>
      <c r="AM721" s="5">
        <f t="shared" si="90"/>
        <v>0.93103448275862066</v>
      </c>
      <c r="AN721" s="4">
        <f t="shared" si="95"/>
        <v>1.410124169267127E-3</v>
      </c>
      <c r="AO721" s="3"/>
      <c r="AP721">
        <v>0</v>
      </c>
      <c r="AR721" t="s">
        <v>1</v>
      </c>
      <c r="AT721" s="2" t="s">
        <v>0</v>
      </c>
      <c r="AU721" s="1">
        <f t="shared" si="91"/>
        <v>0.61036117148894775</v>
      </c>
      <c r="AV721" s="1">
        <f t="shared" si="92"/>
        <v>0.47626152732830918</v>
      </c>
      <c r="AW721" s="1">
        <f t="shared" si="93"/>
        <v>0.3421618831676706</v>
      </c>
    </row>
    <row r="722" spans="1:49" x14ac:dyDescent="0.2">
      <c r="A722">
        <v>720</v>
      </c>
      <c r="B722" t="s">
        <v>4984</v>
      </c>
      <c r="C722" t="s">
        <v>4983</v>
      </c>
      <c r="F722" t="s">
        <v>4982</v>
      </c>
      <c r="G722" t="s">
        <v>15</v>
      </c>
      <c r="H722" t="s">
        <v>14</v>
      </c>
      <c r="I722" t="s">
        <v>4981</v>
      </c>
      <c r="J722">
        <v>60022144</v>
      </c>
      <c r="K722" t="s">
        <v>2127</v>
      </c>
      <c r="L722" t="s">
        <v>2126</v>
      </c>
      <c r="M722" t="s">
        <v>10</v>
      </c>
      <c r="N722">
        <v>2</v>
      </c>
      <c r="O722" t="s">
        <v>4980</v>
      </c>
      <c r="P722" t="s">
        <v>4979</v>
      </c>
      <c r="Q722" t="s">
        <v>4978</v>
      </c>
      <c r="R722" s="7">
        <v>33970</v>
      </c>
      <c r="S722" s="8">
        <f t="shared" si="88"/>
        <v>1993</v>
      </c>
      <c r="T722" s="8">
        <v>1993</v>
      </c>
      <c r="U722" s="8">
        <f t="shared" si="89"/>
        <v>29</v>
      </c>
      <c r="V722" s="7">
        <v>34151</v>
      </c>
      <c r="W722" t="s">
        <v>1272</v>
      </c>
      <c r="X722" s="2">
        <v>0.94</v>
      </c>
      <c r="Y722" s="6">
        <f t="shared" si="94"/>
        <v>2.5092763140332611E-2</v>
      </c>
      <c r="AA722">
        <v>10518207</v>
      </c>
      <c r="AB722">
        <v>63372</v>
      </c>
      <c r="AD722" t="s">
        <v>5</v>
      </c>
      <c r="AE722">
        <v>3</v>
      </c>
      <c r="AF722">
        <v>7</v>
      </c>
      <c r="AH722" t="s">
        <v>4977</v>
      </c>
      <c r="AI722" t="s">
        <v>4976</v>
      </c>
      <c r="AK722" t="s">
        <v>4975</v>
      </c>
      <c r="AL722">
        <v>9</v>
      </c>
      <c r="AM722" s="5">
        <f t="shared" si="90"/>
        <v>0.31034482758620691</v>
      </c>
      <c r="AN722" s="4">
        <f t="shared" si="95"/>
        <v>4.7004138975570908E-4</v>
      </c>
      <c r="AO722" s="3"/>
      <c r="AP722">
        <v>0</v>
      </c>
      <c r="AQ722" t="s">
        <v>761</v>
      </c>
      <c r="AR722" t="s">
        <v>1</v>
      </c>
      <c r="AS722" t="s">
        <v>759</v>
      </c>
      <c r="AT722" s="2" t="s">
        <v>0</v>
      </c>
      <c r="AU722" s="1">
        <f t="shared" si="91"/>
        <v>1.7705946615159538</v>
      </c>
      <c r="AV722" s="1">
        <f t="shared" si="92"/>
        <v>1.2781402265044159</v>
      </c>
      <c r="AW722" s="1">
        <f t="shared" si="93"/>
        <v>0.78568579149287787</v>
      </c>
    </row>
    <row r="723" spans="1:49" x14ac:dyDescent="0.2">
      <c r="A723">
        <v>721</v>
      </c>
      <c r="B723" t="s">
        <v>4974</v>
      </c>
      <c r="C723" t="s">
        <v>4973</v>
      </c>
      <c r="F723" t="s">
        <v>4972</v>
      </c>
      <c r="G723" t="s">
        <v>15</v>
      </c>
      <c r="H723" t="s">
        <v>14</v>
      </c>
      <c r="I723" t="s">
        <v>4971</v>
      </c>
      <c r="J723">
        <v>60012771</v>
      </c>
      <c r="K723" t="s">
        <v>4970</v>
      </c>
      <c r="L723" t="s">
        <v>2919</v>
      </c>
      <c r="M723" t="s">
        <v>10</v>
      </c>
      <c r="N723">
        <v>2</v>
      </c>
      <c r="O723" t="s">
        <v>4969</v>
      </c>
      <c r="P723" t="s">
        <v>4968</v>
      </c>
      <c r="Q723" t="s">
        <v>4967</v>
      </c>
      <c r="R723" s="7">
        <v>33970</v>
      </c>
      <c r="S723" s="8">
        <f t="shared" si="88"/>
        <v>1993</v>
      </c>
      <c r="T723" s="8">
        <v>1993</v>
      </c>
      <c r="U723" s="8">
        <f t="shared" si="89"/>
        <v>29</v>
      </c>
      <c r="V723" s="7">
        <v>34151</v>
      </c>
      <c r="W723" t="s">
        <v>4966</v>
      </c>
      <c r="X723" s="2">
        <v>0.64600000000000002</v>
      </c>
      <c r="Y723" s="6">
        <f t="shared" si="94"/>
        <v>1.72446010517605E-2</v>
      </c>
      <c r="AA723" t="s">
        <v>4965</v>
      </c>
      <c r="AB723">
        <v>21157</v>
      </c>
      <c r="AC723">
        <v>15308138</v>
      </c>
      <c r="AD723" t="s">
        <v>5</v>
      </c>
      <c r="AE723">
        <v>4</v>
      </c>
      <c r="AF723">
        <v>3</v>
      </c>
      <c r="AH723" t="s">
        <v>4964</v>
      </c>
      <c r="AI723" t="s">
        <v>4963</v>
      </c>
      <c r="AK723" t="s">
        <v>4962</v>
      </c>
      <c r="AL723">
        <v>0</v>
      </c>
      <c r="AM723" s="5">
        <f t="shared" si="90"/>
        <v>0</v>
      </c>
      <c r="AN723" s="4">
        <f t="shared" si="95"/>
        <v>0</v>
      </c>
      <c r="AO723" s="3"/>
      <c r="AP723">
        <v>0</v>
      </c>
      <c r="AR723" t="s">
        <v>1</v>
      </c>
      <c r="AT723" s="2" t="s">
        <v>0</v>
      </c>
      <c r="AU723" s="1">
        <f t="shared" si="91"/>
        <v>1.2071220736232351</v>
      </c>
      <c r="AV723" s="1">
        <f t="shared" si="92"/>
        <v>0.86223005258802499</v>
      </c>
      <c r="AW723" s="1">
        <f t="shared" si="93"/>
        <v>0.51733803155281499</v>
      </c>
    </row>
    <row r="724" spans="1:49" x14ac:dyDescent="0.2">
      <c r="A724">
        <v>722</v>
      </c>
      <c r="B724" t="s">
        <v>4961</v>
      </c>
      <c r="C724" t="s">
        <v>4960</v>
      </c>
      <c r="F724" t="s">
        <v>4959</v>
      </c>
      <c r="G724" t="s">
        <v>15</v>
      </c>
      <c r="H724" t="s">
        <v>14</v>
      </c>
      <c r="I724" t="s">
        <v>4958</v>
      </c>
      <c r="J724">
        <v>60015457</v>
      </c>
      <c r="K724" t="s">
        <v>4957</v>
      </c>
      <c r="L724" t="s">
        <v>4956</v>
      </c>
      <c r="M724" t="s">
        <v>10</v>
      </c>
      <c r="N724">
        <v>1</v>
      </c>
      <c r="O724" t="s">
        <v>4955</v>
      </c>
      <c r="P724">
        <v>7102157694</v>
      </c>
      <c r="Q724">
        <v>60015457</v>
      </c>
      <c r="R724" s="7">
        <v>33970</v>
      </c>
      <c r="S724" s="8">
        <f t="shared" si="88"/>
        <v>1993</v>
      </c>
      <c r="T724" s="8">
        <v>1993</v>
      </c>
      <c r="U724" s="8">
        <f t="shared" si="89"/>
        <v>29</v>
      </c>
      <c r="V724" s="7">
        <v>34151</v>
      </c>
      <c r="W724" t="s">
        <v>587</v>
      </c>
      <c r="X724" s="2">
        <v>1.137</v>
      </c>
      <c r="Y724" s="6">
        <f t="shared" si="94"/>
        <v>3.0351565628253384E-2</v>
      </c>
      <c r="AA724">
        <v>189251</v>
      </c>
      <c r="AB724">
        <v>17336</v>
      </c>
      <c r="AD724" t="s">
        <v>5</v>
      </c>
      <c r="AE724">
        <v>29</v>
      </c>
      <c r="AF724">
        <v>3</v>
      </c>
      <c r="AH724" t="s">
        <v>4954</v>
      </c>
      <c r="AI724" t="s">
        <v>4953</v>
      </c>
      <c r="AK724" t="s">
        <v>4952</v>
      </c>
      <c r="AL724">
        <v>2</v>
      </c>
      <c r="AM724" s="5">
        <f t="shared" si="90"/>
        <v>6.8965517241379309E-2</v>
      </c>
      <c r="AN724" s="4">
        <f t="shared" si="95"/>
        <v>1.0445364216793535E-4</v>
      </c>
      <c r="AO724" s="3"/>
      <c r="AP724">
        <v>0</v>
      </c>
      <c r="AR724" t="s">
        <v>1</v>
      </c>
      <c r="AT724" s="2" t="s">
        <v>0</v>
      </c>
      <c r="AU724" s="1">
        <f t="shared" si="91"/>
        <v>2.1277432032427748</v>
      </c>
      <c r="AV724" s="1">
        <f t="shared" si="92"/>
        <v>1.522800963521066</v>
      </c>
      <c r="AW724" s="1">
        <f t="shared" si="93"/>
        <v>0.91785872379935696</v>
      </c>
    </row>
    <row r="725" spans="1:49" x14ac:dyDescent="0.2">
      <c r="A725">
        <v>723</v>
      </c>
      <c r="B725" t="s">
        <v>4951</v>
      </c>
      <c r="C725" t="s">
        <v>4950</v>
      </c>
      <c r="F725" t="s">
        <v>4949</v>
      </c>
      <c r="G725" t="s">
        <v>15</v>
      </c>
      <c r="H725" t="s">
        <v>14</v>
      </c>
      <c r="I725" t="s">
        <v>1151</v>
      </c>
      <c r="J725">
        <v>60020975</v>
      </c>
      <c r="K725" t="s">
        <v>4948</v>
      </c>
      <c r="L725" t="s">
        <v>4947</v>
      </c>
      <c r="M725" t="s">
        <v>10</v>
      </c>
      <c r="N725">
        <v>1</v>
      </c>
      <c r="O725" t="s">
        <v>4946</v>
      </c>
      <c r="P725">
        <v>56219429900</v>
      </c>
      <c r="Q725">
        <v>60020975</v>
      </c>
      <c r="R725" s="7">
        <v>33970</v>
      </c>
      <c r="S725" s="8">
        <f t="shared" si="88"/>
        <v>1993</v>
      </c>
      <c r="T725" s="8">
        <v>1993</v>
      </c>
      <c r="U725" s="8">
        <f t="shared" si="89"/>
        <v>29</v>
      </c>
      <c r="V725" s="7">
        <v>34121</v>
      </c>
      <c r="W725" t="s">
        <v>868</v>
      </c>
      <c r="X725" s="2">
        <v>0.375</v>
      </c>
      <c r="Y725" s="6">
        <f t="shared" si="94"/>
        <v>1.0010410827260351E-2</v>
      </c>
      <c r="AA725">
        <v>135194</v>
      </c>
      <c r="AB725">
        <v>24918</v>
      </c>
      <c r="AD725" t="s">
        <v>5</v>
      </c>
      <c r="AE725">
        <v>29</v>
      </c>
      <c r="AF725">
        <v>12</v>
      </c>
      <c r="AH725" t="s">
        <v>4945</v>
      </c>
      <c r="AI725" t="s">
        <v>4944</v>
      </c>
      <c r="AJ725" t="s">
        <v>4943</v>
      </c>
      <c r="AK725" t="s">
        <v>4942</v>
      </c>
      <c r="AL725">
        <v>19</v>
      </c>
      <c r="AM725" s="5">
        <f t="shared" si="90"/>
        <v>0.65517241379310343</v>
      </c>
      <c r="AN725" s="4">
        <f t="shared" si="95"/>
        <v>9.9230960059538574E-4</v>
      </c>
      <c r="AO725" s="3"/>
      <c r="AP725">
        <v>0</v>
      </c>
      <c r="AR725" t="s">
        <v>1</v>
      </c>
      <c r="AT725" s="2">
        <v>1.3140000000000001</v>
      </c>
      <c r="AU725" s="1">
        <f t="shared" si="91"/>
        <v>0.73049804592608614</v>
      </c>
      <c r="AV725" s="1">
        <f t="shared" si="92"/>
        <v>0.55013602139278683</v>
      </c>
      <c r="AW725" s="1">
        <f t="shared" si="93"/>
        <v>0.36977399685948753</v>
      </c>
    </row>
    <row r="726" spans="1:49" x14ac:dyDescent="0.2">
      <c r="A726">
        <v>724</v>
      </c>
      <c r="B726" t="s">
        <v>4941</v>
      </c>
      <c r="C726" t="s">
        <v>4940</v>
      </c>
      <c r="F726" t="s">
        <v>4939</v>
      </c>
      <c r="G726" t="s">
        <v>15</v>
      </c>
      <c r="H726" t="s">
        <v>14</v>
      </c>
      <c r="I726" t="s">
        <v>3619</v>
      </c>
      <c r="J726">
        <v>60017161</v>
      </c>
      <c r="K726" t="s">
        <v>2398</v>
      </c>
      <c r="L726" t="s">
        <v>1461</v>
      </c>
      <c r="M726" t="s">
        <v>1460</v>
      </c>
      <c r="N726">
        <v>2</v>
      </c>
      <c r="O726" t="s">
        <v>4938</v>
      </c>
      <c r="P726" t="s">
        <v>4937</v>
      </c>
      <c r="Q726" t="s">
        <v>4936</v>
      </c>
      <c r="R726" s="7">
        <v>33970</v>
      </c>
      <c r="S726" s="8">
        <f t="shared" si="88"/>
        <v>1993</v>
      </c>
      <c r="T726" s="8">
        <v>1993</v>
      </c>
      <c r="U726" s="8">
        <f t="shared" si="89"/>
        <v>29</v>
      </c>
      <c r="V726" s="7">
        <v>34121</v>
      </c>
      <c r="W726" t="s">
        <v>868</v>
      </c>
      <c r="X726" s="2">
        <v>0.375</v>
      </c>
      <c r="Y726" s="6">
        <f t="shared" si="94"/>
        <v>1.0010410827260351E-2</v>
      </c>
      <c r="AA726">
        <v>135194</v>
      </c>
      <c r="AB726">
        <v>24918</v>
      </c>
      <c r="AD726" t="s">
        <v>5</v>
      </c>
      <c r="AE726">
        <v>29</v>
      </c>
      <c r="AF726">
        <v>12</v>
      </c>
      <c r="AH726" t="s">
        <v>4935</v>
      </c>
      <c r="AI726" t="s">
        <v>4934</v>
      </c>
      <c r="AJ726" t="s">
        <v>4933</v>
      </c>
      <c r="AK726" t="s">
        <v>4932</v>
      </c>
      <c r="AL726">
        <v>2</v>
      </c>
      <c r="AM726" s="5">
        <f t="shared" si="90"/>
        <v>6.8965517241379309E-2</v>
      </c>
      <c r="AN726" s="4">
        <f t="shared" si="95"/>
        <v>1.0445364216793535E-4</v>
      </c>
      <c r="AO726" s="3"/>
      <c r="AP726">
        <v>0</v>
      </c>
      <c r="AR726" t="s">
        <v>1</v>
      </c>
      <c r="AT726" s="2">
        <v>1.3140000000000001</v>
      </c>
      <c r="AU726" s="1">
        <f t="shared" si="91"/>
        <v>0.70386236717326256</v>
      </c>
      <c r="AV726" s="1">
        <f t="shared" si="92"/>
        <v>0.50574322347141432</v>
      </c>
      <c r="AW726" s="1">
        <f t="shared" si="93"/>
        <v>0.30762407976956602</v>
      </c>
    </row>
    <row r="727" spans="1:49" x14ac:dyDescent="0.2">
      <c r="A727">
        <v>725</v>
      </c>
      <c r="B727" t="s">
        <v>4931</v>
      </c>
      <c r="C727" t="s">
        <v>4930</v>
      </c>
      <c r="F727" t="s">
        <v>4929</v>
      </c>
      <c r="G727" t="s">
        <v>15</v>
      </c>
      <c r="H727" t="s">
        <v>14</v>
      </c>
      <c r="I727" t="s">
        <v>4928</v>
      </c>
      <c r="J727">
        <v>60009514</v>
      </c>
      <c r="K727" t="s">
        <v>4927</v>
      </c>
      <c r="L727" t="s">
        <v>4926</v>
      </c>
      <c r="M727" t="s">
        <v>150</v>
      </c>
      <c r="N727">
        <v>3</v>
      </c>
      <c r="O727" t="s">
        <v>4925</v>
      </c>
      <c r="P727" t="s">
        <v>4924</v>
      </c>
      <c r="Q727" t="s">
        <v>4923</v>
      </c>
      <c r="R727" s="7">
        <v>33970</v>
      </c>
      <c r="S727" s="8">
        <f t="shared" si="88"/>
        <v>1993</v>
      </c>
      <c r="T727" s="8">
        <v>1993</v>
      </c>
      <c r="U727" s="8">
        <f t="shared" si="89"/>
        <v>29</v>
      </c>
      <c r="V727" s="7">
        <v>1993</v>
      </c>
      <c r="W727" t="s">
        <v>1720</v>
      </c>
      <c r="X727" s="2">
        <v>0.111</v>
      </c>
      <c r="Y727" s="6">
        <f t="shared" si="94"/>
        <v>2.9630816048690639E-3</v>
      </c>
      <c r="AA727">
        <v>87566621</v>
      </c>
      <c r="AB727">
        <v>24890</v>
      </c>
      <c r="AC727">
        <v>15206424</v>
      </c>
      <c r="AD727" t="s">
        <v>5</v>
      </c>
      <c r="AE727">
        <v>76</v>
      </c>
      <c r="AF727">
        <v>6</v>
      </c>
      <c r="AH727" t="s">
        <v>4922</v>
      </c>
      <c r="AI727" t="s">
        <v>4921</v>
      </c>
      <c r="AJ727" t="s">
        <v>4920</v>
      </c>
      <c r="AK727" t="s">
        <v>4919</v>
      </c>
      <c r="AL727">
        <v>0</v>
      </c>
      <c r="AM727" s="5">
        <f t="shared" si="90"/>
        <v>0</v>
      </c>
      <c r="AN727" s="4">
        <f t="shared" si="95"/>
        <v>0</v>
      </c>
      <c r="AO727" s="3"/>
      <c r="AP727">
        <v>0</v>
      </c>
      <c r="AR727" t="s">
        <v>1</v>
      </c>
      <c r="AT727" s="2" t="s">
        <v>0</v>
      </c>
      <c r="AU727" s="1">
        <f t="shared" si="91"/>
        <v>0.20741571234083445</v>
      </c>
      <c r="AV727" s="1">
        <f t="shared" si="92"/>
        <v>0.1481540802434532</v>
      </c>
      <c r="AW727" s="1">
        <f t="shared" si="93"/>
        <v>8.8892448146071903E-2</v>
      </c>
    </row>
    <row r="728" spans="1:49" x14ac:dyDescent="0.2">
      <c r="A728">
        <v>726</v>
      </c>
      <c r="B728" t="s">
        <v>4918</v>
      </c>
      <c r="C728" t="s">
        <v>4917</v>
      </c>
      <c r="F728" t="s">
        <v>4916</v>
      </c>
      <c r="G728" t="s">
        <v>15</v>
      </c>
      <c r="H728" t="s">
        <v>14</v>
      </c>
      <c r="I728" t="s">
        <v>4498</v>
      </c>
      <c r="J728">
        <v>60010065</v>
      </c>
      <c r="K728" t="s">
        <v>1429</v>
      </c>
      <c r="L728" t="s">
        <v>1428</v>
      </c>
      <c r="M728" t="s">
        <v>10</v>
      </c>
      <c r="N728">
        <v>2</v>
      </c>
      <c r="O728" t="s">
        <v>4497</v>
      </c>
      <c r="P728" t="s">
        <v>4496</v>
      </c>
      <c r="Q728" t="s">
        <v>1425</v>
      </c>
      <c r="R728" s="7">
        <v>33970</v>
      </c>
      <c r="S728" s="8">
        <f t="shared" si="88"/>
        <v>1993</v>
      </c>
      <c r="T728" s="8">
        <v>1993</v>
      </c>
      <c r="U728" s="8">
        <f t="shared" si="89"/>
        <v>29</v>
      </c>
      <c r="V728" s="7">
        <v>34121</v>
      </c>
      <c r="W728" t="s">
        <v>814</v>
      </c>
      <c r="X728" s="2">
        <v>1.6519999999999999</v>
      </c>
      <c r="Y728" s="6">
        <f t="shared" si="94"/>
        <v>4.409919649769093E-2</v>
      </c>
      <c r="AA728" t="s">
        <v>813</v>
      </c>
      <c r="AB728">
        <v>17337</v>
      </c>
      <c r="AC728">
        <v>15582221</v>
      </c>
      <c r="AD728" t="s">
        <v>5</v>
      </c>
      <c r="AE728">
        <v>41</v>
      </c>
      <c r="AF728">
        <v>6</v>
      </c>
      <c r="AH728" t="s">
        <v>4915</v>
      </c>
      <c r="AI728" t="s">
        <v>4914</v>
      </c>
      <c r="AK728" t="s">
        <v>4913</v>
      </c>
      <c r="AL728">
        <v>4</v>
      </c>
      <c r="AM728" s="5">
        <f t="shared" si="90"/>
        <v>0.13793103448275862</v>
      </c>
      <c r="AN728" s="4">
        <f t="shared" si="95"/>
        <v>2.089072843358707E-4</v>
      </c>
      <c r="AO728" s="3"/>
      <c r="AP728">
        <v>0</v>
      </c>
      <c r="AR728" t="s">
        <v>1</v>
      </c>
      <c r="AT728" s="2" t="s">
        <v>0</v>
      </c>
      <c r="AU728" s="1">
        <f t="shared" si="91"/>
        <v>3.093210973368441</v>
      </c>
      <c r="AV728" s="1">
        <f t="shared" si="92"/>
        <v>2.21540518910134</v>
      </c>
      <c r="AW728" s="1">
        <f t="shared" si="93"/>
        <v>1.3375994048342388</v>
      </c>
    </row>
    <row r="729" spans="1:49" x14ac:dyDescent="0.2">
      <c r="A729">
        <v>727</v>
      </c>
      <c r="B729" t="s">
        <v>4912</v>
      </c>
      <c r="C729" t="s">
        <v>4911</v>
      </c>
      <c r="F729" t="s">
        <v>4910</v>
      </c>
      <c r="G729" t="s">
        <v>15</v>
      </c>
      <c r="H729" t="s">
        <v>14</v>
      </c>
      <c r="I729" t="s">
        <v>4909</v>
      </c>
      <c r="J729">
        <v>60022134</v>
      </c>
      <c r="K729" t="s">
        <v>4908</v>
      </c>
      <c r="L729" t="s">
        <v>4907</v>
      </c>
      <c r="M729" t="s">
        <v>361</v>
      </c>
      <c r="N729">
        <v>3</v>
      </c>
      <c r="O729" t="s">
        <v>4906</v>
      </c>
      <c r="P729" t="s">
        <v>4905</v>
      </c>
      <c r="Q729" t="s">
        <v>4904</v>
      </c>
      <c r="R729" s="7">
        <v>33970</v>
      </c>
      <c r="S729" s="8">
        <f t="shared" si="88"/>
        <v>1993</v>
      </c>
      <c r="T729" s="8">
        <v>1993</v>
      </c>
      <c r="U729" s="8">
        <f t="shared" si="89"/>
        <v>29</v>
      </c>
      <c r="V729" s="7">
        <v>34121</v>
      </c>
      <c r="W729" t="s">
        <v>814</v>
      </c>
      <c r="X729" s="2">
        <v>1.6519999999999999</v>
      </c>
      <c r="Y729" s="6">
        <f t="shared" si="94"/>
        <v>4.409919649769093E-2</v>
      </c>
      <c r="AA729" t="s">
        <v>813</v>
      </c>
      <c r="AB729">
        <v>17337</v>
      </c>
      <c r="AC729">
        <v>15582221</v>
      </c>
      <c r="AD729" t="s">
        <v>5</v>
      </c>
      <c r="AE729">
        <v>41</v>
      </c>
      <c r="AF729">
        <v>6</v>
      </c>
      <c r="AH729" t="s">
        <v>4903</v>
      </c>
      <c r="AI729" t="s">
        <v>4902</v>
      </c>
      <c r="AK729" t="s">
        <v>4901</v>
      </c>
      <c r="AL729">
        <v>216</v>
      </c>
      <c r="AM729" s="5">
        <f t="shared" si="90"/>
        <v>7.4482758620689653</v>
      </c>
      <c r="AN729" s="4">
        <f t="shared" si="95"/>
        <v>1.1280993354137016E-2</v>
      </c>
      <c r="AO729" s="3"/>
      <c r="AP729">
        <v>0</v>
      </c>
      <c r="AQ729" t="s">
        <v>4900</v>
      </c>
      <c r="AR729" t="s">
        <v>1</v>
      </c>
      <c r="AS729" t="s">
        <v>4899</v>
      </c>
      <c r="AT729" s="2" t="s">
        <v>0</v>
      </c>
      <c r="AU729" s="1">
        <f t="shared" si="91"/>
        <v>3.4253735554624756</v>
      </c>
      <c r="AV729" s="1">
        <f t="shared" si="92"/>
        <v>2.7690094925913971</v>
      </c>
      <c r="AW729" s="1">
        <f t="shared" si="93"/>
        <v>2.112645429720319</v>
      </c>
    </row>
    <row r="730" spans="1:49" x14ac:dyDescent="0.2">
      <c r="A730">
        <v>728</v>
      </c>
      <c r="B730" t="s">
        <v>4898</v>
      </c>
      <c r="C730" t="s">
        <v>4897</v>
      </c>
      <c r="F730" t="s">
        <v>4896</v>
      </c>
      <c r="G730" t="s">
        <v>15</v>
      </c>
      <c r="H730" t="s">
        <v>14</v>
      </c>
      <c r="I730" t="s">
        <v>3758</v>
      </c>
      <c r="J730" t="s">
        <v>3757</v>
      </c>
      <c r="K730" t="s">
        <v>3756</v>
      </c>
      <c r="L730" t="s">
        <v>3755</v>
      </c>
      <c r="M730" t="s">
        <v>3754</v>
      </c>
      <c r="N730">
        <v>4</v>
      </c>
      <c r="O730" t="s">
        <v>3753</v>
      </c>
      <c r="P730" t="s">
        <v>3752</v>
      </c>
      <c r="Q730" t="s">
        <v>3751</v>
      </c>
      <c r="R730" s="7">
        <v>33970</v>
      </c>
      <c r="S730" s="8">
        <f t="shared" si="88"/>
        <v>1993</v>
      </c>
      <c r="T730" s="8">
        <v>1993</v>
      </c>
      <c r="U730" s="8">
        <f t="shared" si="89"/>
        <v>29</v>
      </c>
      <c r="V730" s="7">
        <v>34121</v>
      </c>
      <c r="W730" t="s">
        <v>868</v>
      </c>
      <c r="X730" s="2">
        <v>0.375</v>
      </c>
      <c r="Y730" s="6">
        <f t="shared" si="94"/>
        <v>1.0010410827260351E-2</v>
      </c>
      <c r="AA730">
        <v>135194</v>
      </c>
      <c r="AB730">
        <v>24918</v>
      </c>
      <c r="AD730" t="s">
        <v>5</v>
      </c>
      <c r="AE730">
        <v>29</v>
      </c>
      <c r="AF730">
        <v>13</v>
      </c>
      <c r="AH730" t="s">
        <v>4895</v>
      </c>
      <c r="AI730" t="s">
        <v>4894</v>
      </c>
      <c r="AJ730" t="s">
        <v>3748</v>
      </c>
      <c r="AK730" t="s">
        <v>4893</v>
      </c>
      <c r="AL730">
        <v>39</v>
      </c>
      <c r="AM730" s="5">
        <f t="shared" si="90"/>
        <v>1.3448275862068966</v>
      </c>
      <c r="AN730" s="4">
        <f t="shared" si="95"/>
        <v>2.0368460222747391E-3</v>
      </c>
      <c r="AO730" s="3"/>
      <c r="AP730">
        <v>0</v>
      </c>
      <c r="AR730" t="s">
        <v>1</v>
      </c>
      <c r="AT730" s="2">
        <v>1.3140000000000001</v>
      </c>
      <c r="AU730" s="1">
        <f t="shared" si="91"/>
        <v>0.76183413857646676</v>
      </c>
      <c r="AV730" s="1">
        <f t="shared" si="92"/>
        <v>0.60236284247675453</v>
      </c>
      <c r="AW730" s="1">
        <f t="shared" si="93"/>
        <v>0.44289154637704226</v>
      </c>
    </row>
    <row r="731" spans="1:49" x14ac:dyDescent="0.2">
      <c r="A731">
        <v>729</v>
      </c>
      <c r="B731" t="s">
        <v>4892</v>
      </c>
      <c r="C731" t="s">
        <v>4891</v>
      </c>
      <c r="F731" t="s">
        <v>4890</v>
      </c>
      <c r="G731" t="s">
        <v>15</v>
      </c>
      <c r="H731" t="s">
        <v>14</v>
      </c>
      <c r="I731" t="s">
        <v>4800</v>
      </c>
      <c r="J731">
        <v>60108318</v>
      </c>
      <c r="K731" t="s">
        <v>2709</v>
      </c>
      <c r="L731" t="s">
        <v>997</v>
      </c>
      <c r="M731" t="s">
        <v>10</v>
      </c>
      <c r="N731">
        <v>2</v>
      </c>
      <c r="O731" t="s">
        <v>4799</v>
      </c>
      <c r="P731" t="s">
        <v>4798</v>
      </c>
      <c r="Q731" t="s">
        <v>2706</v>
      </c>
      <c r="R731" s="7">
        <v>33970</v>
      </c>
      <c r="S731" s="8">
        <f t="shared" si="88"/>
        <v>1993</v>
      </c>
      <c r="T731" s="8">
        <v>1993</v>
      </c>
      <c r="U731" s="8">
        <f t="shared" si="89"/>
        <v>29</v>
      </c>
      <c r="V731" s="7">
        <v>34121</v>
      </c>
      <c r="W731" t="s">
        <v>814</v>
      </c>
      <c r="X731" s="2">
        <v>1.6519999999999999</v>
      </c>
      <c r="Y731" s="6">
        <f t="shared" si="94"/>
        <v>4.409919649769093E-2</v>
      </c>
      <c r="AA731" t="s">
        <v>813</v>
      </c>
      <c r="AB731">
        <v>17337</v>
      </c>
      <c r="AC731">
        <v>15582221</v>
      </c>
      <c r="AD731" t="s">
        <v>5</v>
      </c>
      <c r="AE731">
        <v>41</v>
      </c>
      <c r="AF731">
        <v>6</v>
      </c>
      <c r="AH731" t="s">
        <v>4889</v>
      </c>
      <c r="AI731" t="s">
        <v>4888</v>
      </c>
      <c r="AK731" t="s">
        <v>4887</v>
      </c>
      <c r="AL731">
        <v>10</v>
      </c>
      <c r="AM731" s="5">
        <f t="shared" si="90"/>
        <v>0.34482758620689657</v>
      </c>
      <c r="AN731" s="4">
        <f t="shared" si="95"/>
        <v>5.2226821083967677E-4</v>
      </c>
      <c r="AO731" s="3"/>
      <c r="AP731">
        <v>0</v>
      </c>
      <c r="AQ731" t="s">
        <v>1358</v>
      </c>
      <c r="AR731" t="s">
        <v>4794</v>
      </c>
      <c r="AS731" t="s">
        <v>1356</v>
      </c>
      <c r="AT731" s="2" t="s">
        <v>0</v>
      </c>
      <c r="AU731" s="1">
        <f t="shared" si="91"/>
        <v>3.1026118011635551</v>
      </c>
      <c r="AV731" s="1">
        <f t="shared" si="92"/>
        <v>2.2310732354265306</v>
      </c>
      <c r="AW731" s="1">
        <f t="shared" si="93"/>
        <v>1.3595346696895052</v>
      </c>
    </row>
    <row r="732" spans="1:49" x14ac:dyDescent="0.2">
      <c r="A732">
        <v>730</v>
      </c>
      <c r="B732" t="s">
        <v>4886</v>
      </c>
      <c r="C732" t="s">
        <v>4885</v>
      </c>
      <c r="F732" t="s">
        <v>4884</v>
      </c>
      <c r="G732" t="s">
        <v>15</v>
      </c>
      <c r="H732" t="s">
        <v>14</v>
      </c>
      <c r="I732" t="s">
        <v>4883</v>
      </c>
      <c r="J732">
        <v>60108318</v>
      </c>
      <c r="K732" t="s">
        <v>2709</v>
      </c>
      <c r="L732" t="s">
        <v>997</v>
      </c>
      <c r="M732" t="s">
        <v>10</v>
      </c>
      <c r="N732">
        <v>2</v>
      </c>
      <c r="O732" t="s">
        <v>4882</v>
      </c>
      <c r="P732" t="s">
        <v>4881</v>
      </c>
      <c r="Q732" t="s">
        <v>2706</v>
      </c>
      <c r="R732" s="7">
        <v>33970</v>
      </c>
      <c r="S732" s="8">
        <f t="shared" si="88"/>
        <v>1993</v>
      </c>
      <c r="T732" s="8">
        <v>1993</v>
      </c>
      <c r="U732" s="8">
        <f t="shared" si="89"/>
        <v>29</v>
      </c>
      <c r="V732" s="7">
        <v>34121</v>
      </c>
      <c r="W732" t="s">
        <v>814</v>
      </c>
      <c r="X732" s="2">
        <v>1.6519999999999999</v>
      </c>
      <c r="Y732" s="6">
        <f t="shared" si="94"/>
        <v>4.409919649769093E-2</v>
      </c>
      <c r="AA732" t="s">
        <v>813</v>
      </c>
      <c r="AB732">
        <v>17337</v>
      </c>
      <c r="AC732">
        <v>15582221</v>
      </c>
      <c r="AD732" t="s">
        <v>5</v>
      </c>
      <c r="AE732">
        <v>41</v>
      </c>
      <c r="AF732">
        <v>6</v>
      </c>
      <c r="AH732" t="s">
        <v>4880</v>
      </c>
      <c r="AI732" t="s">
        <v>4879</v>
      </c>
      <c r="AK732" t="s">
        <v>4878</v>
      </c>
      <c r="AL732">
        <v>15</v>
      </c>
      <c r="AM732" s="5">
        <f t="shared" si="90"/>
        <v>0.51724137931034486</v>
      </c>
      <c r="AN732" s="4">
        <f t="shared" si="95"/>
        <v>7.834023162595151E-4</v>
      </c>
      <c r="AO732" s="3"/>
      <c r="AP732">
        <v>0</v>
      </c>
      <c r="AQ732" t="s">
        <v>1358</v>
      </c>
      <c r="AR732" t="s">
        <v>4877</v>
      </c>
      <c r="AS732" t="s">
        <v>1356</v>
      </c>
      <c r="AT732" s="2" t="s">
        <v>0</v>
      </c>
      <c r="AU732" s="1">
        <f t="shared" si="91"/>
        <v>3.1104458243261508</v>
      </c>
      <c r="AV732" s="1">
        <f t="shared" si="92"/>
        <v>2.2441299406975221</v>
      </c>
      <c r="AW732" s="1">
        <f t="shared" si="93"/>
        <v>1.3778140570688939</v>
      </c>
    </row>
    <row r="733" spans="1:49" x14ac:dyDescent="0.2">
      <c r="A733">
        <v>731</v>
      </c>
      <c r="B733" t="s">
        <v>4876</v>
      </c>
      <c r="C733" t="s">
        <v>4875</v>
      </c>
      <c r="F733" t="s">
        <v>4874</v>
      </c>
      <c r="G733" t="s">
        <v>15</v>
      </c>
      <c r="H733" t="s">
        <v>14</v>
      </c>
      <c r="I733" t="s">
        <v>4873</v>
      </c>
      <c r="J733">
        <v>60101699</v>
      </c>
      <c r="K733" t="s">
        <v>3302</v>
      </c>
      <c r="L733" t="s">
        <v>151</v>
      </c>
      <c r="M733" t="s">
        <v>150</v>
      </c>
      <c r="N733">
        <v>4</v>
      </c>
      <c r="O733" t="s">
        <v>4872</v>
      </c>
      <c r="P733" t="s">
        <v>4871</v>
      </c>
      <c r="Q733" t="s">
        <v>3299</v>
      </c>
      <c r="R733" s="7">
        <v>33970</v>
      </c>
      <c r="S733" s="8">
        <f t="shared" si="88"/>
        <v>1993</v>
      </c>
      <c r="T733" s="8">
        <v>1993</v>
      </c>
      <c r="U733" s="8">
        <f t="shared" si="89"/>
        <v>29</v>
      </c>
      <c r="V733" s="7">
        <v>1993</v>
      </c>
      <c r="W733" t="s">
        <v>1720</v>
      </c>
      <c r="X733" s="2">
        <v>0.111</v>
      </c>
      <c r="Y733" s="6">
        <f t="shared" si="94"/>
        <v>2.9630816048690639E-3</v>
      </c>
      <c r="AA733">
        <v>87566621</v>
      </c>
      <c r="AB733">
        <v>24890</v>
      </c>
      <c r="AC733">
        <v>15206424</v>
      </c>
      <c r="AD733" t="s">
        <v>5</v>
      </c>
      <c r="AE733">
        <v>76</v>
      </c>
      <c r="AF733">
        <v>6</v>
      </c>
      <c r="AH733" t="s">
        <v>4870</v>
      </c>
      <c r="AI733" t="s">
        <v>4869</v>
      </c>
      <c r="AJ733" t="s">
        <v>4868</v>
      </c>
      <c r="AK733" t="s">
        <v>4867</v>
      </c>
      <c r="AL733">
        <v>0</v>
      </c>
      <c r="AM733" s="5">
        <f t="shared" si="90"/>
        <v>0</v>
      </c>
      <c r="AN733" s="4">
        <f t="shared" si="95"/>
        <v>0</v>
      </c>
      <c r="AO733" s="3"/>
      <c r="AP733">
        <v>0</v>
      </c>
      <c r="AR733" t="s">
        <v>1</v>
      </c>
      <c r="AT733" s="2" t="s">
        <v>0</v>
      </c>
      <c r="AU733" s="1">
        <f t="shared" si="91"/>
        <v>0.20741571234083445</v>
      </c>
      <c r="AV733" s="1">
        <f t="shared" si="92"/>
        <v>0.1481540802434532</v>
      </c>
      <c r="AW733" s="1">
        <f t="shared" si="93"/>
        <v>8.8892448146071903E-2</v>
      </c>
    </row>
    <row r="734" spans="1:49" x14ac:dyDescent="0.2">
      <c r="A734">
        <v>732</v>
      </c>
      <c r="B734" t="s">
        <v>4866</v>
      </c>
      <c r="C734" t="s">
        <v>4865</v>
      </c>
      <c r="D734" t="s">
        <v>4864</v>
      </c>
      <c r="F734" t="s">
        <v>4863</v>
      </c>
      <c r="G734" t="s">
        <v>15</v>
      </c>
      <c r="H734" t="s">
        <v>14</v>
      </c>
      <c r="I734" t="s">
        <v>4862</v>
      </c>
      <c r="J734">
        <v>60103653</v>
      </c>
      <c r="K734" t="s">
        <v>4614</v>
      </c>
      <c r="L734" t="s">
        <v>4613</v>
      </c>
      <c r="M734" t="s">
        <v>4612</v>
      </c>
      <c r="N734">
        <v>1</v>
      </c>
      <c r="O734" t="s">
        <v>4861</v>
      </c>
      <c r="P734">
        <v>6602814716</v>
      </c>
      <c r="Q734">
        <v>60103653</v>
      </c>
      <c r="R734" s="7">
        <v>33970</v>
      </c>
      <c r="S734" s="8">
        <f t="shared" si="88"/>
        <v>1993</v>
      </c>
      <c r="T734" s="8">
        <v>1993</v>
      </c>
      <c r="U734" s="8">
        <f t="shared" si="89"/>
        <v>29</v>
      </c>
      <c r="V734" s="7" t="s">
        <v>4860</v>
      </c>
      <c r="W734" t="s">
        <v>4859</v>
      </c>
      <c r="X734" s="2" t="s">
        <v>0</v>
      </c>
      <c r="Y734" s="6" t="e">
        <f t="shared" si="94"/>
        <v>#VALUE!</v>
      </c>
      <c r="AA734">
        <v>9244247</v>
      </c>
      <c r="AB734">
        <v>13660</v>
      </c>
      <c r="AD734" t="s">
        <v>5</v>
      </c>
      <c r="AE734" t="s">
        <v>4858</v>
      </c>
      <c r="AF734" t="s">
        <v>4857</v>
      </c>
      <c r="AH734" t="s">
        <v>4856</v>
      </c>
      <c r="AI734" t="s">
        <v>4855</v>
      </c>
      <c r="AK734" t="s">
        <v>4854</v>
      </c>
      <c r="AL734">
        <v>4</v>
      </c>
      <c r="AM734" s="5">
        <f t="shared" si="90"/>
        <v>0.13793103448275862</v>
      </c>
      <c r="AN734" s="4">
        <f t="shared" si="95"/>
        <v>2.089072843358707E-4</v>
      </c>
      <c r="AO734" s="3"/>
      <c r="AP734">
        <v>0</v>
      </c>
      <c r="AR734" t="s">
        <v>1</v>
      </c>
      <c r="AT734" s="2" t="s">
        <v>0</v>
      </c>
      <c r="AU734" s="1" t="e">
        <f t="shared" si="91"/>
        <v>#VALUE!</v>
      </c>
      <c r="AV734" s="1" t="e">
        <f t="shared" si="92"/>
        <v>#VALUE!</v>
      </c>
      <c r="AW734" s="1" t="e">
        <f t="shared" si="93"/>
        <v>#VALUE!</v>
      </c>
    </row>
    <row r="735" spans="1:49" x14ac:dyDescent="0.2">
      <c r="A735">
        <v>733</v>
      </c>
      <c r="B735" t="s">
        <v>4853</v>
      </c>
      <c r="C735" t="s">
        <v>4852</v>
      </c>
      <c r="F735" t="s">
        <v>4851</v>
      </c>
      <c r="G735" t="s">
        <v>15</v>
      </c>
      <c r="H735" t="s">
        <v>14</v>
      </c>
      <c r="I735" t="s">
        <v>4850</v>
      </c>
      <c r="N735">
        <v>1</v>
      </c>
      <c r="O735" t="s">
        <v>4849</v>
      </c>
      <c r="P735">
        <v>57207288394</v>
      </c>
      <c r="R735" s="7">
        <v>33970</v>
      </c>
      <c r="S735" s="8">
        <f t="shared" si="88"/>
        <v>1993</v>
      </c>
      <c r="T735" s="8">
        <v>1993</v>
      </c>
      <c r="U735" s="8">
        <f t="shared" si="89"/>
        <v>29</v>
      </c>
      <c r="V735" s="7">
        <v>34121</v>
      </c>
      <c r="W735" t="s">
        <v>4848</v>
      </c>
      <c r="X735" s="2">
        <v>0.373</v>
      </c>
      <c r="Y735" s="6">
        <f t="shared" si="94"/>
        <v>9.957021969514963E-3</v>
      </c>
      <c r="AA735">
        <v>10557148</v>
      </c>
      <c r="AB735">
        <v>19513</v>
      </c>
      <c r="AC735">
        <v>10991190</v>
      </c>
      <c r="AD735" t="s">
        <v>5</v>
      </c>
      <c r="AE735">
        <v>3</v>
      </c>
      <c r="AF735">
        <v>2</v>
      </c>
      <c r="AH735" t="s">
        <v>4847</v>
      </c>
      <c r="AI735" t="s">
        <v>4846</v>
      </c>
      <c r="AK735" t="s">
        <v>4845</v>
      </c>
      <c r="AL735">
        <v>0</v>
      </c>
      <c r="AM735" s="5">
        <f t="shared" si="90"/>
        <v>0</v>
      </c>
      <c r="AN735" s="4">
        <f t="shared" si="95"/>
        <v>0</v>
      </c>
      <c r="AO735" s="3"/>
      <c r="AP735">
        <v>0</v>
      </c>
      <c r="AR735" t="s">
        <v>1</v>
      </c>
      <c r="AT735" s="2">
        <v>1.712</v>
      </c>
      <c r="AU735" s="1">
        <f t="shared" si="91"/>
        <v>0.69699153786604739</v>
      </c>
      <c r="AV735" s="1">
        <f t="shared" si="92"/>
        <v>0.49785109847574816</v>
      </c>
      <c r="AW735" s="1">
        <f t="shared" si="93"/>
        <v>0.29871065908544886</v>
      </c>
    </row>
    <row r="736" spans="1:49" x14ac:dyDescent="0.2">
      <c r="A736">
        <v>734</v>
      </c>
      <c r="B736" t="s">
        <v>4844</v>
      </c>
      <c r="C736" t="s">
        <v>4843</v>
      </c>
      <c r="F736" t="s">
        <v>4842</v>
      </c>
      <c r="G736" t="s">
        <v>15</v>
      </c>
      <c r="H736" t="s">
        <v>14</v>
      </c>
      <c r="I736" t="s">
        <v>4841</v>
      </c>
      <c r="J736" t="s">
        <v>4840</v>
      </c>
      <c r="K736" t="s">
        <v>4839</v>
      </c>
      <c r="L736" t="s">
        <v>4838</v>
      </c>
      <c r="M736" t="s">
        <v>219</v>
      </c>
      <c r="N736">
        <v>3</v>
      </c>
      <c r="O736" t="s">
        <v>4837</v>
      </c>
      <c r="P736" t="s">
        <v>4836</v>
      </c>
      <c r="Q736" t="s">
        <v>4835</v>
      </c>
      <c r="R736" s="7">
        <v>33970</v>
      </c>
      <c r="S736" s="8">
        <f t="shared" si="88"/>
        <v>1993</v>
      </c>
      <c r="T736" s="8">
        <v>1993</v>
      </c>
      <c r="U736" s="8">
        <f t="shared" si="89"/>
        <v>29</v>
      </c>
      <c r="V736" s="7">
        <v>34121</v>
      </c>
      <c r="W736" t="s">
        <v>814</v>
      </c>
      <c r="X736" s="2">
        <v>1.6519999999999999</v>
      </c>
      <c r="Y736" s="6">
        <f t="shared" si="94"/>
        <v>4.409919649769093E-2</v>
      </c>
      <c r="AA736" t="s">
        <v>813</v>
      </c>
      <c r="AB736">
        <v>17337</v>
      </c>
      <c r="AC736">
        <v>15582221</v>
      </c>
      <c r="AD736" t="s">
        <v>5</v>
      </c>
      <c r="AE736">
        <v>41</v>
      </c>
      <c r="AF736">
        <v>6</v>
      </c>
      <c r="AH736" t="s">
        <v>4834</v>
      </c>
      <c r="AI736" t="s">
        <v>4833</v>
      </c>
      <c r="AK736" t="s">
        <v>4832</v>
      </c>
      <c r="AL736">
        <v>72</v>
      </c>
      <c r="AM736" s="5">
        <f t="shared" si="90"/>
        <v>2.4827586206896552</v>
      </c>
      <c r="AN736" s="4">
        <f t="shared" si="95"/>
        <v>3.7603311180456726E-3</v>
      </c>
      <c r="AO736" s="3"/>
      <c r="AP736">
        <v>0</v>
      </c>
      <c r="AR736" t="s">
        <v>1</v>
      </c>
      <c r="AS736" t="s">
        <v>4831</v>
      </c>
      <c r="AT736" s="2" t="s">
        <v>0</v>
      </c>
      <c r="AU736" s="1">
        <f t="shared" si="91"/>
        <v>3.1997536883797353</v>
      </c>
      <c r="AV736" s="1">
        <f t="shared" si="92"/>
        <v>2.3929763807868301</v>
      </c>
      <c r="AW736" s="1">
        <f t="shared" si="93"/>
        <v>1.5861990731939248</v>
      </c>
    </row>
    <row r="737" spans="1:49" x14ac:dyDescent="0.2">
      <c r="A737">
        <v>735</v>
      </c>
      <c r="B737" t="s">
        <v>4830</v>
      </c>
      <c r="C737" t="s">
        <v>4829</v>
      </c>
      <c r="F737" t="s">
        <v>4828</v>
      </c>
      <c r="G737" t="s">
        <v>15</v>
      </c>
      <c r="H737" t="s">
        <v>14</v>
      </c>
      <c r="I737" t="s">
        <v>4827</v>
      </c>
      <c r="J737" t="s">
        <v>4826</v>
      </c>
      <c r="K737" t="s">
        <v>4825</v>
      </c>
      <c r="L737" t="s">
        <v>4824</v>
      </c>
      <c r="M737" t="s">
        <v>2341</v>
      </c>
      <c r="N737">
        <v>6</v>
      </c>
      <c r="O737" t="s">
        <v>4823</v>
      </c>
      <c r="P737" t="s">
        <v>4822</v>
      </c>
      <c r="Q737" t="s">
        <v>4821</v>
      </c>
      <c r="R737" s="7">
        <v>33970</v>
      </c>
      <c r="S737" s="8">
        <f t="shared" si="88"/>
        <v>1993</v>
      </c>
      <c r="T737" s="8">
        <v>1993</v>
      </c>
      <c r="U737" s="8">
        <f t="shared" si="89"/>
        <v>29</v>
      </c>
      <c r="V737" s="7">
        <v>34121</v>
      </c>
      <c r="W737" t="s">
        <v>602</v>
      </c>
      <c r="X737" s="2">
        <v>0.371</v>
      </c>
      <c r="Y737" s="6">
        <f t="shared" si="94"/>
        <v>9.9036331117695747E-3</v>
      </c>
      <c r="AA737">
        <v>214922</v>
      </c>
      <c r="AB737">
        <v>130262</v>
      </c>
      <c r="AC737">
        <v>13474065</v>
      </c>
      <c r="AD737" t="s">
        <v>5</v>
      </c>
      <c r="AE737">
        <v>32</v>
      </c>
      <c r="AF737" s="12">
        <v>0.25</v>
      </c>
      <c r="AH737" t="s">
        <v>4820</v>
      </c>
      <c r="AI737" t="s">
        <v>4819</v>
      </c>
      <c r="AJ737" t="s">
        <v>4818</v>
      </c>
      <c r="AK737" t="s">
        <v>4817</v>
      </c>
      <c r="AL737">
        <v>7</v>
      </c>
      <c r="AM737" s="5">
        <f t="shared" si="90"/>
        <v>0.2413793103448276</v>
      </c>
      <c r="AN737" s="4">
        <f t="shared" si="95"/>
        <v>3.655877475877737E-4</v>
      </c>
      <c r="AO737" s="3"/>
      <c r="AP737">
        <v>0</v>
      </c>
      <c r="AR737" t="s">
        <v>1</v>
      </c>
      <c r="AT737" s="2">
        <v>1.48</v>
      </c>
      <c r="AU737" s="1">
        <f t="shared" si="91"/>
        <v>0.70422195025150336</v>
      </c>
      <c r="AV737" s="1">
        <f t="shared" si="92"/>
        <v>0.51346104296786743</v>
      </c>
      <c r="AW737" s="1">
        <f t="shared" si="93"/>
        <v>0.32270013568423139</v>
      </c>
    </row>
    <row r="738" spans="1:49" x14ac:dyDescent="0.2">
      <c r="A738">
        <v>736</v>
      </c>
      <c r="B738" t="s">
        <v>4816</v>
      </c>
      <c r="C738" t="s">
        <v>4815</v>
      </c>
      <c r="F738" t="s">
        <v>4814</v>
      </c>
      <c r="G738" t="s">
        <v>15</v>
      </c>
      <c r="H738" t="s">
        <v>14</v>
      </c>
      <c r="I738" t="s">
        <v>4813</v>
      </c>
      <c r="J738" t="s">
        <v>4812</v>
      </c>
      <c r="K738" t="s">
        <v>4811</v>
      </c>
      <c r="L738" t="s">
        <v>4810</v>
      </c>
      <c r="M738" t="s">
        <v>219</v>
      </c>
      <c r="N738">
        <v>3</v>
      </c>
      <c r="O738" t="s">
        <v>4809</v>
      </c>
      <c r="P738" t="s">
        <v>4808</v>
      </c>
      <c r="Q738" t="s">
        <v>4807</v>
      </c>
      <c r="R738" s="7">
        <v>33970</v>
      </c>
      <c r="S738" s="8">
        <f t="shared" si="88"/>
        <v>1993</v>
      </c>
      <c r="T738" s="8">
        <v>1993</v>
      </c>
      <c r="U738" s="8">
        <f t="shared" si="89"/>
        <v>29</v>
      </c>
      <c r="V738" s="7">
        <v>34121</v>
      </c>
      <c r="W738" t="s">
        <v>814</v>
      </c>
      <c r="X738" s="2">
        <v>1.6519999999999999</v>
      </c>
      <c r="Y738" s="6">
        <f t="shared" si="94"/>
        <v>4.409919649769093E-2</v>
      </c>
      <c r="AA738" t="s">
        <v>813</v>
      </c>
      <c r="AB738">
        <v>17337</v>
      </c>
      <c r="AC738">
        <v>15582221</v>
      </c>
      <c r="AD738" t="s">
        <v>5</v>
      </c>
      <c r="AE738">
        <v>41</v>
      </c>
      <c r="AF738">
        <v>6</v>
      </c>
      <c r="AH738" t="s">
        <v>4806</v>
      </c>
      <c r="AI738" t="s">
        <v>4805</v>
      </c>
      <c r="AK738" t="s">
        <v>4804</v>
      </c>
      <c r="AL738">
        <v>19</v>
      </c>
      <c r="AM738" s="5">
        <f t="shared" si="90"/>
        <v>0.65517241379310343</v>
      </c>
      <c r="AN738" s="4">
        <f t="shared" si="95"/>
        <v>9.9230960059538574E-4</v>
      </c>
      <c r="AO738" s="3"/>
      <c r="AP738">
        <v>0</v>
      </c>
      <c r="AR738" t="s">
        <v>1</v>
      </c>
      <c r="AT738" s="2" t="s">
        <v>0</v>
      </c>
      <c r="AU738" s="1">
        <f t="shared" si="91"/>
        <v>3.1167130428562269</v>
      </c>
      <c r="AV738" s="1">
        <f t="shared" si="92"/>
        <v>2.2545753049143156</v>
      </c>
      <c r="AW738" s="1">
        <f t="shared" si="93"/>
        <v>1.3924375669724047</v>
      </c>
    </row>
    <row r="739" spans="1:49" x14ac:dyDescent="0.2">
      <c r="A739">
        <v>737</v>
      </c>
      <c r="B739" t="s">
        <v>4803</v>
      </c>
      <c r="C739" t="s">
        <v>4802</v>
      </c>
      <c r="F739" t="s">
        <v>4801</v>
      </c>
      <c r="G739" t="s">
        <v>15</v>
      </c>
      <c r="H739" t="s">
        <v>14</v>
      </c>
      <c r="I739" t="s">
        <v>4800</v>
      </c>
      <c r="J739">
        <v>60108318</v>
      </c>
      <c r="K739" t="s">
        <v>2709</v>
      </c>
      <c r="L739" t="s">
        <v>997</v>
      </c>
      <c r="M739" t="s">
        <v>10</v>
      </c>
      <c r="N739">
        <v>2</v>
      </c>
      <c r="O739" t="s">
        <v>4799</v>
      </c>
      <c r="P739" t="s">
        <v>4798</v>
      </c>
      <c r="Q739" t="s">
        <v>2706</v>
      </c>
      <c r="R739" s="7">
        <v>33970</v>
      </c>
      <c r="S739" s="8">
        <f t="shared" si="88"/>
        <v>1993</v>
      </c>
      <c r="T739" s="8">
        <v>1993</v>
      </c>
      <c r="U739" s="8">
        <f t="shared" si="89"/>
        <v>29</v>
      </c>
      <c r="V739" s="7">
        <v>34121</v>
      </c>
      <c r="W739" t="s">
        <v>814</v>
      </c>
      <c r="X739" s="2">
        <v>1.6519999999999999</v>
      </c>
      <c r="Y739" s="6">
        <f t="shared" si="94"/>
        <v>4.409919649769093E-2</v>
      </c>
      <c r="AA739" t="s">
        <v>813</v>
      </c>
      <c r="AB739">
        <v>17337</v>
      </c>
      <c r="AC739">
        <v>15582221</v>
      </c>
      <c r="AD739" t="s">
        <v>5</v>
      </c>
      <c r="AE739">
        <v>41</v>
      </c>
      <c r="AF739">
        <v>6</v>
      </c>
      <c r="AH739" t="s">
        <v>4797</v>
      </c>
      <c r="AI739" t="s">
        <v>4796</v>
      </c>
      <c r="AK739" t="s">
        <v>4795</v>
      </c>
      <c r="AL739">
        <v>16</v>
      </c>
      <c r="AM739" s="5">
        <f t="shared" si="90"/>
        <v>0.55172413793103448</v>
      </c>
      <c r="AN739" s="4">
        <f t="shared" si="95"/>
        <v>8.3562913734348278E-4</v>
      </c>
      <c r="AO739" s="3"/>
      <c r="AP739">
        <v>0</v>
      </c>
      <c r="AQ739" t="s">
        <v>1358</v>
      </c>
      <c r="AR739" t="s">
        <v>4794</v>
      </c>
      <c r="AS739" t="s">
        <v>1356</v>
      </c>
      <c r="AT739" s="2" t="s">
        <v>0</v>
      </c>
      <c r="AU739" s="1">
        <f t="shared" si="91"/>
        <v>3.1120126289586696</v>
      </c>
      <c r="AV739" s="1">
        <f t="shared" si="92"/>
        <v>2.2467412817517207</v>
      </c>
      <c r="AW739" s="1">
        <f t="shared" si="93"/>
        <v>1.3814699345447716</v>
      </c>
    </row>
    <row r="740" spans="1:49" x14ac:dyDescent="0.2">
      <c r="A740">
        <v>738</v>
      </c>
      <c r="B740" t="s">
        <v>4793</v>
      </c>
      <c r="C740" t="s">
        <v>4792</v>
      </c>
      <c r="F740" t="s">
        <v>4791</v>
      </c>
      <c r="G740" t="s">
        <v>15</v>
      </c>
      <c r="H740" t="s">
        <v>14</v>
      </c>
      <c r="I740" t="s">
        <v>4790</v>
      </c>
      <c r="J740">
        <v>60022403</v>
      </c>
      <c r="K740" t="s">
        <v>4789</v>
      </c>
      <c r="L740" t="s">
        <v>4788</v>
      </c>
      <c r="M740" t="s">
        <v>1118</v>
      </c>
      <c r="N740">
        <v>3</v>
      </c>
      <c r="O740" t="s">
        <v>4787</v>
      </c>
      <c r="P740" t="s">
        <v>4786</v>
      </c>
      <c r="Q740" t="s">
        <v>4785</v>
      </c>
      <c r="R740" s="7">
        <v>33970</v>
      </c>
      <c r="S740" s="8">
        <f t="shared" si="88"/>
        <v>1993</v>
      </c>
      <c r="T740" s="8">
        <v>1993</v>
      </c>
      <c r="U740" s="8">
        <f t="shared" si="89"/>
        <v>29</v>
      </c>
      <c r="V740" s="7">
        <v>34121</v>
      </c>
      <c r="W740" t="s">
        <v>814</v>
      </c>
      <c r="X740" s="2">
        <v>1.6519999999999999</v>
      </c>
      <c r="Y740" s="6">
        <f t="shared" si="94"/>
        <v>4.409919649769093E-2</v>
      </c>
      <c r="AA740" t="s">
        <v>813</v>
      </c>
      <c r="AB740">
        <v>17337</v>
      </c>
      <c r="AC740">
        <v>15582221</v>
      </c>
      <c r="AD740" t="s">
        <v>5</v>
      </c>
      <c r="AE740">
        <v>41</v>
      </c>
      <c r="AF740">
        <v>6</v>
      </c>
      <c r="AH740" t="s">
        <v>4784</v>
      </c>
      <c r="AI740" t="s">
        <v>4783</v>
      </c>
      <c r="AK740" t="s">
        <v>4782</v>
      </c>
      <c r="AL740">
        <v>0</v>
      </c>
      <c r="AM740" s="5">
        <f t="shared" si="90"/>
        <v>0</v>
      </c>
      <c r="AN740" s="4">
        <f t="shared" si="95"/>
        <v>0</v>
      </c>
      <c r="AO740" s="3"/>
      <c r="AP740">
        <v>0</v>
      </c>
      <c r="AR740" t="s">
        <v>1</v>
      </c>
      <c r="AT740" s="2" t="s">
        <v>0</v>
      </c>
      <c r="AU740" s="1">
        <f t="shared" si="91"/>
        <v>3.0869437548383649</v>
      </c>
      <c r="AV740" s="1">
        <f t="shared" si="92"/>
        <v>2.2049598248845466</v>
      </c>
      <c r="AW740" s="1">
        <f t="shared" si="93"/>
        <v>1.3229758949307278</v>
      </c>
    </row>
    <row r="741" spans="1:49" x14ac:dyDescent="0.2">
      <c r="A741">
        <v>739</v>
      </c>
      <c r="B741" t="s">
        <v>4781</v>
      </c>
      <c r="C741" t="s">
        <v>4780</v>
      </c>
      <c r="F741" t="s">
        <v>4779</v>
      </c>
      <c r="G741" t="s">
        <v>15</v>
      </c>
      <c r="H741" t="s">
        <v>14</v>
      </c>
      <c r="I741" t="s">
        <v>4778</v>
      </c>
      <c r="J741">
        <v>60012370</v>
      </c>
      <c r="K741" t="s">
        <v>4520</v>
      </c>
      <c r="L741" t="s">
        <v>4519</v>
      </c>
      <c r="M741" t="s">
        <v>1909</v>
      </c>
      <c r="N741">
        <v>2</v>
      </c>
      <c r="O741" t="s">
        <v>4777</v>
      </c>
      <c r="P741" t="s">
        <v>4776</v>
      </c>
      <c r="Q741" t="s">
        <v>4516</v>
      </c>
      <c r="R741" s="7">
        <v>33970</v>
      </c>
      <c r="S741" s="8">
        <f t="shared" si="88"/>
        <v>1993</v>
      </c>
      <c r="T741" s="8">
        <v>1993</v>
      </c>
      <c r="U741" s="8">
        <f t="shared" si="89"/>
        <v>29</v>
      </c>
      <c r="V741" s="7">
        <v>34121</v>
      </c>
      <c r="W741" t="s">
        <v>814</v>
      </c>
      <c r="X741" s="2">
        <v>1.6519999999999999</v>
      </c>
      <c r="Y741" s="6">
        <f t="shared" si="94"/>
        <v>4.409919649769093E-2</v>
      </c>
      <c r="AA741" t="s">
        <v>813</v>
      </c>
      <c r="AB741">
        <v>17337</v>
      </c>
      <c r="AC741">
        <v>15582221</v>
      </c>
      <c r="AD741" t="s">
        <v>5</v>
      </c>
      <c r="AE741">
        <v>41</v>
      </c>
      <c r="AF741">
        <v>6</v>
      </c>
      <c r="AH741" t="s">
        <v>4775</v>
      </c>
      <c r="AI741" t="s">
        <v>4774</v>
      </c>
      <c r="AK741" t="s">
        <v>4773</v>
      </c>
      <c r="AL741">
        <v>25</v>
      </c>
      <c r="AM741" s="5">
        <f t="shared" si="90"/>
        <v>0.86206896551724133</v>
      </c>
      <c r="AN741" s="4">
        <f t="shared" si="95"/>
        <v>1.3056705270991916E-3</v>
      </c>
      <c r="AO741" s="3"/>
      <c r="AP741">
        <v>0</v>
      </c>
      <c r="AQ741" t="s">
        <v>4772</v>
      </c>
      <c r="AR741" t="s">
        <v>4771</v>
      </c>
      <c r="AS741" t="s">
        <v>4770</v>
      </c>
      <c r="AT741" s="2" t="s">
        <v>0</v>
      </c>
      <c r="AU741" s="1">
        <f t="shared" si="91"/>
        <v>3.1261138706513409</v>
      </c>
      <c r="AV741" s="1">
        <f t="shared" si="92"/>
        <v>2.2702433512395062</v>
      </c>
      <c r="AW741" s="1">
        <f t="shared" si="93"/>
        <v>1.4143728318276712</v>
      </c>
    </row>
    <row r="742" spans="1:49" x14ac:dyDescent="0.2">
      <c r="A742">
        <v>740</v>
      </c>
      <c r="B742" t="s">
        <v>4769</v>
      </c>
      <c r="C742" t="s">
        <v>4768</v>
      </c>
      <c r="F742" t="s">
        <v>4767</v>
      </c>
      <c r="G742" t="s">
        <v>15</v>
      </c>
      <c r="H742" t="s">
        <v>14</v>
      </c>
      <c r="I742" t="s">
        <v>4766</v>
      </c>
      <c r="J742">
        <v>60031624</v>
      </c>
      <c r="K742" t="s">
        <v>2425</v>
      </c>
      <c r="L742" t="s">
        <v>2424</v>
      </c>
      <c r="M742" t="s">
        <v>2423</v>
      </c>
      <c r="N742">
        <v>3</v>
      </c>
      <c r="O742" t="s">
        <v>4765</v>
      </c>
      <c r="P742" t="s">
        <v>4764</v>
      </c>
      <c r="Q742" t="s">
        <v>4763</v>
      </c>
      <c r="R742" s="7">
        <v>33970</v>
      </c>
      <c r="S742" s="8">
        <f t="shared" si="88"/>
        <v>1993</v>
      </c>
      <c r="T742" s="8">
        <v>1993</v>
      </c>
      <c r="U742" s="8">
        <f t="shared" si="89"/>
        <v>29</v>
      </c>
      <c r="V742" s="7" t="s">
        <v>4742</v>
      </c>
      <c r="W742" t="s">
        <v>548</v>
      </c>
      <c r="X742" s="2">
        <v>1.3720000000000001</v>
      </c>
      <c r="Y742" s="6">
        <f t="shared" si="94"/>
        <v>3.662475641333654E-2</v>
      </c>
      <c r="AA742">
        <v>189480</v>
      </c>
      <c r="AB742">
        <v>17366</v>
      </c>
      <c r="AC742">
        <v>15579670</v>
      </c>
      <c r="AD742" t="s">
        <v>5</v>
      </c>
      <c r="AE742">
        <v>41</v>
      </c>
      <c r="AF742">
        <v>6</v>
      </c>
      <c r="AH742" t="s">
        <v>4762</v>
      </c>
      <c r="AI742" t="s">
        <v>4761</v>
      </c>
      <c r="AK742" t="s">
        <v>4760</v>
      </c>
      <c r="AL742">
        <v>12</v>
      </c>
      <c r="AM742" s="5">
        <f t="shared" si="90"/>
        <v>0.41379310344827586</v>
      </c>
      <c r="AN742" s="4">
        <f t="shared" si="95"/>
        <v>6.2672185300761203E-4</v>
      </c>
      <c r="AO742" s="3"/>
      <c r="AP742">
        <v>0</v>
      </c>
      <c r="AR742" t="s">
        <v>1</v>
      </c>
      <c r="AT742" s="2" t="s">
        <v>0</v>
      </c>
      <c r="AU742" s="1">
        <f t="shared" si="91"/>
        <v>2.582534604523786</v>
      </c>
      <c r="AV742" s="1">
        <f t="shared" si="92"/>
        <v>1.8625739133172077</v>
      </c>
      <c r="AW742" s="1">
        <f t="shared" si="93"/>
        <v>1.1426132221106291</v>
      </c>
    </row>
    <row r="743" spans="1:49" x14ac:dyDescent="0.2">
      <c r="A743">
        <v>741</v>
      </c>
      <c r="B743" t="s">
        <v>4759</v>
      </c>
      <c r="C743" t="s">
        <v>4758</v>
      </c>
      <c r="F743" t="s">
        <v>4757</v>
      </c>
      <c r="G743" t="s">
        <v>15</v>
      </c>
      <c r="H743" t="s">
        <v>14</v>
      </c>
      <c r="I743" t="s">
        <v>4756</v>
      </c>
      <c r="J743">
        <v>60101699</v>
      </c>
      <c r="K743" t="s">
        <v>3302</v>
      </c>
      <c r="L743" t="s">
        <v>151</v>
      </c>
      <c r="M743" t="s">
        <v>150</v>
      </c>
      <c r="N743">
        <v>3</v>
      </c>
      <c r="O743" t="s">
        <v>4755</v>
      </c>
      <c r="P743" t="s">
        <v>4754</v>
      </c>
      <c r="Q743" t="s">
        <v>4753</v>
      </c>
      <c r="R743" s="7">
        <v>33970</v>
      </c>
      <c r="S743" s="8">
        <f t="shared" si="88"/>
        <v>1993</v>
      </c>
      <c r="T743" s="8">
        <v>1993</v>
      </c>
      <c r="U743" s="8">
        <f t="shared" si="89"/>
        <v>29</v>
      </c>
      <c r="V743" s="7">
        <v>1993</v>
      </c>
      <c r="W743" t="s">
        <v>1720</v>
      </c>
      <c r="X743" s="2">
        <v>0.111</v>
      </c>
      <c r="Y743" s="6">
        <f t="shared" si="94"/>
        <v>2.9630816048690639E-3</v>
      </c>
      <c r="AA743">
        <v>87566621</v>
      </c>
      <c r="AB743">
        <v>24890</v>
      </c>
      <c r="AC743">
        <v>15206424</v>
      </c>
      <c r="AD743" t="s">
        <v>5</v>
      </c>
      <c r="AE743">
        <v>76</v>
      </c>
      <c r="AF743">
        <v>6</v>
      </c>
      <c r="AH743" t="s">
        <v>4752</v>
      </c>
      <c r="AI743" t="s">
        <v>4751</v>
      </c>
      <c r="AJ743" t="s">
        <v>4750</v>
      </c>
      <c r="AK743" t="s">
        <v>4749</v>
      </c>
      <c r="AL743">
        <v>1</v>
      </c>
      <c r="AM743" s="5">
        <f t="shared" si="90"/>
        <v>3.4482758620689655E-2</v>
      </c>
      <c r="AN743" s="4">
        <f t="shared" si="95"/>
        <v>5.2226821083967674E-5</v>
      </c>
      <c r="AO743" s="3"/>
      <c r="AP743">
        <v>0</v>
      </c>
      <c r="AR743" t="s">
        <v>1</v>
      </c>
      <c r="AT743" s="2" t="s">
        <v>0</v>
      </c>
      <c r="AU743" s="1">
        <f t="shared" si="91"/>
        <v>0.20898251697335346</v>
      </c>
      <c r="AV743" s="1">
        <f t="shared" si="92"/>
        <v>0.15076542129765158</v>
      </c>
      <c r="AW743" s="1">
        <f t="shared" si="93"/>
        <v>9.2548325621949645E-2</v>
      </c>
    </row>
    <row r="744" spans="1:49" x14ac:dyDescent="0.2">
      <c r="A744">
        <v>742</v>
      </c>
      <c r="B744" t="s">
        <v>4748</v>
      </c>
      <c r="C744" t="s">
        <v>4747</v>
      </c>
      <c r="F744" t="s">
        <v>4746</v>
      </c>
      <c r="G744" t="s">
        <v>15</v>
      </c>
      <c r="H744" t="s">
        <v>14</v>
      </c>
      <c r="I744" t="s">
        <v>4745</v>
      </c>
      <c r="J744">
        <v>60025778</v>
      </c>
      <c r="K744" t="s">
        <v>3404</v>
      </c>
      <c r="L744" t="s">
        <v>1317</v>
      </c>
      <c r="M744" t="s">
        <v>10</v>
      </c>
      <c r="N744">
        <v>2</v>
      </c>
      <c r="O744" t="s">
        <v>4744</v>
      </c>
      <c r="P744" t="s">
        <v>4743</v>
      </c>
      <c r="Q744" t="s">
        <v>4730</v>
      </c>
      <c r="R744" s="7">
        <v>33970</v>
      </c>
      <c r="S744" s="8">
        <f t="shared" si="88"/>
        <v>1993</v>
      </c>
      <c r="T744" s="8">
        <v>1993</v>
      </c>
      <c r="U744" s="8">
        <f t="shared" si="89"/>
        <v>29</v>
      </c>
      <c r="V744" s="7" t="s">
        <v>4742</v>
      </c>
      <c r="W744" t="s">
        <v>548</v>
      </c>
      <c r="X744" s="2">
        <v>1.3720000000000001</v>
      </c>
      <c r="Y744" s="6">
        <f t="shared" si="94"/>
        <v>3.662475641333654E-2</v>
      </c>
      <c r="AA744">
        <v>189480</v>
      </c>
      <c r="AB744">
        <v>17366</v>
      </c>
      <c r="AC744">
        <v>15579670</v>
      </c>
      <c r="AD744" t="s">
        <v>5</v>
      </c>
      <c r="AE744">
        <v>41</v>
      </c>
      <c r="AF744">
        <v>6</v>
      </c>
      <c r="AH744" t="s">
        <v>4741</v>
      </c>
      <c r="AI744" t="s">
        <v>4740</v>
      </c>
      <c r="AK744" t="s">
        <v>4739</v>
      </c>
      <c r="AL744">
        <v>15</v>
      </c>
      <c r="AM744" s="5">
        <f t="shared" si="90"/>
        <v>0.51724137931034486</v>
      </c>
      <c r="AN744" s="4">
        <f t="shared" si="95"/>
        <v>7.834023162595151E-4</v>
      </c>
      <c r="AO744" s="3"/>
      <c r="AP744">
        <v>0</v>
      </c>
      <c r="AQ744" t="s">
        <v>4738</v>
      </c>
      <c r="AR744" t="s">
        <v>1</v>
      </c>
      <c r="AS744" t="s">
        <v>4737</v>
      </c>
      <c r="AT744" s="2" t="s">
        <v>0</v>
      </c>
      <c r="AU744" s="1">
        <f t="shared" si="91"/>
        <v>2.5872350184213433</v>
      </c>
      <c r="AV744" s="1">
        <f t="shared" si="92"/>
        <v>1.8704079364798027</v>
      </c>
      <c r="AW744" s="1">
        <f t="shared" si="93"/>
        <v>1.1535808545382622</v>
      </c>
    </row>
    <row r="745" spans="1:49" x14ac:dyDescent="0.2">
      <c r="A745">
        <v>743</v>
      </c>
      <c r="B745" t="s">
        <v>4736</v>
      </c>
      <c r="C745" t="s">
        <v>4735</v>
      </c>
      <c r="F745" t="s">
        <v>4734</v>
      </c>
      <c r="G745" t="s">
        <v>15</v>
      </c>
      <c r="H745" t="s">
        <v>14</v>
      </c>
      <c r="I745" t="s">
        <v>4733</v>
      </c>
      <c r="J745">
        <v>60025778</v>
      </c>
      <c r="K745" t="s">
        <v>3404</v>
      </c>
      <c r="L745" t="s">
        <v>1317</v>
      </c>
      <c r="M745" t="s">
        <v>10</v>
      </c>
      <c r="N745">
        <v>2</v>
      </c>
      <c r="O745" t="s">
        <v>4732</v>
      </c>
      <c r="P745" t="s">
        <v>4731</v>
      </c>
      <c r="Q745" t="s">
        <v>4730</v>
      </c>
      <c r="R745" s="7">
        <v>33970</v>
      </c>
      <c r="S745" s="8">
        <f t="shared" si="88"/>
        <v>1993</v>
      </c>
      <c r="T745" s="8">
        <v>1993</v>
      </c>
      <c r="U745" s="8">
        <f t="shared" si="89"/>
        <v>29</v>
      </c>
      <c r="V745" s="7">
        <v>34121</v>
      </c>
      <c r="W745" t="s">
        <v>1272</v>
      </c>
      <c r="X745" s="2">
        <v>0.94</v>
      </c>
      <c r="Y745" s="6">
        <f t="shared" si="94"/>
        <v>2.5092763140332611E-2</v>
      </c>
      <c r="AA745">
        <v>10518207</v>
      </c>
      <c r="AB745">
        <v>63372</v>
      </c>
      <c r="AD745" t="s">
        <v>5</v>
      </c>
      <c r="AE745">
        <v>3</v>
      </c>
      <c r="AF745">
        <v>6</v>
      </c>
      <c r="AH745" t="s">
        <v>4729</v>
      </c>
      <c r="AI745" t="s">
        <v>4728</v>
      </c>
      <c r="AK745" t="s">
        <v>4727</v>
      </c>
      <c r="AL745">
        <v>25</v>
      </c>
      <c r="AM745" s="5">
        <f t="shared" si="90"/>
        <v>0.86206896551724133</v>
      </c>
      <c r="AN745" s="4">
        <f t="shared" si="95"/>
        <v>1.3056705270991916E-3</v>
      </c>
      <c r="AO745" s="3"/>
      <c r="AP745">
        <v>0</v>
      </c>
      <c r="AQ745" t="s">
        <v>761</v>
      </c>
      <c r="AR745" t="s">
        <v>1</v>
      </c>
      <c r="AS745" t="s">
        <v>759</v>
      </c>
      <c r="AT745" s="2" t="s">
        <v>0</v>
      </c>
      <c r="AU745" s="1">
        <f t="shared" si="91"/>
        <v>1.7956635356362585</v>
      </c>
      <c r="AV745" s="1">
        <f t="shared" si="92"/>
        <v>1.3199216833715901</v>
      </c>
      <c r="AW745" s="1">
        <f t="shared" si="93"/>
        <v>0.84417983110692174</v>
      </c>
    </row>
    <row r="746" spans="1:49" x14ac:dyDescent="0.2">
      <c r="A746">
        <v>744</v>
      </c>
      <c r="B746" t="s">
        <v>4726</v>
      </c>
      <c r="C746" t="s">
        <v>4725</v>
      </c>
      <c r="F746" t="s">
        <v>4724</v>
      </c>
      <c r="G746" t="s">
        <v>15</v>
      </c>
      <c r="H746" t="s">
        <v>14</v>
      </c>
      <c r="I746" t="s">
        <v>4723</v>
      </c>
      <c r="J746">
        <v>60019878</v>
      </c>
      <c r="K746" t="s">
        <v>4722</v>
      </c>
      <c r="L746" t="s">
        <v>4721</v>
      </c>
      <c r="M746" t="s">
        <v>4720</v>
      </c>
      <c r="N746">
        <v>3</v>
      </c>
      <c r="O746" t="s">
        <v>4719</v>
      </c>
      <c r="P746" t="s">
        <v>4718</v>
      </c>
      <c r="Q746" t="s">
        <v>4717</v>
      </c>
      <c r="R746" s="7">
        <v>33970</v>
      </c>
      <c r="S746" s="8">
        <f t="shared" si="88"/>
        <v>1993</v>
      </c>
      <c r="T746" s="8">
        <v>1993</v>
      </c>
      <c r="U746" s="8">
        <f t="shared" si="89"/>
        <v>29</v>
      </c>
      <c r="V746" s="7">
        <v>34121</v>
      </c>
      <c r="W746" t="s">
        <v>868</v>
      </c>
      <c r="X746" s="2">
        <v>0.375</v>
      </c>
      <c r="Y746" s="6">
        <f t="shared" si="94"/>
        <v>1.0010410827260351E-2</v>
      </c>
      <c r="AA746">
        <v>135194</v>
      </c>
      <c r="AB746">
        <v>24918</v>
      </c>
      <c r="AD746" t="s">
        <v>5</v>
      </c>
      <c r="AE746">
        <v>29</v>
      </c>
      <c r="AF746">
        <v>12</v>
      </c>
      <c r="AH746" t="s">
        <v>4716</v>
      </c>
      <c r="AI746" t="s">
        <v>4715</v>
      </c>
      <c r="AJ746" t="s">
        <v>4714</v>
      </c>
      <c r="AK746" t="s">
        <v>4713</v>
      </c>
      <c r="AL746">
        <v>4</v>
      </c>
      <c r="AM746" s="5">
        <f t="shared" si="90"/>
        <v>0.13793103448275862</v>
      </c>
      <c r="AN746" s="4">
        <f t="shared" si="95"/>
        <v>2.089072843358707E-4</v>
      </c>
      <c r="AO746" s="3"/>
      <c r="AP746">
        <v>0</v>
      </c>
      <c r="AR746" t="s">
        <v>1</v>
      </c>
      <c r="AT746" s="2">
        <v>1.3140000000000001</v>
      </c>
      <c r="AU746" s="1">
        <f t="shared" si="91"/>
        <v>0.7069959764383007</v>
      </c>
      <c r="AV746" s="1">
        <f t="shared" si="92"/>
        <v>0.51096590557981103</v>
      </c>
      <c r="AW746" s="1">
        <f t="shared" si="93"/>
        <v>0.31493583472132147</v>
      </c>
    </row>
    <row r="747" spans="1:49" x14ac:dyDescent="0.2">
      <c r="A747">
        <v>745</v>
      </c>
      <c r="B747" t="s">
        <v>4712</v>
      </c>
      <c r="C747" t="s">
        <v>4711</v>
      </c>
      <c r="F747" t="s">
        <v>4710</v>
      </c>
      <c r="G747" t="s">
        <v>15</v>
      </c>
      <c r="H747" t="s">
        <v>14</v>
      </c>
      <c r="I747" t="s">
        <v>4709</v>
      </c>
      <c r="J747">
        <v>60022109</v>
      </c>
      <c r="K747" t="s">
        <v>4708</v>
      </c>
      <c r="L747" t="s">
        <v>3718</v>
      </c>
      <c r="M747" t="s">
        <v>493</v>
      </c>
      <c r="N747">
        <v>2</v>
      </c>
      <c r="O747" t="s">
        <v>4707</v>
      </c>
      <c r="P747" t="s">
        <v>4706</v>
      </c>
      <c r="Q747" t="s">
        <v>4705</v>
      </c>
      <c r="R747" s="7">
        <v>33970</v>
      </c>
      <c r="S747" s="8">
        <f t="shared" si="88"/>
        <v>1993</v>
      </c>
      <c r="T747" s="8">
        <v>1993</v>
      </c>
      <c r="U747" s="8">
        <f t="shared" si="89"/>
        <v>29</v>
      </c>
      <c r="V747" s="7">
        <v>34121</v>
      </c>
      <c r="W747" t="s">
        <v>868</v>
      </c>
      <c r="X747" s="2">
        <v>0.375</v>
      </c>
      <c r="Y747" s="6">
        <f t="shared" si="94"/>
        <v>1.0010410827260351E-2</v>
      </c>
      <c r="AA747">
        <v>135194</v>
      </c>
      <c r="AB747">
        <v>24918</v>
      </c>
      <c r="AD747" t="s">
        <v>5</v>
      </c>
      <c r="AE747">
        <v>29</v>
      </c>
      <c r="AF747">
        <v>13</v>
      </c>
      <c r="AH747" t="s">
        <v>4704</v>
      </c>
      <c r="AI747" t="s">
        <v>4703</v>
      </c>
      <c r="AJ747" t="s">
        <v>4702</v>
      </c>
      <c r="AK747" t="s">
        <v>4701</v>
      </c>
      <c r="AL747">
        <v>12</v>
      </c>
      <c r="AM747" s="5">
        <f t="shared" si="90"/>
        <v>0.41379310344827586</v>
      </c>
      <c r="AN747" s="4">
        <f t="shared" si="95"/>
        <v>6.2672185300761203E-4</v>
      </c>
      <c r="AO747" s="3"/>
      <c r="AP747">
        <v>0</v>
      </c>
      <c r="AR747" t="s">
        <v>1</v>
      </c>
      <c r="AT747" s="2">
        <v>1.3140000000000001</v>
      </c>
      <c r="AU747" s="1">
        <f t="shared" si="91"/>
        <v>0.71953041349845293</v>
      </c>
      <c r="AV747" s="1">
        <f t="shared" si="92"/>
        <v>0.53185663401339822</v>
      </c>
      <c r="AW747" s="1">
        <f t="shared" si="93"/>
        <v>0.34418285452834335</v>
      </c>
    </row>
    <row r="748" spans="1:49" x14ac:dyDescent="0.2">
      <c r="A748">
        <v>746</v>
      </c>
      <c r="B748" t="s">
        <v>4700</v>
      </c>
      <c r="C748" t="s">
        <v>4699</v>
      </c>
      <c r="F748" t="s">
        <v>4698</v>
      </c>
      <c r="G748" t="s">
        <v>15</v>
      </c>
      <c r="H748" t="s">
        <v>14</v>
      </c>
      <c r="I748" t="s">
        <v>4697</v>
      </c>
      <c r="J748">
        <v>60010491</v>
      </c>
      <c r="K748" t="s">
        <v>4696</v>
      </c>
      <c r="L748" t="s">
        <v>4695</v>
      </c>
      <c r="M748" t="s">
        <v>10</v>
      </c>
      <c r="N748">
        <v>3</v>
      </c>
      <c r="O748" t="s">
        <v>4694</v>
      </c>
      <c r="P748" t="s">
        <v>4693</v>
      </c>
      <c r="Q748" t="s">
        <v>4692</v>
      </c>
      <c r="R748" s="7">
        <v>33970</v>
      </c>
      <c r="S748" s="8">
        <f t="shared" si="88"/>
        <v>1993</v>
      </c>
      <c r="T748" s="8">
        <v>1993</v>
      </c>
      <c r="U748" s="8">
        <f t="shared" si="89"/>
        <v>29</v>
      </c>
      <c r="V748" s="7">
        <v>34121</v>
      </c>
      <c r="W748" t="s">
        <v>814</v>
      </c>
      <c r="X748" s="2">
        <v>1.6519999999999999</v>
      </c>
      <c r="Y748" s="6">
        <f t="shared" si="94"/>
        <v>4.409919649769093E-2</v>
      </c>
      <c r="AA748" t="s">
        <v>813</v>
      </c>
      <c r="AB748">
        <v>17337</v>
      </c>
      <c r="AC748">
        <v>15582221</v>
      </c>
      <c r="AD748" t="s">
        <v>5</v>
      </c>
      <c r="AE748">
        <v>41</v>
      </c>
      <c r="AF748">
        <v>6</v>
      </c>
      <c r="AH748" t="s">
        <v>4691</v>
      </c>
      <c r="AI748" t="s">
        <v>4690</v>
      </c>
      <c r="AK748" t="s">
        <v>4689</v>
      </c>
      <c r="AL748">
        <v>81</v>
      </c>
      <c r="AM748" s="5">
        <f t="shared" si="90"/>
        <v>2.7931034482758621</v>
      </c>
      <c r="AN748" s="4">
        <f t="shared" si="95"/>
        <v>4.2303725078013813E-3</v>
      </c>
      <c r="AO748" s="3"/>
      <c r="AP748">
        <v>0</v>
      </c>
      <c r="AQ748" t="s">
        <v>761</v>
      </c>
      <c r="AR748" t="s">
        <v>4688</v>
      </c>
      <c r="AS748" t="s">
        <v>759</v>
      </c>
      <c r="AT748" s="2" t="s">
        <v>0</v>
      </c>
      <c r="AU748" s="1">
        <f t="shared" si="91"/>
        <v>3.2138549300724066</v>
      </c>
      <c r="AV748" s="1">
        <f t="shared" si="92"/>
        <v>2.4164784502746155</v>
      </c>
      <c r="AW748" s="1">
        <f t="shared" si="93"/>
        <v>1.6191019704768244</v>
      </c>
    </row>
    <row r="749" spans="1:49" x14ac:dyDescent="0.2">
      <c r="A749">
        <v>747</v>
      </c>
      <c r="B749" t="s">
        <v>4687</v>
      </c>
      <c r="C749" t="s">
        <v>4686</v>
      </c>
      <c r="F749" t="s">
        <v>4685</v>
      </c>
      <c r="G749" t="s">
        <v>15</v>
      </c>
      <c r="H749" t="s">
        <v>14</v>
      </c>
      <c r="I749" t="s">
        <v>4684</v>
      </c>
      <c r="J749">
        <v>60028442</v>
      </c>
      <c r="K749" t="s">
        <v>4683</v>
      </c>
      <c r="L749" t="s">
        <v>4682</v>
      </c>
      <c r="M749" t="s">
        <v>2508</v>
      </c>
      <c r="N749">
        <v>3</v>
      </c>
      <c r="O749" t="s">
        <v>4681</v>
      </c>
      <c r="P749" t="s">
        <v>4680</v>
      </c>
      <c r="Q749" t="s">
        <v>4679</v>
      </c>
      <c r="R749" s="7">
        <v>33970</v>
      </c>
      <c r="S749" s="8">
        <f t="shared" si="88"/>
        <v>1993</v>
      </c>
      <c r="T749" s="8">
        <v>1993</v>
      </c>
      <c r="U749" s="8">
        <f t="shared" si="89"/>
        <v>29</v>
      </c>
      <c r="V749" s="7">
        <v>34121</v>
      </c>
      <c r="W749" t="s">
        <v>814</v>
      </c>
      <c r="X749" s="2">
        <v>1.6519999999999999</v>
      </c>
      <c r="Y749" s="6">
        <f t="shared" si="94"/>
        <v>4.409919649769093E-2</v>
      </c>
      <c r="AA749" t="s">
        <v>813</v>
      </c>
      <c r="AB749">
        <v>17337</v>
      </c>
      <c r="AC749">
        <v>15582221</v>
      </c>
      <c r="AD749" t="s">
        <v>5</v>
      </c>
      <c r="AE749">
        <v>41</v>
      </c>
      <c r="AF749">
        <v>6</v>
      </c>
      <c r="AH749" t="s">
        <v>4678</v>
      </c>
      <c r="AI749" t="s">
        <v>4677</v>
      </c>
      <c r="AK749" t="s">
        <v>4676</v>
      </c>
      <c r="AL749">
        <v>4</v>
      </c>
      <c r="AM749" s="5">
        <f t="shared" si="90"/>
        <v>0.13793103448275862</v>
      </c>
      <c r="AN749" s="4">
        <f t="shared" si="95"/>
        <v>2.089072843358707E-4</v>
      </c>
      <c r="AO749" s="3"/>
      <c r="AP749">
        <v>0</v>
      </c>
      <c r="AR749" t="s">
        <v>1</v>
      </c>
      <c r="AT749" s="2" t="s">
        <v>0</v>
      </c>
      <c r="AU749" s="1">
        <f t="shared" si="91"/>
        <v>3.093210973368441</v>
      </c>
      <c r="AV749" s="1">
        <f t="shared" si="92"/>
        <v>2.21540518910134</v>
      </c>
      <c r="AW749" s="1">
        <f t="shared" si="93"/>
        <v>1.3375994048342388</v>
      </c>
    </row>
    <row r="750" spans="1:49" x14ac:dyDescent="0.2">
      <c r="A750">
        <v>748</v>
      </c>
      <c r="B750" t="s">
        <v>4675</v>
      </c>
      <c r="C750" t="s">
        <v>4674</v>
      </c>
      <c r="F750" t="s">
        <v>4673</v>
      </c>
      <c r="G750" t="s">
        <v>15</v>
      </c>
      <c r="H750" t="s">
        <v>14</v>
      </c>
      <c r="I750" t="s">
        <v>4672</v>
      </c>
      <c r="J750">
        <v>60014171</v>
      </c>
      <c r="K750" t="s">
        <v>4671</v>
      </c>
      <c r="L750" t="s">
        <v>4670</v>
      </c>
      <c r="M750" t="s">
        <v>508</v>
      </c>
      <c r="N750">
        <v>2</v>
      </c>
      <c r="O750" t="s">
        <v>4669</v>
      </c>
      <c r="P750" t="s">
        <v>4668</v>
      </c>
      <c r="Q750" t="s">
        <v>4667</v>
      </c>
      <c r="R750" s="7">
        <v>33970</v>
      </c>
      <c r="S750" s="8">
        <f t="shared" si="88"/>
        <v>1993</v>
      </c>
      <c r="T750" s="8">
        <v>1993</v>
      </c>
      <c r="U750" s="8">
        <f t="shared" si="89"/>
        <v>29</v>
      </c>
      <c r="V750" s="7">
        <v>34121</v>
      </c>
      <c r="W750" t="s">
        <v>814</v>
      </c>
      <c r="X750" s="2">
        <v>1.6519999999999999</v>
      </c>
      <c r="Y750" s="6">
        <f t="shared" si="94"/>
        <v>4.409919649769093E-2</v>
      </c>
      <c r="AA750" t="s">
        <v>813</v>
      </c>
      <c r="AB750">
        <v>17337</v>
      </c>
      <c r="AC750">
        <v>15582221</v>
      </c>
      <c r="AD750" t="s">
        <v>5</v>
      </c>
      <c r="AE750">
        <v>41</v>
      </c>
      <c r="AF750">
        <v>6</v>
      </c>
      <c r="AH750" t="s">
        <v>4666</v>
      </c>
      <c r="AI750" t="s">
        <v>4665</v>
      </c>
      <c r="AK750" t="s">
        <v>4664</v>
      </c>
      <c r="AL750">
        <v>58</v>
      </c>
      <c r="AM750" s="5">
        <f t="shared" si="90"/>
        <v>2</v>
      </c>
      <c r="AN750" s="4">
        <f t="shared" si="95"/>
        <v>3.0291556228701248E-3</v>
      </c>
      <c r="AO750" s="3"/>
      <c r="AP750">
        <v>0</v>
      </c>
      <c r="AR750" t="s">
        <v>1</v>
      </c>
      <c r="AT750" s="2" t="s">
        <v>0</v>
      </c>
      <c r="AU750" s="1">
        <f t="shared" si="91"/>
        <v>3.1778184235244686</v>
      </c>
      <c r="AV750" s="1">
        <f t="shared" si="92"/>
        <v>2.3564176060280526</v>
      </c>
      <c r="AW750" s="1">
        <f t="shared" si="93"/>
        <v>1.5350167885316366</v>
      </c>
    </row>
    <row r="751" spans="1:49" x14ac:dyDescent="0.2">
      <c r="A751">
        <v>749</v>
      </c>
      <c r="B751" t="s">
        <v>4663</v>
      </c>
      <c r="C751" t="s">
        <v>4662</v>
      </c>
      <c r="F751" t="s">
        <v>4661</v>
      </c>
      <c r="G751" t="s">
        <v>15</v>
      </c>
      <c r="H751" t="s">
        <v>14</v>
      </c>
      <c r="I751" t="s">
        <v>3200</v>
      </c>
      <c r="J751">
        <v>60020547</v>
      </c>
      <c r="K751" t="s">
        <v>3199</v>
      </c>
      <c r="L751" t="s">
        <v>3198</v>
      </c>
      <c r="M751" t="s">
        <v>10</v>
      </c>
      <c r="N751">
        <v>3</v>
      </c>
      <c r="O751" t="s">
        <v>4660</v>
      </c>
      <c r="P751" t="s">
        <v>3196</v>
      </c>
      <c r="Q751" t="s">
        <v>3195</v>
      </c>
      <c r="R751" s="7">
        <v>33970</v>
      </c>
      <c r="S751" s="8">
        <f t="shared" si="88"/>
        <v>1993</v>
      </c>
      <c r="T751" s="8">
        <v>1993</v>
      </c>
      <c r="U751" s="8">
        <f t="shared" si="89"/>
        <v>29</v>
      </c>
      <c r="V751" s="7">
        <v>34121</v>
      </c>
      <c r="W751" t="s">
        <v>1272</v>
      </c>
      <c r="X751" s="2">
        <v>0.94</v>
      </c>
      <c r="Y751" s="6">
        <f t="shared" si="94"/>
        <v>2.5092763140332611E-2</v>
      </c>
      <c r="AA751">
        <v>10518207</v>
      </c>
      <c r="AB751">
        <v>63372</v>
      </c>
      <c r="AD751" t="s">
        <v>5</v>
      </c>
      <c r="AE751">
        <v>3</v>
      </c>
      <c r="AF751">
        <v>6</v>
      </c>
      <c r="AH751" t="s">
        <v>4659</v>
      </c>
      <c r="AI751" t="s">
        <v>4658</v>
      </c>
      <c r="AK751" t="s">
        <v>4657</v>
      </c>
      <c r="AL751">
        <v>5</v>
      </c>
      <c r="AM751" s="5">
        <f t="shared" si="90"/>
        <v>0.17241379310344829</v>
      </c>
      <c r="AN751" s="4">
        <f t="shared" si="95"/>
        <v>2.6113410541983838E-4</v>
      </c>
      <c r="AO751" s="3"/>
      <c r="AP751">
        <v>0</v>
      </c>
      <c r="AQ751" t="s">
        <v>2475</v>
      </c>
      <c r="AR751" t="s">
        <v>1</v>
      </c>
      <c r="AS751" t="s">
        <v>2473</v>
      </c>
      <c r="AT751" s="2" t="s">
        <v>0</v>
      </c>
      <c r="AU751" s="1">
        <f t="shared" si="91"/>
        <v>1.7643274429858777</v>
      </c>
      <c r="AV751" s="1">
        <f t="shared" si="92"/>
        <v>1.2676948622876225</v>
      </c>
      <c r="AW751" s="1">
        <f t="shared" si="93"/>
        <v>0.77106228158936696</v>
      </c>
    </row>
    <row r="752" spans="1:49" x14ac:dyDescent="0.2">
      <c r="A752">
        <v>750</v>
      </c>
      <c r="B752" t="s">
        <v>4656</v>
      </c>
      <c r="C752" t="s">
        <v>4655</v>
      </c>
      <c r="F752" t="s">
        <v>4654</v>
      </c>
      <c r="G752" t="s">
        <v>15</v>
      </c>
      <c r="H752" t="s">
        <v>14</v>
      </c>
      <c r="I752" t="s">
        <v>4653</v>
      </c>
      <c r="J752">
        <v>60031544</v>
      </c>
      <c r="K752" t="s">
        <v>4652</v>
      </c>
      <c r="L752" t="s">
        <v>4651</v>
      </c>
      <c r="M752" t="s">
        <v>576</v>
      </c>
      <c r="N752">
        <v>4</v>
      </c>
      <c r="O752" t="s">
        <v>4650</v>
      </c>
      <c r="P752" t="s">
        <v>4649</v>
      </c>
      <c r="Q752" t="s">
        <v>4648</v>
      </c>
      <c r="R752" s="7">
        <v>33970</v>
      </c>
      <c r="S752" s="8">
        <f t="shared" si="88"/>
        <v>1993</v>
      </c>
      <c r="T752" s="8">
        <v>1993</v>
      </c>
      <c r="U752" s="8">
        <f t="shared" si="89"/>
        <v>29</v>
      </c>
      <c r="V752" s="7">
        <v>34121</v>
      </c>
      <c r="W752" t="s">
        <v>868</v>
      </c>
      <c r="X752" s="2">
        <v>0.375</v>
      </c>
      <c r="Y752" s="6">
        <f t="shared" si="94"/>
        <v>1.0010410827260351E-2</v>
      </c>
      <c r="AA752">
        <v>135194</v>
      </c>
      <c r="AB752">
        <v>24918</v>
      </c>
      <c r="AD752" t="s">
        <v>5</v>
      </c>
      <c r="AE752">
        <v>29</v>
      </c>
      <c r="AF752">
        <v>12</v>
      </c>
      <c r="AH752" t="s">
        <v>4647</v>
      </c>
      <c r="AI752" t="s">
        <v>4646</v>
      </c>
      <c r="AJ752" t="s">
        <v>4645</v>
      </c>
      <c r="AK752" t="s">
        <v>4644</v>
      </c>
      <c r="AL752">
        <v>3</v>
      </c>
      <c r="AM752" s="5">
        <f t="shared" si="90"/>
        <v>0.10344827586206896</v>
      </c>
      <c r="AN752" s="4">
        <f t="shared" si="95"/>
        <v>1.5668046325190301E-4</v>
      </c>
      <c r="AO752" s="3"/>
      <c r="AP752">
        <v>0</v>
      </c>
      <c r="AR752" t="s">
        <v>1</v>
      </c>
      <c r="AT752" s="2">
        <v>1.3140000000000001</v>
      </c>
      <c r="AU752" s="1">
        <f t="shared" si="91"/>
        <v>0.70542917180578169</v>
      </c>
      <c r="AV752" s="1">
        <f t="shared" si="92"/>
        <v>0.50835456452561267</v>
      </c>
      <c r="AW752" s="1">
        <f t="shared" si="93"/>
        <v>0.31127995724544377</v>
      </c>
    </row>
    <row r="753" spans="1:49" x14ac:dyDescent="0.2">
      <c r="A753">
        <v>751</v>
      </c>
      <c r="B753" t="s">
        <v>4643</v>
      </c>
      <c r="C753" t="s">
        <v>4642</v>
      </c>
      <c r="F753" t="s">
        <v>4641</v>
      </c>
      <c r="G753" t="s">
        <v>15</v>
      </c>
      <c r="H753" t="s">
        <v>14</v>
      </c>
      <c r="I753" t="s">
        <v>4640</v>
      </c>
      <c r="J753" t="s">
        <v>4639</v>
      </c>
      <c r="K753" t="s">
        <v>4638</v>
      </c>
      <c r="L753" t="s">
        <v>4637</v>
      </c>
      <c r="M753" t="s">
        <v>4636</v>
      </c>
      <c r="N753">
        <v>3</v>
      </c>
      <c r="O753" t="s">
        <v>4635</v>
      </c>
      <c r="P753" t="s">
        <v>4634</v>
      </c>
      <c r="Q753" t="s">
        <v>4633</v>
      </c>
      <c r="R753" s="7">
        <v>33970</v>
      </c>
      <c r="S753" s="8">
        <f t="shared" si="88"/>
        <v>1993</v>
      </c>
      <c r="T753" s="8">
        <v>1993</v>
      </c>
      <c r="U753" s="8">
        <f t="shared" si="89"/>
        <v>29</v>
      </c>
      <c r="V753" s="7">
        <v>34121</v>
      </c>
      <c r="W753" t="s">
        <v>868</v>
      </c>
      <c r="X753" s="2">
        <v>0.375</v>
      </c>
      <c r="Y753" s="6">
        <f t="shared" si="94"/>
        <v>1.0010410827260351E-2</v>
      </c>
      <c r="AA753">
        <v>135194</v>
      </c>
      <c r="AB753">
        <v>24918</v>
      </c>
      <c r="AD753" t="s">
        <v>5</v>
      </c>
      <c r="AE753">
        <v>29</v>
      </c>
      <c r="AF753">
        <v>12</v>
      </c>
      <c r="AH753" t="s">
        <v>4632</v>
      </c>
      <c r="AI753" t="s">
        <v>4631</v>
      </c>
      <c r="AJ753" t="s">
        <v>4630</v>
      </c>
      <c r="AK753" t="s">
        <v>4629</v>
      </c>
      <c r="AL753">
        <v>17</v>
      </c>
      <c r="AM753" s="5">
        <f t="shared" si="90"/>
        <v>0.58620689655172409</v>
      </c>
      <c r="AN753" s="4">
        <f t="shared" si="95"/>
        <v>8.8785595842745036E-4</v>
      </c>
      <c r="AO753" s="3"/>
      <c r="AP753">
        <v>0</v>
      </c>
      <c r="AR753" t="s">
        <v>1</v>
      </c>
      <c r="AT753" s="2">
        <v>1.3140000000000001</v>
      </c>
      <c r="AU753" s="1">
        <f t="shared" si="91"/>
        <v>0.72736443666104811</v>
      </c>
      <c r="AV753" s="1">
        <f t="shared" si="92"/>
        <v>0.54491333928439012</v>
      </c>
      <c r="AW753" s="1">
        <f t="shared" si="93"/>
        <v>0.36246224190773202</v>
      </c>
    </row>
    <row r="754" spans="1:49" x14ac:dyDescent="0.2">
      <c r="A754">
        <v>752</v>
      </c>
      <c r="B754" t="s">
        <v>4628</v>
      </c>
      <c r="C754" t="s">
        <v>4627</v>
      </c>
      <c r="F754" t="s">
        <v>4626</v>
      </c>
      <c r="G754" t="s">
        <v>15</v>
      </c>
      <c r="H754" t="s">
        <v>14</v>
      </c>
      <c r="I754" t="s">
        <v>2744</v>
      </c>
      <c r="J754">
        <v>60017103</v>
      </c>
      <c r="K754" t="s">
        <v>2743</v>
      </c>
      <c r="L754" t="s">
        <v>2742</v>
      </c>
      <c r="M754" t="s">
        <v>521</v>
      </c>
      <c r="N754">
        <v>2</v>
      </c>
      <c r="O754" t="s">
        <v>4625</v>
      </c>
      <c r="P754" t="s">
        <v>4624</v>
      </c>
      <c r="Q754" t="s">
        <v>4623</v>
      </c>
      <c r="R754" s="7">
        <v>33970</v>
      </c>
      <c r="S754" s="8">
        <f t="shared" si="88"/>
        <v>1993</v>
      </c>
      <c r="T754" s="8">
        <v>1993</v>
      </c>
      <c r="U754" s="8">
        <f t="shared" si="89"/>
        <v>29</v>
      </c>
      <c r="V754" s="7">
        <v>34121</v>
      </c>
      <c r="W754" t="s">
        <v>868</v>
      </c>
      <c r="X754" s="2">
        <v>0.375</v>
      </c>
      <c r="Y754" s="6">
        <f t="shared" si="94"/>
        <v>1.0010410827260351E-2</v>
      </c>
      <c r="AA754">
        <v>135194</v>
      </c>
      <c r="AB754">
        <v>24918</v>
      </c>
      <c r="AD754" t="s">
        <v>5</v>
      </c>
      <c r="AE754">
        <v>29</v>
      </c>
      <c r="AF754">
        <v>12</v>
      </c>
      <c r="AH754" t="s">
        <v>4622</v>
      </c>
      <c r="AI754" t="s">
        <v>4621</v>
      </c>
      <c r="AJ754" t="s">
        <v>4620</v>
      </c>
      <c r="AK754" t="s">
        <v>4619</v>
      </c>
      <c r="AL754">
        <v>101</v>
      </c>
      <c r="AM754" s="5">
        <f t="shared" si="90"/>
        <v>3.4827586206896552</v>
      </c>
      <c r="AN754" s="4">
        <f t="shared" si="95"/>
        <v>5.2749089294807346E-3</v>
      </c>
      <c r="AO754" s="3"/>
      <c r="AP754">
        <v>0</v>
      </c>
      <c r="AR754" t="s">
        <v>1</v>
      </c>
      <c r="AT754" s="2">
        <v>1.3140000000000001</v>
      </c>
      <c r="AU754" s="1">
        <f t="shared" si="91"/>
        <v>0.85897602579264665</v>
      </c>
      <c r="AV754" s="1">
        <f t="shared" si="92"/>
        <v>0.76426598783705424</v>
      </c>
      <c r="AW754" s="1">
        <f t="shared" si="93"/>
        <v>0.66955594988146194</v>
      </c>
    </row>
    <row r="755" spans="1:49" x14ac:dyDescent="0.2">
      <c r="A755">
        <v>753</v>
      </c>
      <c r="B755" t="s">
        <v>4618</v>
      </c>
      <c r="C755" t="s">
        <v>4617</v>
      </c>
      <c r="F755" t="s">
        <v>4616</v>
      </c>
      <c r="G755" t="s">
        <v>15</v>
      </c>
      <c r="H755" t="s">
        <v>14</v>
      </c>
      <c r="I755" t="s">
        <v>4615</v>
      </c>
      <c r="J755">
        <v>60103653</v>
      </c>
      <c r="K755" t="s">
        <v>4614</v>
      </c>
      <c r="L755" t="s">
        <v>4613</v>
      </c>
      <c r="M755" t="s">
        <v>4612</v>
      </c>
      <c r="N755">
        <v>2</v>
      </c>
      <c r="O755" t="s">
        <v>4611</v>
      </c>
      <c r="P755" t="s">
        <v>4610</v>
      </c>
      <c r="Q755" t="s">
        <v>4609</v>
      </c>
      <c r="R755" s="7">
        <v>33970</v>
      </c>
      <c r="S755" s="8">
        <f t="shared" si="88"/>
        <v>1993</v>
      </c>
      <c r="T755" s="8">
        <v>1993</v>
      </c>
      <c r="U755" s="8">
        <f t="shared" si="89"/>
        <v>29</v>
      </c>
      <c r="V755" s="7">
        <v>34121</v>
      </c>
      <c r="W755" t="s">
        <v>868</v>
      </c>
      <c r="X755" s="2">
        <v>0.375</v>
      </c>
      <c r="Y755" s="6">
        <f t="shared" si="94"/>
        <v>1.0010410827260351E-2</v>
      </c>
      <c r="AA755">
        <v>135194</v>
      </c>
      <c r="AB755">
        <v>24918</v>
      </c>
      <c r="AD755" t="s">
        <v>5</v>
      </c>
      <c r="AE755">
        <v>29</v>
      </c>
      <c r="AF755">
        <v>12</v>
      </c>
      <c r="AH755" t="s">
        <v>4608</v>
      </c>
      <c r="AI755" t="s">
        <v>4607</v>
      </c>
      <c r="AJ755" t="s">
        <v>4606</v>
      </c>
      <c r="AK755" t="s">
        <v>4605</v>
      </c>
      <c r="AL755">
        <v>58</v>
      </c>
      <c r="AM755" s="5">
        <f t="shared" si="90"/>
        <v>2</v>
      </c>
      <c r="AN755" s="4">
        <f t="shared" si="95"/>
        <v>3.0291556228701248E-3</v>
      </c>
      <c r="AO755" s="3"/>
      <c r="AP755">
        <v>0</v>
      </c>
      <c r="AR755" t="s">
        <v>1</v>
      </c>
      <c r="AT755" s="2">
        <v>1.3140000000000001</v>
      </c>
      <c r="AU755" s="1">
        <f t="shared" si="91"/>
        <v>0.79160342659432836</v>
      </c>
      <c r="AV755" s="1">
        <f t="shared" si="92"/>
        <v>0.65197832250652388</v>
      </c>
      <c r="AW755" s="1">
        <f t="shared" si="93"/>
        <v>0.51235321841871928</v>
      </c>
    </row>
    <row r="756" spans="1:49" x14ac:dyDescent="0.2">
      <c r="A756">
        <v>754</v>
      </c>
      <c r="B756" t="s">
        <v>4604</v>
      </c>
      <c r="C756" t="s">
        <v>4603</v>
      </c>
      <c r="F756" t="s">
        <v>4602</v>
      </c>
      <c r="G756" t="s">
        <v>15</v>
      </c>
      <c r="H756" t="s">
        <v>14</v>
      </c>
      <c r="I756" t="s">
        <v>4601</v>
      </c>
      <c r="N756">
        <v>1</v>
      </c>
      <c r="O756" t="s">
        <v>4600</v>
      </c>
      <c r="P756">
        <v>6602869948</v>
      </c>
      <c r="R756" s="7">
        <v>33970</v>
      </c>
      <c r="S756" s="8">
        <f t="shared" si="88"/>
        <v>1993</v>
      </c>
      <c r="T756" s="8">
        <v>1993</v>
      </c>
      <c r="U756" s="8">
        <f t="shared" si="89"/>
        <v>29</v>
      </c>
      <c r="V756" s="7" t="s">
        <v>4599</v>
      </c>
      <c r="W756" t="s">
        <v>4598</v>
      </c>
      <c r="X756" s="2" t="s">
        <v>0</v>
      </c>
      <c r="Y756" s="6" t="e">
        <f t="shared" si="94"/>
        <v>#VALUE!</v>
      </c>
      <c r="AA756">
        <v>281522</v>
      </c>
      <c r="AB756">
        <v>12174</v>
      </c>
      <c r="AC756">
        <v>21614296</v>
      </c>
      <c r="AD756" t="s">
        <v>5</v>
      </c>
      <c r="AE756">
        <v>40</v>
      </c>
      <c r="AF756">
        <v>2</v>
      </c>
      <c r="AH756" t="s">
        <v>4597</v>
      </c>
      <c r="AI756" t="s">
        <v>4596</v>
      </c>
      <c r="AK756" t="s">
        <v>4595</v>
      </c>
      <c r="AL756">
        <v>9</v>
      </c>
      <c r="AM756" s="5">
        <f t="shared" si="90"/>
        <v>0.31034482758620691</v>
      </c>
      <c r="AN756" s="4">
        <f t="shared" si="95"/>
        <v>4.7004138975570908E-4</v>
      </c>
      <c r="AO756" s="3"/>
      <c r="AP756">
        <v>0</v>
      </c>
      <c r="AR756" t="s">
        <v>1</v>
      </c>
      <c r="AT756" s="2" t="s">
        <v>0</v>
      </c>
      <c r="AU756" s="1" t="e">
        <f t="shared" si="91"/>
        <v>#VALUE!</v>
      </c>
      <c r="AV756" s="1" t="e">
        <f t="shared" si="92"/>
        <v>#VALUE!</v>
      </c>
      <c r="AW756" s="1" t="e">
        <f t="shared" si="93"/>
        <v>#VALUE!</v>
      </c>
    </row>
    <row r="757" spans="1:49" x14ac:dyDescent="0.2">
      <c r="A757">
        <v>755</v>
      </c>
      <c r="B757" t="s">
        <v>4594</v>
      </c>
      <c r="C757" t="s">
        <v>4593</v>
      </c>
      <c r="F757" t="s">
        <v>4592</v>
      </c>
      <c r="G757" t="s">
        <v>15</v>
      </c>
      <c r="H757" t="s">
        <v>14</v>
      </c>
      <c r="I757" t="s">
        <v>4591</v>
      </c>
      <c r="J757">
        <v>60032882</v>
      </c>
      <c r="K757" t="s">
        <v>4404</v>
      </c>
      <c r="L757" t="s">
        <v>4403</v>
      </c>
      <c r="M757" t="s">
        <v>721</v>
      </c>
      <c r="N757">
        <v>1</v>
      </c>
      <c r="O757" t="s">
        <v>4590</v>
      </c>
      <c r="P757">
        <v>16415286000</v>
      </c>
      <c r="Q757">
        <v>60032882</v>
      </c>
      <c r="R757" s="7">
        <v>33970</v>
      </c>
      <c r="S757" s="8">
        <f t="shared" si="88"/>
        <v>1993</v>
      </c>
      <c r="T757" s="8">
        <v>1993</v>
      </c>
      <c r="U757" s="8">
        <f t="shared" si="89"/>
        <v>29</v>
      </c>
      <c r="V757" s="7">
        <v>34121</v>
      </c>
      <c r="W757" t="s">
        <v>868</v>
      </c>
      <c r="X757" s="2">
        <v>0.375</v>
      </c>
      <c r="Y757" s="6">
        <f t="shared" si="94"/>
        <v>1.0010410827260351E-2</v>
      </c>
      <c r="AA757">
        <v>135194</v>
      </c>
      <c r="AB757">
        <v>24918</v>
      </c>
      <c r="AD757" t="s">
        <v>5</v>
      </c>
      <c r="AE757">
        <v>29</v>
      </c>
      <c r="AF757">
        <v>13</v>
      </c>
      <c r="AH757" t="s">
        <v>4589</v>
      </c>
      <c r="AI757" t="s">
        <v>4588</v>
      </c>
      <c r="AJ757" t="s">
        <v>4587</v>
      </c>
      <c r="AK757" t="s">
        <v>4586</v>
      </c>
      <c r="AL757">
        <v>7</v>
      </c>
      <c r="AM757" s="5">
        <f t="shared" si="90"/>
        <v>0.2413793103448276</v>
      </c>
      <c r="AN757" s="4">
        <f t="shared" si="95"/>
        <v>3.655877475877737E-4</v>
      </c>
      <c r="AO757" s="3"/>
      <c r="AP757">
        <v>0</v>
      </c>
      <c r="AR757" t="s">
        <v>1</v>
      </c>
      <c r="AT757" s="2">
        <v>1.3140000000000001</v>
      </c>
      <c r="AU757" s="1">
        <f t="shared" si="91"/>
        <v>0.71169639033585774</v>
      </c>
      <c r="AV757" s="1">
        <f t="shared" si="92"/>
        <v>0.51879992874240621</v>
      </c>
      <c r="AW757" s="1">
        <f t="shared" si="93"/>
        <v>0.32590346714895468</v>
      </c>
    </row>
    <row r="758" spans="1:49" x14ac:dyDescent="0.2">
      <c r="A758">
        <v>756</v>
      </c>
      <c r="B758" t="s">
        <v>4585</v>
      </c>
      <c r="C758" t="s">
        <v>4584</v>
      </c>
      <c r="F758" t="s">
        <v>4583</v>
      </c>
      <c r="G758" t="s">
        <v>15</v>
      </c>
      <c r="H758" t="s">
        <v>14</v>
      </c>
      <c r="I758" t="s">
        <v>4416</v>
      </c>
      <c r="J758" t="s">
        <v>4582</v>
      </c>
      <c r="K758" t="s">
        <v>4581</v>
      </c>
      <c r="L758" t="s">
        <v>4580</v>
      </c>
      <c r="M758" t="s">
        <v>4579</v>
      </c>
      <c r="N758">
        <v>2</v>
      </c>
      <c r="O758" t="s">
        <v>4578</v>
      </c>
      <c r="P758" t="s">
        <v>4577</v>
      </c>
      <c r="Q758" t="s">
        <v>4576</v>
      </c>
      <c r="R758" s="7">
        <v>33970</v>
      </c>
      <c r="S758" s="8">
        <f t="shared" si="88"/>
        <v>1993</v>
      </c>
      <c r="T758" s="8">
        <v>1993</v>
      </c>
      <c r="U758" s="8">
        <f t="shared" si="89"/>
        <v>29</v>
      </c>
      <c r="V758" s="7">
        <v>34121</v>
      </c>
      <c r="W758" t="s">
        <v>868</v>
      </c>
      <c r="X758" s="2">
        <v>0.375</v>
      </c>
      <c r="Y758" s="6">
        <f t="shared" si="94"/>
        <v>1.0010410827260351E-2</v>
      </c>
      <c r="AA758">
        <v>135194</v>
      </c>
      <c r="AB758">
        <v>24918</v>
      </c>
      <c r="AD758" t="s">
        <v>5</v>
      </c>
      <c r="AE758">
        <v>29</v>
      </c>
      <c r="AF758">
        <v>13</v>
      </c>
      <c r="AH758" t="s">
        <v>4575</v>
      </c>
      <c r="AI758" t="s">
        <v>4574</v>
      </c>
      <c r="AJ758" t="s">
        <v>4573</v>
      </c>
      <c r="AK758" t="s">
        <v>4572</v>
      </c>
      <c r="AL758">
        <v>16</v>
      </c>
      <c r="AM758" s="5">
        <f t="shared" si="90"/>
        <v>0.55172413793103448</v>
      </c>
      <c r="AN758" s="4">
        <f t="shared" si="95"/>
        <v>8.3562913734348278E-4</v>
      </c>
      <c r="AO758" s="3"/>
      <c r="AP758">
        <v>0</v>
      </c>
      <c r="AR758" t="s">
        <v>1</v>
      </c>
      <c r="AT758" s="2">
        <v>1.3140000000000001</v>
      </c>
      <c r="AU758" s="1">
        <f t="shared" si="91"/>
        <v>0.72579763202852909</v>
      </c>
      <c r="AV758" s="1">
        <f t="shared" si="92"/>
        <v>0.54230199823019176</v>
      </c>
      <c r="AW758" s="1">
        <f t="shared" si="93"/>
        <v>0.35880636443185426</v>
      </c>
    </row>
    <row r="759" spans="1:49" x14ac:dyDescent="0.2">
      <c r="A759">
        <v>757</v>
      </c>
      <c r="B759" t="s">
        <v>4571</v>
      </c>
      <c r="C759" t="s">
        <v>4570</v>
      </c>
      <c r="F759" t="s">
        <v>4569</v>
      </c>
      <c r="G759" t="s">
        <v>15</v>
      </c>
      <c r="H759" t="s">
        <v>14</v>
      </c>
      <c r="I759" t="s">
        <v>4568</v>
      </c>
      <c r="J759">
        <v>60006288</v>
      </c>
      <c r="K759" t="s">
        <v>4567</v>
      </c>
      <c r="L759" t="s">
        <v>4566</v>
      </c>
      <c r="M759" t="s">
        <v>721</v>
      </c>
      <c r="N759">
        <v>2</v>
      </c>
      <c r="O759" t="s">
        <v>4565</v>
      </c>
      <c r="P759" t="s">
        <v>4564</v>
      </c>
      <c r="Q759" t="s">
        <v>4563</v>
      </c>
      <c r="R759" s="7">
        <v>33970</v>
      </c>
      <c r="S759" s="8">
        <f t="shared" si="88"/>
        <v>1993</v>
      </c>
      <c r="T759" s="8">
        <v>1993</v>
      </c>
      <c r="U759" s="8">
        <f t="shared" si="89"/>
        <v>29</v>
      </c>
      <c r="V759" s="7">
        <v>34121</v>
      </c>
      <c r="W759" t="s">
        <v>868</v>
      </c>
      <c r="X759" s="2">
        <v>0.375</v>
      </c>
      <c r="Y759" s="6">
        <f t="shared" si="94"/>
        <v>1.0010410827260351E-2</v>
      </c>
      <c r="AA759">
        <v>135194</v>
      </c>
      <c r="AB759">
        <v>24918</v>
      </c>
      <c r="AD759" t="s">
        <v>5</v>
      </c>
      <c r="AE759">
        <v>29</v>
      </c>
      <c r="AF759">
        <v>12</v>
      </c>
      <c r="AH759" t="s">
        <v>4562</v>
      </c>
      <c r="AI759" t="s">
        <v>4561</v>
      </c>
      <c r="AJ759" t="s">
        <v>4560</v>
      </c>
      <c r="AK759" t="s">
        <v>4559</v>
      </c>
      <c r="AL759">
        <v>0</v>
      </c>
      <c r="AM759" s="5">
        <f t="shared" si="90"/>
        <v>0</v>
      </c>
      <c r="AN759" s="4">
        <f t="shared" si="95"/>
        <v>0</v>
      </c>
      <c r="AO759" s="3"/>
      <c r="AP759">
        <v>0</v>
      </c>
      <c r="AR759" t="s">
        <v>1</v>
      </c>
      <c r="AT759" s="2">
        <v>1.3140000000000001</v>
      </c>
      <c r="AU759" s="1">
        <f t="shared" si="91"/>
        <v>0.70072875790822453</v>
      </c>
      <c r="AV759" s="1">
        <f t="shared" si="92"/>
        <v>0.5005205413630176</v>
      </c>
      <c r="AW759" s="1">
        <f t="shared" si="93"/>
        <v>0.30031232481781051</v>
      </c>
    </row>
    <row r="760" spans="1:49" x14ac:dyDescent="0.2">
      <c r="A760">
        <v>758</v>
      </c>
      <c r="B760" t="s">
        <v>4558</v>
      </c>
      <c r="C760" t="s">
        <v>4557</v>
      </c>
      <c r="F760" t="s">
        <v>4556</v>
      </c>
      <c r="G760" t="s">
        <v>15</v>
      </c>
      <c r="H760" t="s">
        <v>14</v>
      </c>
      <c r="I760" t="s">
        <v>4555</v>
      </c>
      <c r="J760" t="s">
        <v>4554</v>
      </c>
      <c r="K760" t="s">
        <v>4553</v>
      </c>
      <c r="L760" t="s">
        <v>4552</v>
      </c>
      <c r="M760" t="s">
        <v>235</v>
      </c>
      <c r="N760">
        <v>2</v>
      </c>
      <c r="O760" t="s">
        <v>4551</v>
      </c>
      <c r="P760" t="s">
        <v>4550</v>
      </c>
      <c r="Q760" t="s">
        <v>4549</v>
      </c>
      <c r="R760" s="7">
        <v>33970</v>
      </c>
      <c r="S760" s="8">
        <f t="shared" si="88"/>
        <v>1993</v>
      </c>
      <c r="T760" s="8">
        <v>1993</v>
      </c>
      <c r="U760" s="8">
        <f t="shared" si="89"/>
        <v>29</v>
      </c>
      <c r="V760" s="7">
        <v>34121</v>
      </c>
      <c r="W760" t="s">
        <v>814</v>
      </c>
      <c r="X760" s="2">
        <v>1.6519999999999999</v>
      </c>
      <c r="Y760" s="6">
        <f t="shared" si="94"/>
        <v>4.409919649769093E-2</v>
      </c>
      <c r="AA760" t="s">
        <v>813</v>
      </c>
      <c r="AB760">
        <v>17337</v>
      </c>
      <c r="AC760">
        <v>15582221</v>
      </c>
      <c r="AD760" t="s">
        <v>5</v>
      </c>
      <c r="AE760">
        <v>41</v>
      </c>
      <c r="AF760">
        <v>6</v>
      </c>
      <c r="AH760" t="s">
        <v>4548</v>
      </c>
      <c r="AI760" t="s">
        <v>4547</v>
      </c>
      <c r="AK760" t="s">
        <v>4546</v>
      </c>
      <c r="AL760">
        <v>51</v>
      </c>
      <c r="AM760" s="5">
        <f t="shared" si="90"/>
        <v>1.7586206896551724</v>
      </c>
      <c r="AN760" s="4">
        <f t="shared" si="95"/>
        <v>2.6635678752823513E-3</v>
      </c>
      <c r="AO760" s="3"/>
      <c r="AP760">
        <v>0</v>
      </c>
      <c r="AR760" t="s">
        <v>1</v>
      </c>
      <c r="AT760" s="2" t="s">
        <v>0</v>
      </c>
      <c r="AU760" s="1">
        <f t="shared" si="91"/>
        <v>3.1668507910968353</v>
      </c>
      <c r="AV760" s="1">
        <f t="shared" si="92"/>
        <v>2.3381382186486643</v>
      </c>
      <c r="AW760" s="1">
        <f t="shared" si="93"/>
        <v>1.5094256462004925</v>
      </c>
    </row>
    <row r="761" spans="1:49" x14ac:dyDescent="0.2">
      <c r="A761">
        <v>759</v>
      </c>
      <c r="B761" t="s">
        <v>4545</v>
      </c>
      <c r="C761" t="s">
        <v>4544</v>
      </c>
      <c r="F761" t="s">
        <v>4543</v>
      </c>
      <c r="G761" t="s">
        <v>15</v>
      </c>
      <c r="H761" t="s">
        <v>14</v>
      </c>
      <c r="I761" t="s">
        <v>4542</v>
      </c>
      <c r="J761">
        <v>60027090</v>
      </c>
      <c r="K761" t="s">
        <v>2907</v>
      </c>
      <c r="L761" t="s">
        <v>2906</v>
      </c>
      <c r="M761" t="s">
        <v>10</v>
      </c>
      <c r="N761">
        <v>2</v>
      </c>
      <c r="O761" t="s">
        <v>4541</v>
      </c>
      <c r="P761" t="s">
        <v>4540</v>
      </c>
      <c r="Q761" t="s">
        <v>2903</v>
      </c>
      <c r="R761" s="7">
        <v>33970</v>
      </c>
      <c r="S761" s="8">
        <f t="shared" si="88"/>
        <v>1993</v>
      </c>
      <c r="T761" s="8">
        <v>1993</v>
      </c>
      <c r="U761" s="8">
        <f t="shared" si="89"/>
        <v>29</v>
      </c>
      <c r="V761" s="7">
        <v>34121</v>
      </c>
      <c r="W761" t="s">
        <v>814</v>
      </c>
      <c r="X761" s="2">
        <v>1.6519999999999999</v>
      </c>
      <c r="Y761" s="6">
        <f t="shared" si="94"/>
        <v>4.409919649769093E-2</v>
      </c>
      <c r="AA761" t="s">
        <v>813</v>
      </c>
      <c r="AB761">
        <v>17337</v>
      </c>
      <c r="AC761">
        <v>15582221</v>
      </c>
      <c r="AD761" t="s">
        <v>5</v>
      </c>
      <c r="AE761">
        <v>41</v>
      </c>
      <c r="AF761">
        <v>6</v>
      </c>
      <c r="AH761" t="s">
        <v>4539</v>
      </c>
      <c r="AI761" t="s">
        <v>4538</v>
      </c>
      <c r="AK761" t="s">
        <v>4537</v>
      </c>
      <c r="AL761">
        <v>5</v>
      </c>
      <c r="AM761" s="5">
        <f t="shared" si="90"/>
        <v>0.17241379310344829</v>
      </c>
      <c r="AN761" s="4">
        <f t="shared" si="95"/>
        <v>2.6113410541983838E-4</v>
      </c>
      <c r="AO761" s="3"/>
      <c r="AP761">
        <v>0</v>
      </c>
      <c r="AQ761" t="s">
        <v>4536</v>
      </c>
      <c r="AR761" t="s">
        <v>1</v>
      </c>
      <c r="AS761" t="s">
        <v>4535</v>
      </c>
      <c r="AT761" s="2" t="s">
        <v>0</v>
      </c>
      <c r="AU761" s="1">
        <f t="shared" si="91"/>
        <v>3.0947777780009602</v>
      </c>
      <c r="AV761" s="1">
        <f t="shared" si="92"/>
        <v>2.2180165301555381</v>
      </c>
      <c r="AW761" s="1">
        <f t="shared" si="93"/>
        <v>1.3412552823101165</v>
      </c>
    </row>
    <row r="762" spans="1:49" x14ac:dyDescent="0.2">
      <c r="A762">
        <v>760</v>
      </c>
      <c r="B762" t="s">
        <v>4534</v>
      </c>
      <c r="C762" t="s">
        <v>4533</v>
      </c>
      <c r="F762" t="s">
        <v>4532</v>
      </c>
      <c r="G762" t="s">
        <v>15</v>
      </c>
      <c r="H762" t="s">
        <v>14</v>
      </c>
      <c r="I762" t="s">
        <v>4531</v>
      </c>
      <c r="J762">
        <v>60029714</v>
      </c>
      <c r="K762" t="s">
        <v>4530</v>
      </c>
      <c r="L762" t="s">
        <v>4529</v>
      </c>
      <c r="M762" t="s">
        <v>2371</v>
      </c>
      <c r="N762">
        <v>1</v>
      </c>
      <c r="O762" t="s">
        <v>4528</v>
      </c>
      <c r="P762">
        <v>35577624800</v>
      </c>
      <c r="Q762">
        <v>60029714</v>
      </c>
      <c r="R762" s="7">
        <v>33970</v>
      </c>
      <c r="S762" s="8">
        <f t="shared" si="88"/>
        <v>1993</v>
      </c>
      <c r="T762" s="8">
        <v>1993</v>
      </c>
      <c r="U762" s="8">
        <f t="shared" si="89"/>
        <v>29</v>
      </c>
      <c r="V762" s="7">
        <v>34121</v>
      </c>
      <c r="W762" t="s">
        <v>1272</v>
      </c>
      <c r="X762" s="2">
        <v>0.94</v>
      </c>
      <c r="Y762" s="6">
        <f t="shared" si="94"/>
        <v>2.5092763140332611E-2</v>
      </c>
      <c r="AA762">
        <v>10518207</v>
      </c>
      <c r="AB762">
        <v>63372</v>
      </c>
      <c r="AD762" t="s">
        <v>5</v>
      </c>
      <c r="AE762">
        <v>3</v>
      </c>
      <c r="AF762">
        <v>6</v>
      </c>
      <c r="AH762" t="s">
        <v>4527</v>
      </c>
      <c r="AI762" t="s">
        <v>4526</v>
      </c>
      <c r="AK762" t="s">
        <v>4525</v>
      </c>
      <c r="AL762">
        <v>3</v>
      </c>
      <c r="AM762" s="5">
        <f t="shared" si="90"/>
        <v>0.10344827586206896</v>
      </c>
      <c r="AN762" s="4">
        <f t="shared" si="95"/>
        <v>1.5668046325190301E-4</v>
      </c>
      <c r="AO762" s="3"/>
      <c r="AP762">
        <v>0</v>
      </c>
      <c r="AR762" t="s">
        <v>1</v>
      </c>
      <c r="AT762" s="2" t="s">
        <v>0</v>
      </c>
      <c r="AU762" s="1">
        <f t="shared" si="91"/>
        <v>1.7611938337208397</v>
      </c>
      <c r="AV762" s="1">
        <f t="shared" si="92"/>
        <v>1.2624721801792256</v>
      </c>
      <c r="AW762" s="1">
        <f t="shared" si="93"/>
        <v>0.76375052663761145</v>
      </c>
    </row>
    <row r="763" spans="1:49" x14ac:dyDescent="0.2">
      <c r="A763">
        <v>761</v>
      </c>
      <c r="B763" t="s">
        <v>4524</v>
      </c>
      <c r="C763" t="s">
        <v>4523</v>
      </c>
      <c r="F763" t="s">
        <v>4522</v>
      </c>
      <c r="G763" t="s">
        <v>15</v>
      </c>
      <c r="H763" t="s">
        <v>14</v>
      </c>
      <c r="I763" t="s">
        <v>4521</v>
      </c>
      <c r="J763">
        <v>60012370</v>
      </c>
      <c r="K763" t="s">
        <v>4520</v>
      </c>
      <c r="L763" t="s">
        <v>4519</v>
      </c>
      <c r="M763" t="s">
        <v>1909</v>
      </c>
      <c r="N763">
        <v>2</v>
      </c>
      <c r="O763" t="s">
        <v>4518</v>
      </c>
      <c r="P763" t="s">
        <v>4517</v>
      </c>
      <c r="Q763" t="s">
        <v>4516</v>
      </c>
      <c r="R763" s="7">
        <v>33970</v>
      </c>
      <c r="S763" s="8">
        <f t="shared" si="88"/>
        <v>1993</v>
      </c>
      <c r="T763" s="8">
        <v>1993</v>
      </c>
      <c r="U763" s="8">
        <f t="shared" si="89"/>
        <v>29</v>
      </c>
      <c r="V763" s="7">
        <v>34121</v>
      </c>
      <c r="W763" t="s">
        <v>814</v>
      </c>
      <c r="X763" s="2">
        <v>1.6519999999999999</v>
      </c>
      <c r="Y763" s="6">
        <f t="shared" si="94"/>
        <v>4.409919649769093E-2</v>
      </c>
      <c r="AA763" t="s">
        <v>813</v>
      </c>
      <c r="AB763">
        <v>17337</v>
      </c>
      <c r="AC763">
        <v>15582221</v>
      </c>
      <c r="AD763" t="s">
        <v>5</v>
      </c>
      <c r="AE763">
        <v>41</v>
      </c>
      <c r="AF763">
        <v>6</v>
      </c>
      <c r="AH763" t="s">
        <v>4515</v>
      </c>
      <c r="AI763" t="s">
        <v>4514</v>
      </c>
      <c r="AK763" t="s">
        <v>4513</v>
      </c>
      <c r="AL763">
        <v>0</v>
      </c>
      <c r="AM763" s="5">
        <f t="shared" si="90"/>
        <v>0</v>
      </c>
      <c r="AN763" s="4">
        <f t="shared" si="95"/>
        <v>0</v>
      </c>
      <c r="AO763" s="3"/>
      <c r="AP763">
        <v>0</v>
      </c>
      <c r="AR763" t="s">
        <v>1</v>
      </c>
      <c r="AT763" s="2" t="s">
        <v>0</v>
      </c>
      <c r="AU763" s="1">
        <f t="shared" si="91"/>
        <v>3.0869437548383649</v>
      </c>
      <c r="AV763" s="1">
        <f t="shared" si="92"/>
        <v>2.2049598248845466</v>
      </c>
      <c r="AW763" s="1">
        <f t="shared" si="93"/>
        <v>1.3229758949307278</v>
      </c>
    </row>
    <row r="764" spans="1:49" x14ac:dyDescent="0.2">
      <c r="A764">
        <v>762</v>
      </c>
      <c r="B764" t="s">
        <v>4512</v>
      </c>
      <c r="C764" t="s">
        <v>4511</v>
      </c>
      <c r="F764" t="s">
        <v>4510</v>
      </c>
      <c r="G764" t="s">
        <v>15</v>
      </c>
      <c r="H764" t="s">
        <v>14</v>
      </c>
      <c r="I764" t="s">
        <v>4509</v>
      </c>
      <c r="J764">
        <v>60025578</v>
      </c>
      <c r="K764" t="s">
        <v>4508</v>
      </c>
      <c r="L764" t="s">
        <v>2960</v>
      </c>
      <c r="M764" t="s">
        <v>463</v>
      </c>
      <c r="N764">
        <v>4</v>
      </c>
      <c r="O764" t="s">
        <v>4507</v>
      </c>
      <c r="P764" t="s">
        <v>4506</v>
      </c>
      <c r="Q764" t="s">
        <v>4505</v>
      </c>
      <c r="R764" s="7">
        <v>33970</v>
      </c>
      <c r="S764" s="8">
        <f t="shared" si="88"/>
        <v>1993</v>
      </c>
      <c r="T764" s="8">
        <v>1993</v>
      </c>
      <c r="U764" s="8">
        <f t="shared" si="89"/>
        <v>29</v>
      </c>
      <c r="V764" s="7">
        <v>34121</v>
      </c>
      <c r="W764" t="s">
        <v>814</v>
      </c>
      <c r="X764" s="2">
        <v>1.6519999999999999</v>
      </c>
      <c r="Y764" s="6">
        <f t="shared" si="94"/>
        <v>4.409919649769093E-2</v>
      </c>
      <c r="AA764" t="s">
        <v>813</v>
      </c>
      <c r="AB764">
        <v>17337</v>
      </c>
      <c r="AC764">
        <v>15582221</v>
      </c>
      <c r="AD764" t="s">
        <v>5</v>
      </c>
      <c r="AE764">
        <v>41</v>
      </c>
      <c r="AF764">
        <v>6</v>
      </c>
      <c r="AH764" t="s">
        <v>4504</v>
      </c>
      <c r="AI764" t="s">
        <v>4503</v>
      </c>
      <c r="AK764" t="s">
        <v>4502</v>
      </c>
      <c r="AL764">
        <v>67</v>
      </c>
      <c r="AM764" s="5">
        <f t="shared" si="90"/>
        <v>2.3103448275862069</v>
      </c>
      <c r="AN764" s="4">
        <f t="shared" si="95"/>
        <v>3.4991970126258339E-3</v>
      </c>
      <c r="AO764" s="3"/>
      <c r="AP764">
        <v>0</v>
      </c>
      <c r="AR764" t="s">
        <v>1</v>
      </c>
      <c r="AT764" s="2" t="s">
        <v>0</v>
      </c>
      <c r="AU764" s="1">
        <f t="shared" si="91"/>
        <v>3.1919196652171395</v>
      </c>
      <c r="AV764" s="1">
        <f t="shared" si="92"/>
        <v>2.3799196755158381</v>
      </c>
      <c r="AW764" s="1">
        <f t="shared" si="93"/>
        <v>1.5679196858145359</v>
      </c>
    </row>
    <row r="765" spans="1:49" x14ac:dyDescent="0.2">
      <c r="A765">
        <v>763</v>
      </c>
      <c r="B765" t="s">
        <v>4501</v>
      </c>
      <c r="C765" t="s">
        <v>4500</v>
      </c>
      <c r="F765" t="s">
        <v>4499</v>
      </c>
      <c r="G765" t="s">
        <v>15</v>
      </c>
      <c r="H765" t="s">
        <v>14</v>
      </c>
      <c r="I765" t="s">
        <v>4498</v>
      </c>
      <c r="J765">
        <v>60010065</v>
      </c>
      <c r="K765" t="s">
        <v>1429</v>
      </c>
      <c r="L765" t="s">
        <v>1428</v>
      </c>
      <c r="M765" t="s">
        <v>10</v>
      </c>
      <c r="N765">
        <v>2</v>
      </c>
      <c r="O765" t="s">
        <v>4497</v>
      </c>
      <c r="P765" t="s">
        <v>4496</v>
      </c>
      <c r="Q765" t="s">
        <v>1425</v>
      </c>
      <c r="R765" s="7">
        <v>33970</v>
      </c>
      <c r="S765" s="8">
        <f t="shared" si="88"/>
        <v>1993</v>
      </c>
      <c r="T765" s="8">
        <v>1993</v>
      </c>
      <c r="U765" s="8">
        <f t="shared" si="89"/>
        <v>29</v>
      </c>
      <c r="V765" s="7">
        <v>34121</v>
      </c>
      <c r="W765" t="s">
        <v>814</v>
      </c>
      <c r="X765" s="2">
        <v>1.6519999999999999</v>
      </c>
      <c r="Y765" s="6">
        <f t="shared" si="94"/>
        <v>4.409919649769093E-2</v>
      </c>
      <c r="AA765" t="s">
        <v>813</v>
      </c>
      <c r="AB765">
        <v>17337</v>
      </c>
      <c r="AC765">
        <v>15582221</v>
      </c>
      <c r="AD765" t="s">
        <v>5</v>
      </c>
      <c r="AE765">
        <v>41</v>
      </c>
      <c r="AF765">
        <v>6</v>
      </c>
      <c r="AH765" t="s">
        <v>4495</v>
      </c>
      <c r="AI765" t="s">
        <v>4494</v>
      </c>
      <c r="AK765" t="s">
        <v>4493</v>
      </c>
      <c r="AL765">
        <v>2</v>
      </c>
      <c r="AM765" s="5">
        <f t="shared" si="90"/>
        <v>6.8965517241379309E-2</v>
      </c>
      <c r="AN765" s="4">
        <f t="shared" si="95"/>
        <v>1.0445364216793535E-4</v>
      </c>
      <c r="AO765" s="3"/>
      <c r="AP765">
        <v>0</v>
      </c>
      <c r="AR765" t="s">
        <v>1</v>
      </c>
      <c r="AT765" s="2" t="s">
        <v>0</v>
      </c>
      <c r="AU765" s="1">
        <f t="shared" si="91"/>
        <v>3.0900773641034029</v>
      </c>
      <c r="AV765" s="1">
        <f t="shared" si="92"/>
        <v>2.2101825069929433</v>
      </c>
      <c r="AW765" s="1">
        <f t="shared" si="93"/>
        <v>1.3302876498824832</v>
      </c>
    </row>
    <row r="766" spans="1:49" x14ac:dyDescent="0.2">
      <c r="A766">
        <v>764</v>
      </c>
      <c r="B766" t="s">
        <v>4492</v>
      </c>
      <c r="C766" t="s">
        <v>4491</v>
      </c>
      <c r="F766" t="s">
        <v>4490</v>
      </c>
      <c r="G766" t="s">
        <v>15</v>
      </c>
      <c r="H766" t="s">
        <v>14</v>
      </c>
      <c r="I766" t="s">
        <v>4489</v>
      </c>
      <c r="J766" t="s">
        <v>4488</v>
      </c>
      <c r="K766" t="s">
        <v>4487</v>
      </c>
      <c r="L766" t="s">
        <v>4486</v>
      </c>
      <c r="M766" t="s">
        <v>2341</v>
      </c>
      <c r="N766">
        <v>5</v>
      </c>
      <c r="O766" t="s">
        <v>4485</v>
      </c>
      <c r="P766" t="s">
        <v>4484</v>
      </c>
      <c r="Q766" t="s">
        <v>4483</v>
      </c>
      <c r="R766" s="7">
        <v>33970</v>
      </c>
      <c r="S766" s="8">
        <f t="shared" si="88"/>
        <v>1993</v>
      </c>
      <c r="T766" s="8">
        <v>1993</v>
      </c>
      <c r="U766" s="8">
        <f t="shared" si="89"/>
        <v>29</v>
      </c>
      <c r="V766" s="7">
        <v>34121</v>
      </c>
      <c r="W766" t="s">
        <v>4482</v>
      </c>
      <c r="X766" s="2">
        <v>0.46</v>
      </c>
      <c r="Y766" s="6">
        <f t="shared" si="94"/>
        <v>1.2279437281439364E-2</v>
      </c>
      <c r="AA766">
        <v>933813</v>
      </c>
      <c r="AB766">
        <v>28031</v>
      </c>
      <c r="AC766">
        <v>19399375</v>
      </c>
      <c r="AD766" t="s">
        <v>5</v>
      </c>
      <c r="AE766">
        <v>21</v>
      </c>
      <c r="AF766">
        <v>3</v>
      </c>
      <c r="AH766" t="s">
        <v>4481</v>
      </c>
      <c r="AI766" t="s">
        <v>4480</v>
      </c>
      <c r="AK766" t="s">
        <v>4479</v>
      </c>
      <c r="AL766">
        <v>4</v>
      </c>
      <c r="AM766" s="5">
        <f t="shared" si="90"/>
        <v>0.13793103448275862</v>
      </c>
      <c r="AN766" s="4">
        <f t="shared" si="95"/>
        <v>2.089072843358707E-4</v>
      </c>
      <c r="AO766" s="3"/>
      <c r="AP766">
        <v>0</v>
      </c>
      <c r="AR766" t="s">
        <v>1</v>
      </c>
      <c r="AT766" s="2">
        <v>1.222</v>
      </c>
      <c r="AU766" s="1">
        <f t="shared" si="91"/>
        <v>0.86582782823083138</v>
      </c>
      <c r="AV766" s="1">
        <f t="shared" si="92"/>
        <v>0.62441722828876167</v>
      </c>
      <c r="AW766" s="1">
        <f t="shared" si="93"/>
        <v>0.38300662834669186</v>
      </c>
    </row>
    <row r="767" spans="1:49" x14ac:dyDescent="0.2">
      <c r="A767">
        <v>765</v>
      </c>
      <c r="B767" t="s">
        <v>4478</v>
      </c>
      <c r="C767" t="s">
        <v>4477</v>
      </c>
      <c r="F767" t="s">
        <v>4476</v>
      </c>
      <c r="G767" t="s">
        <v>15</v>
      </c>
      <c r="H767" t="s">
        <v>14</v>
      </c>
      <c r="I767" t="s">
        <v>4475</v>
      </c>
      <c r="J767">
        <v>60001565</v>
      </c>
      <c r="K767" t="s">
        <v>4474</v>
      </c>
      <c r="L767" t="s">
        <v>4473</v>
      </c>
      <c r="M767" t="s">
        <v>2371</v>
      </c>
      <c r="N767">
        <v>1</v>
      </c>
      <c r="O767" t="s">
        <v>4472</v>
      </c>
      <c r="P767">
        <v>57196553118</v>
      </c>
      <c r="Q767">
        <v>60001565</v>
      </c>
      <c r="R767" s="7">
        <v>33970</v>
      </c>
      <c r="S767" s="8">
        <f t="shared" si="88"/>
        <v>1993</v>
      </c>
      <c r="T767" s="8">
        <v>1993</v>
      </c>
      <c r="U767" s="8">
        <f t="shared" si="89"/>
        <v>29</v>
      </c>
      <c r="V767" s="7">
        <v>34121</v>
      </c>
      <c r="W767" t="s">
        <v>299</v>
      </c>
      <c r="X767" s="2">
        <v>0.88100000000000001</v>
      </c>
      <c r="Y767" s="6">
        <f t="shared" si="94"/>
        <v>2.3517791836843653E-2</v>
      </c>
      <c r="AA767">
        <v>10459243</v>
      </c>
      <c r="AB767">
        <v>17248</v>
      </c>
      <c r="AD767" t="s">
        <v>5</v>
      </c>
      <c r="AE767">
        <v>35</v>
      </c>
      <c r="AF767">
        <v>3</v>
      </c>
      <c r="AH767" t="s">
        <v>4471</v>
      </c>
      <c r="AI767" t="s">
        <v>4470</v>
      </c>
      <c r="AK767" t="s">
        <v>4469</v>
      </c>
      <c r="AL767">
        <v>21</v>
      </c>
      <c r="AM767" s="5">
        <f t="shared" si="90"/>
        <v>0.72413793103448276</v>
      </c>
      <c r="AN767" s="4">
        <f t="shared" si="95"/>
        <v>1.0967632427633211E-3</v>
      </c>
      <c r="AO767" s="3"/>
      <c r="AP767">
        <v>0</v>
      </c>
      <c r="AR767" t="s">
        <v>1</v>
      </c>
      <c r="AT767" s="2" t="s">
        <v>0</v>
      </c>
      <c r="AU767" s="1">
        <f t="shared" si="91"/>
        <v>1.6791483258619553</v>
      </c>
      <c r="AV767" s="1">
        <f t="shared" si="92"/>
        <v>1.2307277539803487</v>
      </c>
      <c r="AW767" s="1">
        <f t="shared" si="93"/>
        <v>0.78230718209874195</v>
      </c>
    </row>
    <row r="768" spans="1:49" x14ac:dyDescent="0.2">
      <c r="A768">
        <v>766</v>
      </c>
      <c r="B768" t="s">
        <v>4468</v>
      </c>
      <c r="C768" t="s">
        <v>4467</v>
      </c>
      <c r="F768" t="s">
        <v>4466</v>
      </c>
      <c r="G768" t="s">
        <v>15</v>
      </c>
      <c r="H768" t="s">
        <v>14</v>
      </c>
      <c r="I768" t="s">
        <v>4465</v>
      </c>
      <c r="J768" t="s">
        <v>4464</v>
      </c>
      <c r="K768" t="s">
        <v>4463</v>
      </c>
      <c r="L768" t="s">
        <v>4462</v>
      </c>
      <c r="M768" t="s">
        <v>235</v>
      </c>
      <c r="N768">
        <v>3</v>
      </c>
      <c r="O768" t="s">
        <v>4461</v>
      </c>
      <c r="P768" t="s">
        <v>4460</v>
      </c>
      <c r="Q768" t="s">
        <v>4459</v>
      </c>
      <c r="R768" s="7">
        <v>33970</v>
      </c>
      <c r="S768" s="8">
        <f t="shared" si="88"/>
        <v>1993</v>
      </c>
      <c r="T768" s="8">
        <v>1993</v>
      </c>
      <c r="U768" s="8">
        <f t="shared" si="89"/>
        <v>29</v>
      </c>
      <c r="V768" s="7">
        <v>34121</v>
      </c>
      <c r="W768" t="s">
        <v>299</v>
      </c>
      <c r="X768" s="2">
        <v>0.88100000000000001</v>
      </c>
      <c r="Y768" s="6">
        <f t="shared" si="94"/>
        <v>2.3517791836843653E-2</v>
      </c>
      <c r="AA768">
        <v>10459243</v>
      </c>
      <c r="AB768">
        <v>17248</v>
      </c>
      <c r="AD768" t="s">
        <v>5</v>
      </c>
      <c r="AE768">
        <v>35</v>
      </c>
      <c r="AF768">
        <v>3</v>
      </c>
      <c r="AH768" s="9">
        <v>44537</v>
      </c>
      <c r="AL768">
        <v>1220</v>
      </c>
      <c r="AM768" s="5">
        <f t="shared" si="90"/>
        <v>42.068965517241381</v>
      </c>
      <c r="AN768" s="4">
        <f t="shared" si="95"/>
        <v>6.3716721722440556E-2</v>
      </c>
      <c r="AO768" s="3"/>
      <c r="AP768">
        <v>0</v>
      </c>
      <c r="AQ768" t="s">
        <v>3442</v>
      </c>
      <c r="AR768" t="s">
        <v>4458</v>
      </c>
      <c r="AS768" t="s">
        <v>3441</v>
      </c>
      <c r="AT768" s="2" t="s">
        <v>0</v>
      </c>
      <c r="AU768" s="1">
        <f t="shared" si="91"/>
        <v>3.5577470802522724</v>
      </c>
      <c r="AV768" s="1">
        <f t="shared" si="92"/>
        <v>4.3617256779642108</v>
      </c>
      <c r="AW768" s="1">
        <f t="shared" si="93"/>
        <v>5.1657042756761484</v>
      </c>
    </row>
    <row r="769" spans="1:49" x14ac:dyDescent="0.2">
      <c r="A769">
        <v>767</v>
      </c>
      <c r="B769" t="s">
        <v>4457</v>
      </c>
      <c r="C769" t="s">
        <v>4456</v>
      </c>
      <c r="F769" t="s">
        <v>4455</v>
      </c>
      <c r="G769" t="s">
        <v>15</v>
      </c>
      <c r="H769" t="s">
        <v>14</v>
      </c>
      <c r="I769" t="s">
        <v>4454</v>
      </c>
      <c r="J769">
        <v>60015465</v>
      </c>
      <c r="K769" t="s">
        <v>4453</v>
      </c>
      <c r="L769" t="s">
        <v>4452</v>
      </c>
      <c r="M769" t="s">
        <v>576</v>
      </c>
      <c r="N769">
        <v>3</v>
      </c>
      <c r="O769" t="s">
        <v>4451</v>
      </c>
      <c r="P769" t="s">
        <v>4450</v>
      </c>
      <c r="Q769" t="s">
        <v>4449</v>
      </c>
      <c r="R769" s="7">
        <v>33970</v>
      </c>
      <c r="S769" s="8">
        <f t="shared" ref="S769:S832" si="96">YEAR(R769)</f>
        <v>1993</v>
      </c>
      <c r="T769" s="8">
        <v>1993</v>
      </c>
      <c r="U769" s="8">
        <f t="shared" ref="U769:U832" si="97">2022-T769</f>
        <v>29</v>
      </c>
      <c r="V769" s="7">
        <v>34140</v>
      </c>
      <c r="W769" t="s">
        <v>2382</v>
      </c>
      <c r="X769" s="2">
        <v>0.30399999999999999</v>
      </c>
      <c r="Y769" s="6">
        <f t="shared" si="94"/>
        <v>8.115106377299057E-3</v>
      </c>
      <c r="AA769">
        <v>8952477</v>
      </c>
      <c r="AB769">
        <v>12250</v>
      </c>
      <c r="AC769">
        <v>10982760</v>
      </c>
      <c r="AD769" t="s">
        <v>5</v>
      </c>
      <c r="AE769">
        <v>6</v>
      </c>
      <c r="AF769">
        <v>8</v>
      </c>
      <c r="AH769" t="s">
        <v>4448</v>
      </c>
      <c r="AI769" t="s">
        <v>4447</v>
      </c>
      <c r="AJ769" t="s">
        <v>4446</v>
      </c>
      <c r="AK769" t="s">
        <v>4445</v>
      </c>
      <c r="AL769">
        <v>2</v>
      </c>
      <c r="AM769" s="5">
        <f t="shared" ref="AM769:AM832" si="98">AL769/U769</f>
        <v>6.8965517241379309E-2</v>
      </c>
      <c r="AN769" s="4">
        <f t="shared" si="95"/>
        <v>1.0445364216793535E-4</v>
      </c>
      <c r="AO769" s="3"/>
      <c r="AP769">
        <v>0</v>
      </c>
      <c r="AR769" t="s">
        <v>1</v>
      </c>
      <c r="AT769" s="2" t="s">
        <v>0</v>
      </c>
      <c r="AU769" s="1">
        <f t="shared" ref="AU769:AU832" si="99">(Y769*0.7+AN769*0.3)*100</f>
        <v>0.57119105567597195</v>
      </c>
      <c r="AV769" s="1">
        <f t="shared" ref="AV769:AV832" si="100">(Y769*0.5+AN769*0.5)*100</f>
        <v>0.41097800097334963</v>
      </c>
      <c r="AW769" s="1">
        <f t="shared" ref="AW769:AW832" si="101">(Y769*0.3+AN769*0.7)*100</f>
        <v>0.25076494627072721</v>
      </c>
    </row>
    <row r="770" spans="1:49" x14ac:dyDescent="0.2">
      <c r="A770">
        <v>768</v>
      </c>
      <c r="B770" t="s">
        <v>4444</v>
      </c>
      <c r="C770" t="s">
        <v>4443</v>
      </c>
      <c r="F770" t="s">
        <v>4442</v>
      </c>
      <c r="G770" t="s">
        <v>15</v>
      </c>
      <c r="H770" t="s">
        <v>14</v>
      </c>
      <c r="I770" t="s">
        <v>4441</v>
      </c>
      <c r="J770" t="s">
        <v>4440</v>
      </c>
      <c r="K770" t="s">
        <v>4439</v>
      </c>
      <c r="L770" t="s">
        <v>4438</v>
      </c>
      <c r="M770" t="s">
        <v>219</v>
      </c>
      <c r="N770">
        <v>4</v>
      </c>
      <c r="O770" t="s">
        <v>4437</v>
      </c>
      <c r="P770" t="s">
        <v>4436</v>
      </c>
      <c r="Q770" t="s">
        <v>4435</v>
      </c>
      <c r="R770" s="7">
        <v>33970</v>
      </c>
      <c r="S770" s="8">
        <f t="shared" si="96"/>
        <v>1993</v>
      </c>
      <c r="T770" s="8">
        <v>1993</v>
      </c>
      <c r="U770" s="8">
        <f t="shared" si="97"/>
        <v>29</v>
      </c>
      <c r="V770" s="7">
        <v>34121</v>
      </c>
      <c r="W770" t="s">
        <v>4352</v>
      </c>
      <c r="X770" s="2">
        <v>0.78200000000000003</v>
      </c>
      <c r="Y770" s="6">
        <f t="shared" ref="Y770:Y833" si="102">(X770-$Z$4)/($Z$3-$Z$4)</f>
        <v>2.0875043378446919E-2</v>
      </c>
      <c r="AA770">
        <v>189316</v>
      </c>
      <c r="AB770">
        <v>19901</v>
      </c>
      <c r="AC770">
        <v>15579611</v>
      </c>
      <c r="AD770" t="s">
        <v>5</v>
      </c>
      <c r="AE770">
        <v>39</v>
      </c>
      <c r="AF770">
        <v>2</v>
      </c>
      <c r="AH770" t="s">
        <v>4434</v>
      </c>
      <c r="AI770" t="s">
        <v>4433</v>
      </c>
      <c r="AK770" t="s">
        <v>4432</v>
      </c>
      <c r="AL770">
        <v>0</v>
      </c>
      <c r="AM770" s="5">
        <f t="shared" si="98"/>
        <v>0</v>
      </c>
      <c r="AN770" s="4">
        <f t="shared" ref="AN770:AN833" si="103">(AM770-$AO$4)/($AO$3-$AO$4)</f>
        <v>0</v>
      </c>
      <c r="AO770" s="3"/>
      <c r="AP770">
        <v>0</v>
      </c>
      <c r="AR770" t="s">
        <v>1</v>
      </c>
      <c r="AT770" s="2">
        <v>3.863</v>
      </c>
      <c r="AU770" s="1">
        <f t="shared" si="99"/>
        <v>1.4612530364912841</v>
      </c>
      <c r="AV770" s="1">
        <f t="shared" si="100"/>
        <v>1.0437521689223459</v>
      </c>
      <c r="AW770" s="1">
        <f t="shared" si="101"/>
        <v>0.62625130135340756</v>
      </c>
    </row>
    <row r="771" spans="1:49" x14ac:dyDescent="0.2">
      <c r="A771">
        <v>769</v>
      </c>
      <c r="B771" t="s">
        <v>4431</v>
      </c>
      <c r="C771" t="s">
        <v>4430</v>
      </c>
      <c r="F771" t="s">
        <v>4429</v>
      </c>
      <c r="G771" t="s">
        <v>15</v>
      </c>
      <c r="H771" t="s">
        <v>14</v>
      </c>
      <c r="I771" t="s">
        <v>4428</v>
      </c>
      <c r="J771">
        <v>60014313</v>
      </c>
      <c r="K771" t="s">
        <v>2652</v>
      </c>
      <c r="L771" t="s">
        <v>2651</v>
      </c>
      <c r="M771" t="s">
        <v>10</v>
      </c>
      <c r="N771">
        <v>1</v>
      </c>
      <c r="O771" t="s">
        <v>4427</v>
      </c>
      <c r="P771">
        <v>7102375534</v>
      </c>
      <c r="Q771">
        <v>60014313</v>
      </c>
      <c r="R771" s="7">
        <v>33970</v>
      </c>
      <c r="S771" s="8">
        <f t="shared" si="96"/>
        <v>1993</v>
      </c>
      <c r="T771" s="8">
        <v>1993</v>
      </c>
      <c r="U771" s="8">
        <f t="shared" si="97"/>
        <v>29</v>
      </c>
      <c r="V771" s="7">
        <v>34121</v>
      </c>
      <c r="W771" t="s">
        <v>299</v>
      </c>
      <c r="X771" s="2">
        <v>0.88100000000000001</v>
      </c>
      <c r="Y771" s="6">
        <f t="shared" si="102"/>
        <v>2.3517791836843653E-2</v>
      </c>
      <c r="AA771">
        <v>10459243</v>
      </c>
      <c r="AB771">
        <v>17248</v>
      </c>
      <c r="AD771" t="s">
        <v>5</v>
      </c>
      <c r="AE771">
        <v>35</v>
      </c>
      <c r="AF771">
        <v>3</v>
      </c>
      <c r="AH771" t="s">
        <v>4426</v>
      </c>
      <c r="AL771">
        <v>5</v>
      </c>
      <c r="AM771" s="5">
        <f t="shared" si="98"/>
        <v>0.17241379310344829</v>
      </c>
      <c r="AN771" s="4">
        <f t="shared" si="103"/>
        <v>2.6113410541983838E-4</v>
      </c>
      <c r="AO771" s="3"/>
      <c r="AP771">
        <v>0</v>
      </c>
      <c r="AR771" t="s">
        <v>1</v>
      </c>
      <c r="AT771" s="2" t="s">
        <v>0</v>
      </c>
      <c r="AU771" s="1">
        <f t="shared" si="99"/>
        <v>1.6540794517416506</v>
      </c>
      <c r="AV771" s="1">
        <f t="shared" si="100"/>
        <v>1.1889462971131746</v>
      </c>
      <c r="AW771" s="1">
        <f t="shared" si="101"/>
        <v>0.72381314248469819</v>
      </c>
    </row>
    <row r="772" spans="1:49" x14ac:dyDescent="0.2">
      <c r="A772">
        <v>770</v>
      </c>
      <c r="B772" t="s">
        <v>4425</v>
      </c>
      <c r="C772" t="s">
        <v>4424</v>
      </c>
      <c r="F772" t="s">
        <v>4423</v>
      </c>
      <c r="G772" t="s">
        <v>15</v>
      </c>
      <c r="H772" t="s">
        <v>14</v>
      </c>
      <c r="I772" t="s">
        <v>4422</v>
      </c>
      <c r="N772">
        <v>1</v>
      </c>
      <c r="O772" t="s">
        <v>4421</v>
      </c>
      <c r="P772">
        <v>6506742195</v>
      </c>
      <c r="R772" s="7">
        <v>33970</v>
      </c>
      <c r="S772" s="8">
        <f t="shared" si="96"/>
        <v>1993</v>
      </c>
      <c r="T772" s="8">
        <v>1993</v>
      </c>
      <c r="U772" s="8">
        <f t="shared" si="97"/>
        <v>29</v>
      </c>
      <c r="V772" s="7">
        <v>34121</v>
      </c>
      <c r="W772" t="s">
        <v>299</v>
      </c>
      <c r="X772" s="2">
        <v>0.88100000000000001</v>
      </c>
      <c r="Y772" s="6">
        <f t="shared" si="102"/>
        <v>2.3517791836843653E-2</v>
      </c>
      <c r="AA772">
        <v>10459243</v>
      </c>
      <c r="AB772">
        <v>17248</v>
      </c>
      <c r="AD772" t="s">
        <v>5</v>
      </c>
      <c r="AE772">
        <v>35</v>
      </c>
      <c r="AF772">
        <v>3</v>
      </c>
      <c r="AH772" t="s">
        <v>4420</v>
      </c>
      <c r="AL772">
        <v>0</v>
      </c>
      <c r="AM772" s="5">
        <f t="shared" si="98"/>
        <v>0</v>
      </c>
      <c r="AN772" s="4">
        <f t="shared" si="103"/>
        <v>0</v>
      </c>
      <c r="AO772" s="3"/>
      <c r="AP772">
        <v>0</v>
      </c>
      <c r="AR772" t="s">
        <v>1</v>
      </c>
      <c r="AT772" s="2" t="s">
        <v>0</v>
      </c>
      <c r="AU772" s="1">
        <f t="shared" si="99"/>
        <v>1.6462454285790555</v>
      </c>
      <c r="AV772" s="1">
        <f t="shared" si="100"/>
        <v>1.1758895918421826</v>
      </c>
      <c r="AW772" s="1">
        <f t="shared" si="101"/>
        <v>0.70553375510530958</v>
      </c>
    </row>
    <row r="773" spans="1:49" x14ac:dyDescent="0.2">
      <c r="A773">
        <v>771</v>
      </c>
      <c r="B773" t="s">
        <v>4419</v>
      </c>
      <c r="C773" t="s">
        <v>4418</v>
      </c>
      <c r="F773" t="s">
        <v>4417</v>
      </c>
      <c r="G773" t="s">
        <v>15</v>
      </c>
      <c r="H773" t="s">
        <v>14</v>
      </c>
      <c r="I773" t="s">
        <v>4416</v>
      </c>
      <c r="J773">
        <v>60025063</v>
      </c>
      <c r="K773" t="s">
        <v>4415</v>
      </c>
      <c r="L773" t="s">
        <v>4414</v>
      </c>
      <c r="M773" t="s">
        <v>2519</v>
      </c>
      <c r="N773">
        <v>1</v>
      </c>
      <c r="O773" t="s">
        <v>4413</v>
      </c>
      <c r="P773">
        <v>7006229574</v>
      </c>
      <c r="Q773">
        <v>60025063</v>
      </c>
      <c r="R773" s="7">
        <v>33970</v>
      </c>
      <c r="S773" s="8">
        <f t="shared" si="96"/>
        <v>1993</v>
      </c>
      <c r="T773" s="8">
        <v>1993</v>
      </c>
      <c r="U773" s="8">
        <f t="shared" si="97"/>
        <v>29</v>
      </c>
      <c r="V773" s="7" t="s">
        <v>4412</v>
      </c>
      <c r="W773" s="11" t="s">
        <v>2407</v>
      </c>
      <c r="X773" s="2">
        <v>2.383</v>
      </c>
      <c r="Y773" s="6">
        <f t="shared" si="102"/>
        <v>6.3612824003630442E-2</v>
      </c>
      <c r="AA773" t="s">
        <v>2406</v>
      </c>
      <c r="AB773">
        <v>96433</v>
      </c>
      <c r="AD773" t="s">
        <v>5</v>
      </c>
      <c r="AE773">
        <v>140</v>
      </c>
      <c r="AF773">
        <v>3</v>
      </c>
      <c r="AH773" t="s">
        <v>4411</v>
      </c>
      <c r="AI773" t="s">
        <v>4410</v>
      </c>
      <c r="AK773" t="s">
        <v>4409</v>
      </c>
      <c r="AL773">
        <v>9</v>
      </c>
      <c r="AM773" s="5">
        <f t="shared" si="98"/>
        <v>0.31034482758620691</v>
      </c>
      <c r="AN773" s="4">
        <f t="shared" si="103"/>
        <v>4.7004138975570908E-4</v>
      </c>
      <c r="AO773" s="3"/>
      <c r="AP773">
        <v>0</v>
      </c>
      <c r="AR773" t="s">
        <v>1</v>
      </c>
      <c r="AT773" s="2" t="s">
        <v>0</v>
      </c>
      <c r="AU773" s="1">
        <f t="shared" si="99"/>
        <v>4.4669989219468018</v>
      </c>
      <c r="AV773" s="1">
        <f t="shared" si="100"/>
        <v>3.2041432696693075</v>
      </c>
      <c r="AW773" s="1">
        <f t="shared" si="101"/>
        <v>1.941287617391813</v>
      </c>
    </row>
    <row r="774" spans="1:49" x14ac:dyDescent="0.2">
      <c r="A774">
        <v>772</v>
      </c>
      <c r="B774" t="s">
        <v>4408</v>
      </c>
      <c r="C774" t="s">
        <v>4407</v>
      </c>
      <c r="F774" t="s">
        <v>4406</v>
      </c>
      <c r="G774" t="s">
        <v>15</v>
      </c>
      <c r="H774" t="s">
        <v>14</v>
      </c>
      <c r="I774" t="s">
        <v>4405</v>
      </c>
      <c r="J774">
        <v>60032882</v>
      </c>
      <c r="K774" t="s">
        <v>4404</v>
      </c>
      <c r="L774" t="s">
        <v>4403</v>
      </c>
      <c r="M774" t="s">
        <v>721</v>
      </c>
      <c r="N774">
        <v>2</v>
      </c>
      <c r="O774" t="s">
        <v>4402</v>
      </c>
      <c r="P774" t="s">
        <v>4401</v>
      </c>
      <c r="Q774" t="s">
        <v>4400</v>
      </c>
      <c r="R774" s="7">
        <v>33970</v>
      </c>
      <c r="S774" s="8">
        <f t="shared" si="96"/>
        <v>1993</v>
      </c>
      <c r="T774" s="8">
        <v>1993</v>
      </c>
      <c r="U774" s="8">
        <f t="shared" si="97"/>
        <v>29</v>
      </c>
      <c r="V774" s="7">
        <v>34140</v>
      </c>
      <c r="W774" t="s">
        <v>2382</v>
      </c>
      <c r="X774" s="2">
        <v>0.30399999999999999</v>
      </c>
      <c r="Y774" s="6">
        <f t="shared" si="102"/>
        <v>8.115106377299057E-3</v>
      </c>
      <c r="AA774">
        <v>8952477</v>
      </c>
      <c r="AB774">
        <v>12250</v>
      </c>
      <c r="AC774">
        <v>10982760</v>
      </c>
      <c r="AD774" t="s">
        <v>5</v>
      </c>
      <c r="AE774">
        <v>6</v>
      </c>
      <c r="AF774">
        <v>8</v>
      </c>
      <c r="AH774" t="s">
        <v>4399</v>
      </c>
      <c r="AI774" t="s">
        <v>4398</v>
      </c>
      <c r="AJ774" t="s">
        <v>4397</v>
      </c>
      <c r="AK774" t="s">
        <v>4396</v>
      </c>
      <c r="AL774">
        <v>1</v>
      </c>
      <c r="AM774" s="5">
        <f t="shared" si="98"/>
        <v>3.4482758620689655E-2</v>
      </c>
      <c r="AN774" s="4">
        <f t="shared" si="103"/>
        <v>5.2226821083967674E-5</v>
      </c>
      <c r="AO774" s="3"/>
      <c r="AP774">
        <v>0</v>
      </c>
      <c r="AR774" t="s">
        <v>1</v>
      </c>
      <c r="AT774" s="2" t="s">
        <v>0</v>
      </c>
      <c r="AU774" s="1">
        <f t="shared" si="99"/>
        <v>0.56962425104345293</v>
      </c>
      <c r="AV774" s="1">
        <f t="shared" si="100"/>
        <v>0.40836665991915122</v>
      </c>
      <c r="AW774" s="1">
        <f t="shared" si="101"/>
        <v>0.24710906879484945</v>
      </c>
    </row>
    <row r="775" spans="1:49" x14ac:dyDescent="0.2">
      <c r="A775">
        <v>773</v>
      </c>
      <c r="B775" t="s">
        <v>4395</v>
      </c>
      <c r="C775" t="s">
        <v>4394</v>
      </c>
      <c r="F775" t="s">
        <v>4393</v>
      </c>
      <c r="G775" t="s">
        <v>15</v>
      </c>
      <c r="H775" t="s">
        <v>14</v>
      </c>
      <c r="I775" t="s">
        <v>4392</v>
      </c>
      <c r="J775">
        <v>60005244</v>
      </c>
      <c r="K775" t="s">
        <v>4391</v>
      </c>
      <c r="L775" t="s">
        <v>4390</v>
      </c>
      <c r="M775" t="s">
        <v>463</v>
      </c>
      <c r="N775">
        <v>2</v>
      </c>
      <c r="O775" t="s">
        <v>4389</v>
      </c>
      <c r="P775" t="s">
        <v>4388</v>
      </c>
      <c r="Q775" t="s">
        <v>4387</v>
      </c>
      <c r="R775" s="7">
        <v>33970</v>
      </c>
      <c r="S775" s="8">
        <f t="shared" si="96"/>
        <v>1993</v>
      </c>
      <c r="T775" s="8">
        <v>1993</v>
      </c>
      <c r="U775" s="8">
        <f t="shared" si="97"/>
        <v>29</v>
      </c>
      <c r="V775" s="7">
        <v>34140</v>
      </c>
      <c r="W775" t="s">
        <v>2382</v>
      </c>
      <c r="X775" s="2">
        <v>0.30399999999999999</v>
      </c>
      <c r="Y775" s="6">
        <f t="shared" si="102"/>
        <v>8.115106377299057E-3</v>
      </c>
      <c r="AA775">
        <v>8952477</v>
      </c>
      <c r="AB775">
        <v>12250</v>
      </c>
      <c r="AC775">
        <v>10982760</v>
      </c>
      <c r="AD775" t="s">
        <v>5</v>
      </c>
      <c r="AE775">
        <v>6</v>
      </c>
      <c r="AF775">
        <v>8</v>
      </c>
      <c r="AH775" t="s">
        <v>4386</v>
      </c>
      <c r="AI775" t="s">
        <v>4385</v>
      </c>
      <c r="AJ775" t="s">
        <v>4384</v>
      </c>
      <c r="AK775" t="s">
        <v>4383</v>
      </c>
      <c r="AL775">
        <v>4</v>
      </c>
      <c r="AM775" s="5">
        <f t="shared" si="98"/>
        <v>0.13793103448275862</v>
      </c>
      <c r="AN775" s="4">
        <f t="shared" si="103"/>
        <v>2.089072843358707E-4</v>
      </c>
      <c r="AO775" s="3"/>
      <c r="AP775">
        <v>0</v>
      </c>
      <c r="AR775" t="s">
        <v>1</v>
      </c>
      <c r="AT775" s="2" t="s">
        <v>0</v>
      </c>
      <c r="AU775" s="1">
        <f t="shared" si="99"/>
        <v>0.57432466494101009</v>
      </c>
      <c r="AV775" s="1">
        <f t="shared" si="100"/>
        <v>0.41620068308174635</v>
      </c>
      <c r="AW775" s="1">
        <f t="shared" si="101"/>
        <v>0.25807670122248266</v>
      </c>
    </row>
    <row r="776" spans="1:49" x14ac:dyDescent="0.2">
      <c r="A776">
        <v>774</v>
      </c>
      <c r="B776" t="s">
        <v>4382</v>
      </c>
      <c r="C776" t="s">
        <v>4381</v>
      </c>
      <c r="F776" t="s">
        <v>4380</v>
      </c>
      <c r="G776" t="s">
        <v>15</v>
      </c>
      <c r="H776" t="s">
        <v>14</v>
      </c>
      <c r="I776" t="s">
        <v>3896</v>
      </c>
      <c r="J776">
        <v>60000617</v>
      </c>
      <c r="K776" t="s">
        <v>3895</v>
      </c>
      <c r="L776" t="s">
        <v>3894</v>
      </c>
      <c r="M776" t="s">
        <v>3739</v>
      </c>
      <c r="N776">
        <v>1</v>
      </c>
      <c r="O776" t="s">
        <v>4379</v>
      </c>
      <c r="P776">
        <v>35936069800</v>
      </c>
      <c r="Q776">
        <v>60000617</v>
      </c>
      <c r="R776" s="7">
        <v>33970</v>
      </c>
      <c r="S776" s="8">
        <f t="shared" si="96"/>
        <v>1993</v>
      </c>
      <c r="T776" s="8">
        <v>1993</v>
      </c>
      <c r="U776" s="8">
        <f t="shared" si="97"/>
        <v>29</v>
      </c>
      <c r="V776" s="7">
        <v>34121</v>
      </c>
      <c r="W776" t="s">
        <v>3890</v>
      </c>
      <c r="X776" s="2">
        <v>0.251</v>
      </c>
      <c r="Y776" s="6">
        <f t="shared" si="102"/>
        <v>6.7003016470462617E-3</v>
      </c>
      <c r="AA776">
        <v>207217</v>
      </c>
      <c r="AB776">
        <v>26145</v>
      </c>
      <c r="AC776">
        <v>13623060</v>
      </c>
      <c r="AD776" t="s">
        <v>5</v>
      </c>
      <c r="AE776">
        <v>74</v>
      </c>
      <c r="AF776">
        <v>6</v>
      </c>
      <c r="AH776" t="s">
        <v>4378</v>
      </c>
      <c r="AI776" t="s">
        <v>4377</v>
      </c>
      <c r="AK776" t="s">
        <v>4376</v>
      </c>
      <c r="AL776">
        <v>0</v>
      </c>
      <c r="AM776" s="5">
        <f t="shared" si="98"/>
        <v>0</v>
      </c>
      <c r="AN776" s="4">
        <f t="shared" si="103"/>
        <v>0</v>
      </c>
      <c r="AO776" s="3"/>
      <c r="AP776">
        <v>0</v>
      </c>
      <c r="AR776" t="s">
        <v>1</v>
      </c>
      <c r="AT776" s="2">
        <v>1.3360000000000001</v>
      </c>
      <c r="AU776" s="1">
        <f t="shared" si="99"/>
        <v>0.46902111529323826</v>
      </c>
      <c r="AV776" s="1">
        <f t="shared" si="100"/>
        <v>0.33501508235231309</v>
      </c>
      <c r="AW776" s="1">
        <f t="shared" si="101"/>
        <v>0.20100904941138784</v>
      </c>
    </row>
    <row r="777" spans="1:49" x14ac:dyDescent="0.2">
      <c r="A777">
        <v>775</v>
      </c>
      <c r="B777" t="s">
        <v>4375</v>
      </c>
      <c r="C777" t="s">
        <v>4374</v>
      </c>
      <c r="F777" t="s">
        <v>4373</v>
      </c>
      <c r="G777" t="s">
        <v>15</v>
      </c>
      <c r="H777" t="s">
        <v>14</v>
      </c>
      <c r="I777" t="s">
        <v>4372</v>
      </c>
      <c r="J777" t="s">
        <v>4371</v>
      </c>
      <c r="K777" t="s">
        <v>4370</v>
      </c>
      <c r="L777" t="s">
        <v>4369</v>
      </c>
      <c r="M777" t="s">
        <v>2341</v>
      </c>
      <c r="N777">
        <v>2</v>
      </c>
      <c r="O777" t="s">
        <v>4368</v>
      </c>
      <c r="P777" t="s">
        <v>4367</v>
      </c>
      <c r="Q777" t="s">
        <v>4366</v>
      </c>
      <c r="R777" s="7">
        <v>33970</v>
      </c>
      <c r="S777" s="8">
        <f t="shared" si="96"/>
        <v>1993</v>
      </c>
      <c r="T777" s="8">
        <v>1993</v>
      </c>
      <c r="U777" s="8">
        <f t="shared" si="97"/>
        <v>29</v>
      </c>
      <c r="V777" s="7">
        <v>34121</v>
      </c>
      <c r="W777" t="s">
        <v>4365</v>
      </c>
      <c r="X777" s="2">
        <v>0.82799999999999996</v>
      </c>
      <c r="Y777" s="6">
        <f t="shared" si="102"/>
        <v>2.2102987106590855E-2</v>
      </c>
      <c r="AA777">
        <v>11452</v>
      </c>
      <c r="AB777">
        <v>29964</v>
      </c>
      <c r="AD777" t="s">
        <v>5</v>
      </c>
      <c r="AE777">
        <v>31</v>
      </c>
      <c r="AF777">
        <v>6</v>
      </c>
      <c r="AH777" t="s">
        <v>4364</v>
      </c>
      <c r="AL777">
        <v>65</v>
      </c>
      <c r="AM777" s="5">
        <f t="shared" si="98"/>
        <v>2.2413793103448274</v>
      </c>
      <c r="AN777" s="4">
        <f t="shared" si="103"/>
        <v>3.3947433704578983E-3</v>
      </c>
      <c r="AO777" s="3"/>
      <c r="AP777">
        <v>0</v>
      </c>
      <c r="AR777" t="s">
        <v>1</v>
      </c>
      <c r="AT777" s="2">
        <v>2.1269999999999998</v>
      </c>
      <c r="AU777" s="1">
        <f t="shared" si="99"/>
        <v>1.6490513985750965</v>
      </c>
      <c r="AV777" s="1">
        <f t="shared" si="100"/>
        <v>1.2748865238524376</v>
      </c>
      <c r="AW777" s="1">
        <f t="shared" si="101"/>
        <v>0.90072164912977859</v>
      </c>
    </row>
    <row r="778" spans="1:49" x14ac:dyDescent="0.2">
      <c r="A778">
        <v>776</v>
      </c>
      <c r="B778" t="s">
        <v>4363</v>
      </c>
      <c r="C778" t="s">
        <v>4362</v>
      </c>
      <c r="F778" t="s">
        <v>4361</v>
      </c>
      <c r="G778" t="s">
        <v>15</v>
      </c>
      <c r="H778" t="s">
        <v>14</v>
      </c>
      <c r="I778" t="s">
        <v>4360</v>
      </c>
      <c r="J778" t="s">
        <v>4359</v>
      </c>
      <c r="K778" t="s">
        <v>4358</v>
      </c>
      <c r="L778" t="s">
        <v>4357</v>
      </c>
      <c r="M778" t="s">
        <v>4356</v>
      </c>
      <c r="N778">
        <v>4</v>
      </c>
      <c r="O778" t="s">
        <v>4355</v>
      </c>
      <c r="P778" t="s">
        <v>4354</v>
      </c>
      <c r="Q778" t="s">
        <v>4353</v>
      </c>
      <c r="R778" s="7">
        <v>33970</v>
      </c>
      <c r="S778" s="8">
        <f t="shared" si="96"/>
        <v>1993</v>
      </c>
      <c r="T778" s="8">
        <v>1993</v>
      </c>
      <c r="U778" s="8">
        <f t="shared" si="97"/>
        <v>29</v>
      </c>
      <c r="V778" s="7">
        <v>34121</v>
      </c>
      <c r="W778" t="s">
        <v>4352</v>
      </c>
      <c r="X778" s="2">
        <v>0.78200000000000003</v>
      </c>
      <c r="Y778" s="6">
        <f t="shared" si="102"/>
        <v>2.0875043378446919E-2</v>
      </c>
      <c r="AA778">
        <v>189316</v>
      </c>
      <c r="AB778">
        <v>19901</v>
      </c>
      <c r="AC778">
        <v>15579611</v>
      </c>
      <c r="AD778" t="s">
        <v>5</v>
      </c>
      <c r="AE778">
        <v>39</v>
      </c>
      <c r="AF778">
        <v>2</v>
      </c>
      <c r="AH778" t="s">
        <v>4351</v>
      </c>
      <c r="AI778" t="s">
        <v>4350</v>
      </c>
      <c r="AK778" t="s">
        <v>4349</v>
      </c>
      <c r="AL778">
        <v>0</v>
      </c>
      <c r="AM778" s="5">
        <f t="shared" si="98"/>
        <v>0</v>
      </c>
      <c r="AN778" s="4">
        <f t="shared" si="103"/>
        <v>0</v>
      </c>
      <c r="AO778" s="3"/>
      <c r="AP778">
        <v>0</v>
      </c>
      <c r="AR778" t="s">
        <v>1</v>
      </c>
      <c r="AT778" s="2">
        <v>3.863</v>
      </c>
      <c r="AU778" s="1">
        <f t="shared" si="99"/>
        <v>1.4612530364912841</v>
      </c>
      <c r="AV778" s="1">
        <f t="shared" si="100"/>
        <v>1.0437521689223459</v>
      </c>
      <c r="AW778" s="1">
        <f t="shared" si="101"/>
        <v>0.62625130135340756</v>
      </c>
    </row>
    <row r="779" spans="1:49" x14ac:dyDescent="0.2">
      <c r="A779">
        <v>777</v>
      </c>
      <c r="B779" t="s">
        <v>4348</v>
      </c>
      <c r="C779" t="s">
        <v>4347</v>
      </c>
      <c r="F779" t="s">
        <v>4346</v>
      </c>
      <c r="G779" t="s">
        <v>15</v>
      </c>
      <c r="H779" t="s">
        <v>14</v>
      </c>
      <c r="I779" t="s">
        <v>4345</v>
      </c>
      <c r="N779">
        <v>2</v>
      </c>
      <c r="O779" t="s">
        <v>4344</v>
      </c>
      <c r="P779" t="s">
        <v>4343</v>
      </c>
      <c r="Q779" t="s">
        <v>1557</v>
      </c>
      <c r="R779" s="7">
        <v>33970</v>
      </c>
      <c r="S779" s="8">
        <f t="shared" si="96"/>
        <v>1993</v>
      </c>
      <c r="T779" s="8">
        <v>1993</v>
      </c>
      <c r="U779" s="8">
        <f t="shared" si="97"/>
        <v>29</v>
      </c>
      <c r="V779" s="7">
        <v>34121</v>
      </c>
      <c r="W779" t="s">
        <v>299</v>
      </c>
      <c r="X779" s="2">
        <v>0.88100000000000001</v>
      </c>
      <c r="Y779" s="6">
        <f t="shared" si="102"/>
        <v>2.3517791836843653E-2</v>
      </c>
      <c r="AA779">
        <v>10459243</v>
      </c>
      <c r="AB779">
        <v>17248</v>
      </c>
      <c r="AD779" t="s">
        <v>5</v>
      </c>
      <c r="AE779">
        <v>35</v>
      </c>
      <c r="AF779">
        <v>3</v>
      </c>
      <c r="AH779" t="s">
        <v>4342</v>
      </c>
      <c r="AI779" t="s">
        <v>4341</v>
      </c>
      <c r="AK779" t="s">
        <v>4340</v>
      </c>
      <c r="AL779">
        <v>3</v>
      </c>
      <c r="AM779" s="5">
        <f t="shared" si="98"/>
        <v>0.10344827586206896</v>
      </c>
      <c r="AN779" s="4">
        <f t="shared" si="103"/>
        <v>1.5668046325190301E-4</v>
      </c>
      <c r="AO779" s="3"/>
      <c r="AP779">
        <v>0</v>
      </c>
      <c r="AR779" t="s">
        <v>1</v>
      </c>
      <c r="AT779" s="2" t="s">
        <v>0</v>
      </c>
      <c r="AU779" s="1">
        <f t="shared" si="99"/>
        <v>1.6509458424766126</v>
      </c>
      <c r="AV779" s="1">
        <f t="shared" si="100"/>
        <v>1.1837236150047776</v>
      </c>
      <c r="AW779" s="1">
        <f t="shared" si="101"/>
        <v>0.71650138753294279</v>
      </c>
    </row>
    <row r="780" spans="1:49" x14ac:dyDescent="0.2">
      <c r="A780">
        <v>778</v>
      </c>
      <c r="B780" t="s">
        <v>4339</v>
      </c>
      <c r="C780" t="s">
        <v>4338</v>
      </c>
      <c r="F780" t="s">
        <v>4337</v>
      </c>
      <c r="G780" t="s">
        <v>15</v>
      </c>
      <c r="H780" t="s">
        <v>14</v>
      </c>
      <c r="I780" t="s">
        <v>3125</v>
      </c>
      <c r="J780" t="s">
        <v>4336</v>
      </c>
      <c r="K780" t="s">
        <v>4335</v>
      </c>
      <c r="L780" t="s">
        <v>4334</v>
      </c>
      <c r="M780" t="s">
        <v>235</v>
      </c>
      <c r="N780">
        <v>4</v>
      </c>
      <c r="O780" t="s">
        <v>4333</v>
      </c>
      <c r="P780" t="s">
        <v>4332</v>
      </c>
      <c r="Q780" t="s">
        <v>4331</v>
      </c>
      <c r="R780" s="7">
        <v>33970</v>
      </c>
      <c r="S780" s="8">
        <f t="shared" si="96"/>
        <v>1993</v>
      </c>
      <c r="T780" s="8">
        <v>1993</v>
      </c>
      <c r="U780" s="8">
        <f t="shared" si="97"/>
        <v>29</v>
      </c>
      <c r="V780" s="7">
        <v>34140</v>
      </c>
      <c r="W780" t="s">
        <v>2382</v>
      </c>
      <c r="X780" s="2">
        <v>0.30399999999999999</v>
      </c>
      <c r="Y780" s="6">
        <f t="shared" si="102"/>
        <v>8.115106377299057E-3</v>
      </c>
      <c r="AA780">
        <v>8952477</v>
      </c>
      <c r="AB780">
        <v>12250</v>
      </c>
      <c r="AC780">
        <v>10982760</v>
      </c>
      <c r="AD780" t="s">
        <v>5</v>
      </c>
      <c r="AE780">
        <v>6</v>
      </c>
      <c r="AF780">
        <v>8</v>
      </c>
      <c r="AH780" t="s">
        <v>4330</v>
      </c>
      <c r="AI780" t="s">
        <v>4329</v>
      </c>
      <c r="AJ780" t="s">
        <v>4328</v>
      </c>
      <c r="AK780" t="s">
        <v>4327</v>
      </c>
      <c r="AL780">
        <v>0</v>
      </c>
      <c r="AM780" s="5">
        <f t="shared" si="98"/>
        <v>0</v>
      </c>
      <c r="AN780" s="4">
        <f t="shared" si="103"/>
        <v>0</v>
      </c>
      <c r="AO780" s="3"/>
      <c r="AP780">
        <v>0</v>
      </c>
      <c r="AR780" t="s">
        <v>1</v>
      </c>
      <c r="AT780" s="2" t="s">
        <v>0</v>
      </c>
      <c r="AU780" s="1">
        <f t="shared" si="99"/>
        <v>0.56805744641093392</v>
      </c>
      <c r="AV780" s="1">
        <f t="shared" si="100"/>
        <v>0.40575531886495286</v>
      </c>
      <c r="AW780" s="1">
        <f t="shared" si="101"/>
        <v>0.24345319131897172</v>
      </c>
    </row>
    <row r="781" spans="1:49" x14ac:dyDescent="0.2">
      <c r="A781">
        <v>779</v>
      </c>
      <c r="B781" t="s">
        <v>4326</v>
      </c>
      <c r="E781">
        <v>7686208</v>
      </c>
      <c r="F781" t="s">
        <v>4325</v>
      </c>
      <c r="G781" t="s">
        <v>15</v>
      </c>
      <c r="H781" t="s">
        <v>14</v>
      </c>
      <c r="I781" t="s">
        <v>4324</v>
      </c>
      <c r="J781">
        <v>60025525</v>
      </c>
      <c r="K781" t="s">
        <v>4323</v>
      </c>
      <c r="L781" t="s">
        <v>4322</v>
      </c>
      <c r="M781" t="s">
        <v>59</v>
      </c>
      <c r="N781">
        <v>1</v>
      </c>
      <c r="O781" t="s">
        <v>4321</v>
      </c>
      <c r="P781">
        <v>7003691160</v>
      </c>
      <c r="Q781">
        <v>60025525</v>
      </c>
      <c r="R781" s="7">
        <v>33970</v>
      </c>
      <c r="S781" s="8">
        <f t="shared" si="96"/>
        <v>1993</v>
      </c>
      <c r="T781" s="8">
        <v>1993</v>
      </c>
      <c r="U781" s="8">
        <f t="shared" si="97"/>
        <v>29</v>
      </c>
      <c r="V781" s="7">
        <v>34090</v>
      </c>
      <c r="W781" t="s">
        <v>2845</v>
      </c>
      <c r="X781" s="2" t="s">
        <v>0</v>
      </c>
      <c r="Y781" s="6" t="e">
        <f t="shared" si="102"/>
        <v>#VALUE!</v>
      </c>
      <c r="AA781">
        <v>220949</v>
      </c>
      <c r="AB781">
        <v>29605</v>
      </c>
      <c r="AD781" t="s">
        <v>5</v>
      </c>
      <c r="AE781">
        <v>178</v>
      </c>
      <c r="AH781" t="s">
        <v>4320</v>
      </c>
      <c r="AI781" t="s">
        <v>4319</v>
      </c>
      <c r="AK781" t="s">
        <v>4318</v>
      </c>
      <c r="AL781">
        <v>38</v>
      </c>
      <c r="AM781" s="5">
        <f t="shared" si="98"/>
        <v>1.3103448275862069</v>
      </c>
      <c r="AN781" s="4">
        <f t="shared" si="103"/>
        <v>1.9846192011907715E-3</v>
      </c>
      <c r="AO781" s="3"/>
      <c r="AP781">
        <v>0</v>
      </c>
      <c r="AQ781" t="s">
        <v>2070</v>
      </c>
      <c r="AR781" t="s">
        <v>4317</v>
      </c>
      <c r="AS781" t="s">
        <v>2068</v>
      </c>
      <c r="AT781" s="2" t="s">
        <v>0</v>
      </c>
      <c r="AU781" s="1" t="e">
        <f t="shared" si="99"/>
        <v>#VALUE!</v>
      </c>
      <c r="AV781" s="1" t="e">
        <f t="shared" si="100"/>
        <v>#VALUE!</v>
      </c>
      <c r="AW781" s="1" t="e">
        <f t="shared" si="101"/>
        <v>#VALUE!</v>
      </c>
    </row>
    <row r="782" spans="1:49" x14ac:dyDescent="0.2">
      <c r="A782">
        <v>780</v>
      </c>
      <c r="B782" t="s">
        <v>4316</v>
      </c>
      <c r="C782" t="s">
        <v>4315</v>
      </c>
      <c r="F782" t="s">
        <v>4314</v>
      </c>
      <c r="G782" t="s">
        <v>15</v>
      </c>
      <c r="H782" t="s">
        <v>14</v>
      </c>
      <c r="I782" t="s">
        <v>4313</v>
      </c>
      <c r="J782">
        <v>60029738</v>
      </c>
      <c r="K782" t="s">
        <v>3225</v>
      </c>
      <c r="L782" t="s">
        <v>3224</v>
      </c>
      <c r="M782" t="s">
        <v>493</v>
      </c>
      <c r="N782">
        <v>2</v>
      </c>
      <c r="O782" t="s">
        <v>4312</v>
      </c>
      <c r="P782" t="s">
        <v>4311</v>
      </c>
      <c r="Q782" t="s">
        <v>3221</v>
      </c>
      <c r="R782" s="7">
        <v>33970</v>
      </c>
      <c r="S782" s="8">
        <f t="shared" si="96"/>
        <v>1993</v>
      </c>
      <c r="T782" s="8">
        <v>1993</v>
      </c>
      <c r="U782" s="8">
        <f t="shared" si="97"/>
        <v>29</v>
      </c>
      <c r="V782" s="7">
        <v>34090</v>
      </c>
      <c r="W782" t="s">
        <v>868</v>
      </c>
      <c r="X782" s="2">
        <v>0.375</v>
      </c>
      <c r="Y782" s="6">
        <f t="shared" si="102"/>
        <v>1.0010410827260351E-2</v>
      </c>
      <c r="AA782">
        <v>135194</v>
      </c>
      <c r="AB782">
        <v>24918</v>
      </c>
      <c r="AD782" t="s">
        <v>5</v>
      </c>
      <c r="AE782">
        <v>29</v>
      </c>
      <c r="AF782">
        <v>10</v>
      </c>
      <c r="AH782" t="s">
        <v>4310</v>
      </c>
      <c r="AI782" t="s">
        <v>4309</v>
      </c>
      <c r="AJ782" t="s">
        <v>4308</v>
      </c>
      <c r="AK782" t="s">
        <v>4307</v>
      </c>
      <c r="AL782">
        <v>18</v>
      </c>
      <c r="AM782" s="5">
        <f t="shared" si="98"/>
        <v>0.62068965517241381</v>
      </c>
      <c r="AN782" s="4">
        <f t="shared" si="103"/>
        <v>9.4008277951141816E-4</v>
      </c>
      <c r="AO782" s="3"/>
      <c r="AP782">
        <v>0</v>
      </c>
      <c r="AR782" t="s">
        <v>1</v>
      </c>
      <c r="AT782" s="2">
        <v>1.3140000000000001</v>
      </c>
      <c r="AU782" s="1">
        <f t="shared" si="99"/>
        <v>0.72893124129356712</v>
      </c>
      <c r="AV782" s="1">
        <f t="shared" si="100"/>
        <v>0.54752468033858848</v>
      </c>
      <c r="AW782" s="1">
        <f t="shared" si="101"/>
        <v>0.36611811938360977</v>
      </c>
    </row>
    <row r="783" spans="1:49" x14ac:dyDescent="0.2">
      <c r="A783">
        <v>781</v>
      </c>
      <c r="B783" t="s">
        <v>4306</v>
      </c>
      <c r="C783" t="s">
        <v>4305</v>
      </c>
      <c r="F783" t="s">
        <v>4304</v>
      </c>
      <c r="G783" t="s">
        <v>15</v>
      </c>
      <c r="H783" t="s">
        <v>14</v>
      </c>
      <c r="I783" t="s">
        <v>4303</v>
      </c>
      <c r="J783">
        <v>60028263</v>
      </c>
      <c r="K783" t="s">
        <v>4302</v>
      </c>
      <c r="L783" t="s">
        <v>4301</v>
      </c>
      <c r="M783" t="s">
        <v>150</v>
      </c>
      <c r="N783">
        <v>3</v>
      </c>
      <c r="O783" t="s">
        <v>4300</v>
      </c>
      <c r="P783" t="s">
        <v>4299</v>
      </c>
      <c r="Q783" t="s">
        <v>4298</v>
      </c>
      <c r="R783" s="7">
        <v>33970</v>
      </c>
      <c r="S783" s="8">
        <f t="shared" si="96"/>
        <v>1993</v>
      </c>
      <c r="T783" s="8">
        <v>1993</v>
      </c>
      <c r="U783" s="8">
        <f t="shared" si="97"/>
        <v>29</v>
      </c>
      <c r="V783" s="7">
        <v>34090</v>
      </c>
      <c r="W783" t="s">
        <v>868</v>
      </c>
      <c r="X783" s="2">
        <v>0.375</v>
      </c>
      <c r="Y783" s="6">
        <f t="shared" si="102"/>
        <v>1.0010410827260351E-2</v>
      </c>
      <c r="AA783">
        <v>135194</v>
      </c>
      <c r="AB783">
        <v>24918</v>
      </c>
      <c r="AD783" t="s">
        <v>5</v>
      </c>
      <c r="AE783">
        <v>29</v>
      </c>
      <c r="AF783">
        <v>10</v>
      </c>
      <c r="AH783" t="s">
        <v>4297</v>
      </c>
      <c r="AI783" t="s">
        <v>4296</v>
      </c>
      <c r="AJ783" t="s">
        <v>4295</v>
      </c>
      <c r="AK783" t="s">
        <v>4294</v>
      </c>
      <c r="AL783">
        <v>4</v>
      </c>
      <c r="AM783" s="5">
        <f t="shared" si="98"/>
        <v>0.13793103448275862</v>
      </c>
      <c r="AN783" s="4">
        <f t="shared" si="103"/>
        <v>2.089072843358707E-4</v>
      </c>
      <c r="AO783" s="3"/>
      <c r="AP783">
        <v>0</v>
      </c>
      <c r="AR783" t="s">
        <v>1</v>
      </c>
      <c r="AT783" s="2">
        <v>1.3140000000000001</v>
      </c>
      <c r="AU783" s="1">
        <f t="shared" si="99"/>
        <v>0.7069959764383007</v>
      </c>
      <c r="AV783" s="1">
        <f t="shared" si="100"/>
        <v>0.51096590557981103</v>
      </c>
      <c r="AW783" s="1">
        <f t="shared" si="101"/>
        <v>0.31493583472132147</v>
      </c>
    </row>
    <row r="784" spans="1:49" x14ac:dyDescent="0.2">
      <c r="A784">
        <v>782</v>
      </c>
      <c r="B784" t="s">
        <v>4293</v>
      </c>
      <c r="C784" t="s">
        <v>4292</v>
      </c>
      <c r="F784" t="s">
        <v>4291</v>
      </c>
      <c r="G784" t="s">
        <v>15</v>
      </c>
      <c r="H784" t="s">
        <v>14</v>
      </c>
      <c r="I784" t="s">
        <v>4290</v>
      </c>
      <c r="J784">
        <v>60010818</v>
      </c>
      <c r="K784" t="s">
        <v>1546</v>
      </c>
      <c r="L784" t="s">
        <v>1545</v>
      </c>
      <c r="M784" t="s">
        <v>493</v>
      </c>
      <c r="N784">
        <v>3</v>
      </c>
      <c r="O784" t="s">
        <v>4289</v>
      </c>
      <c r="P784" t="s">
        <v>4288</v>
      </c>
      <c r="Q784" t="s">
        <v>4287</v>
      </c>
      <c r="R784" s="7">
        <v>33970</v>
      </c>
      <c r="S784" s="8">
        <f t="shared" si="96"/>
        <v>1993</v>
      </c>
      <c r="T784" s="8">
        <v>1993</v>
      </c>
      <c r="U784" s="8">
        <f t="shared" si="97"/>
        <v>29</v>
      </c>
      <c r="V784" s="7">
        <v>34090</v>
      </c>
      <c r="W784" t="s">
        <v>868</v>
      </c>
      <c r="X784" s="2">
        <v>0.375</v>
      </c>
      <c r="Y784" s="6">
        <f t="shared" si="102"/>
        <v>1.0010410827260351E-2</v>
      </c>
      <c r="AA784">
        <v>135194</v>
      </c>
      <c r="AB784">
        <v>24918</v>
      </c>
      <c r="AD784" t="s">
        <v>5</v>
      </c>
      <c r="AE784">
        <v>29</v>
      </c>
      <c r="AF784">
        <v>10</v>
      </c>
      <c r="AH784" t="s">
        <v>4286</v>
      </c>
      <c r="AI784" t="s">
        <v>4285</v>
      </c>
      <c r="AJ784" t="s">
        <v>4284</v>
      </c>
      <c r="AK784" t="s">
        <v>4283</v>
      </c>
      <c r="AL784">
        <v>12</v>
      </c>
      <c r="AM784" s="5">
        <f t="shared" si="98"/>
        <v>0.41379310344827586</v>
      </c>
      <c r="AN784" s="4">
        <f t="shared" si="103"/>
        <v>6.2672185300761203E-4</v>
      </c>
      <c r="AO784" s="3"/>
      <c r="AP784">
        <v>0</v>
      </c>
      <c r="AR784" t="s">
        <v>1</v>
      </c>
      <c r="AT784" s="2">
        <v>1.3140000000000001</v>
      </c>
      <c r="AU784" s="1">
        <f t="shared" si="99"/>
        <v>0.71953041349845293</v>
      </c>
      <c r="AV784" s="1">
        <f t="shared" si="100"/>
        <v>0.53185663401339822</v>
      </c>
      <c r="AW784" s="1">
        <f t="shared" si="101"/>
        <v>0.34418285452834335</v>
      </c>
    </row>
    <row r="785" spans="1:49" x14ac:dyDescent="0.2">
      <c r="A785">
        <v>783</v>
      </c>
      <c r="B785" t="s">
        <v>4282</v>
      </c>
      <c r="C785" t="s">
        <v>4281</v>
      </c>
      <c r="F785" t="s">
        <v>4280</v>
      </c>
      <c r="G785" t="s">
        <v>15</v>
      </c>
      <c r="H785" t="s">
        <v>14</v>
      </c>
      <c r="I785" t="s">
        <v>4279</v>
      </c>
      <c r="J785">
        <v>60007742</v>
      </c>
      <c r="K785" t="s">
        <v>4278</v>
      </c>
      <c r="L785" t="s">
        <v>4277</v>
      </c>
      <c r="M785" t="s">
        <v>10</v>
      </c>
      <c r="N785">
        <v>4</v>
      </c>
      <c r="O785" t="s">
        <v>4276</v>
      </c>
      <c r="P785" t="s">
        <v>4275</v>
      </c>
      <c r="Q785" t="s">
        <v>4274</v>
      </c>
      <c r="R785" s="7">
        <v>33970</v>
      </c>
      <c r="S785" s="8">
        <f t="shared" si="96"/>
        <v>1993</v>
      </c>
      <c r="T785" s="8">
        <v>1993</v>
      </c>
      <c r="U785" s="8">
        <f t="shared" si="97"/>
        <v>29</v>
      </c>
      <c r="V785" s="7">
        <v>34090</v>
      </c>
      <c r="W785" t="s">
        <v>868</v>
      </c>
      <c r="X785" s="2">
        <v>0.375</v>
      </c>
      <c r="Y785" s="6">
        <f t="shared" si="102"/>
        <v>1.0010410827260351E-2</v>
      </c>
      <c r="AA785">
        <v>135194</v>
      </c>
      <c r="AB785">
        <v>24918</v>
      </c>
      <c r="AD785" t="s">
        <v>5</v>
      </c>
      <c r="AE785">
        <v>29</v>
      </c>
      <c r="AF785">
        <v>10</v>
      </c>
      <c r="AH785" t="s">
        <v>4273</v>
      </c>
      <c r="AI785" t="s">
        <v>4272</v>
      </c>
      <c r="AJ785" t="s">
        <v>4271</v>
      </c>
      <c r="AK785" t="s">
        <v>4270</v>
      </c>
      <c r="AL785">
        <v>3</v>
      </c>
      <c r="AM785" s="5">
        <f t="shared" si="98"/>
        <v>0.10344827586206896</v>
      </c>
      <c r="AN785" s="4">
        <f t="shared" si="103"/>
        <v>1.5668046325190301E-4</v>
      </c>
      <c r="AO785" s="3"/>
      <c r="AP785">
        <v>0</v>
      </c>
      <c r="AR785" t="s">
        <v>1</v>
      </c>
      <c r="AT785" s="2">
        <v>1.3140000000000001</v>
      </c>
      <c r="AU785" s="1">
        <f t="shared" si="99"/>
        <v>0.70542917180578169</v>
      </c>
      <c r="AV785" s="1">
        <f t="shared" si="100"/>
        <v>0.50835456452561267</v>
      </c>
      <c r="AW785" s="1">
        <f t="shared" si="101"/>
        <v>0.31127995724544377</v>
      </c>
    </row>
    <row r="786" spans="1:49" x14ac:dyDescent="0.2">
      <c r="A786">
        <v>784</v>
      </c>
      <c r="B786" t="s">
        <v>4269</v>
      </c>
      <c r="C786" t="s">
        <v>4268</v>
      </c>
      <c r="F786" t="s">
        <v>4267</v>
      </c>
      <c r="G786" t="s">
        <v>15</v>
      </c>
      <c r="H786" t="s">
        <v>14</v>
      </c>
      <c r="I786" t="s">
        <v>4266</v>
      </c>
      <c r="J786">
        <v>60021032</v>
      </c>
      <c r="K786" t="s">
        <v>3785</v>
      </c>
      <c r="L786" t="s">
        <v>4181</v>
      </c>
      <c r="M786" t="s">
        <v>10</v>
      </c>
      <c r="N786">
        <v>2</v>
      </c>
      <c r="O786" t="s">
        <v>4265</v>
      </c>
      <c r="P786" t="s">
        <v>4264</v>
      </c>
      <c r="Q786" t="s">
        <v>4263</v>
      </c>
      <c r="R786" s="7">
        <v>33970</v>
      </c>
      <c r="S786" s="8">
        <f t="shared" si="96"/>
        <v>1993</v>
      </c>
      <c r="T786" s="8">
        <v>1993</v>
      </c>
      <c r="U786" s="8">
        <f t="shared" si="97"/>
        <v>29</v>
      </c>
      <c r="V786" s="7">
        <v>34090</v>
      </c>
      <c r="W786" t="s">
        <v>814</v>
      </c>
      <c r="X786" s="2">
        <v>1.6519999999999999</v>
      </c>
      <c r="Y786" s="6">
        <f t="shared" si="102"/>
        <v>4.409919649769093E-2</v>
      </c>
      <c r="AA786" t="s">
        <v>813</v>
      </c>
      <c r="AB786">
        <v>17337</v>
      </c>
      <c r="AC786">
        <v>15582221</v>
      </c>
      <c r="AD786" t="s">
        <v>5</v>
      </c>
      <c r="AE786">
        <v>41</v>
      </c>
      <c r="AF786">
        <v>5</v>
      </c>
      <c r="AH786" t="s">
        <v>4262</v>
      </c>
      <c r="AI786" t="s">
        <v>4261</v>
      </c>
      <c r="AK786" t="s">
        <v>4260</v>
      </c>
      <c r="AL786">
        <v>86</v>
      </c>
      <c r="AM786" s="5">
        <f t="shared" si="98"/>
        <v>2.9655172413793105</v>
      </c>
      <c r="AN786" s="4">
        <f t="shared" si="103"/>
        <v>4.4915066132212196E-3</v>
      </c>
      <c r="AO786" s="3"/>
      <c r="AP786">
        <v>0</v>
      </c>
      <c r="AQ786" t="s">
        <v>2475</v>
      </c>
      <c r="AR786" t="s">
        <v>4259</v>
      </c>
      <c r="AS786" t="s">
        <v>2473</v>
      </c>
      <c r="AT786" s="2" t="s">
        <v>0</v>
      </c>
      <c r="AU786" s="1">
        <f t="shared" si="99"/>
        <v>3.2216889532350015</v>
      </c>
      <c r="AV786" s="1">
        <f t="shared" si="100"/>
        <v>2.4295351555456075</v>
      </c>
      <c r="AW786" s="1">
        <f t="shared" si="101"/>
        <v>1.6373813578562131</v>
      </c>
    </row>
    <row r="787" spans="1:49" x14ac:dyDescent="0.2">
      <c r="A787">
        <v>785</v>
      </c>
      <c r="B787" t="s">
        <v>4258</v>
      </c>
      <c r="C787" t="s">
        <v>4257</v>
      </c>
      <c r="F787" t="s">
        <v>4256</v>
      </c>
      <c r="G787" t="s">
        <v>15</v>
      </c>
      <c r="H787" t="s">
        <v>14</v>
      </c>
      <c r="I787" t="s">
        <v>4255</v>
      </c>
      <c r="J787">
        <v>60008524</v>
      </c>
      <c r="K787" t="s">
        <v>3124</v>
      </c>
      <c r="L787" t="s">
        <v>3123</v>
      </c>
      <c r="M787" t="s">
        <v>493</v>
      </c>
      <c r="N787">
        <v>3</v>
      </c>
      <c r="O787" t="s">
        <v>4254</v>
      </c>
      <c r="P787" t="s">
        <v>4253</v>
      </c>
      <c r="Q787" t="s">
        <v>3584</v>
      </c>
      <c r="R787" s="7">
        <v>33970</v>
      </c>
      <c r="S787" s="8">
        <f t="shared" si="96"/>
        <v>1993</v>
      </c>
      <c r="T787" s="8">
        <v>1993</v>
      </c>
      <c r="U787" s="8">
        <f t="shared" si="97"/>
        <v>29</v>
      </c>
      <c r="V787" s="7" t="s">
        <v>4189</v>
      </c>
      <c r="W787" t="s">
        <v>906</v>
      </c>
      <c r="X787" s="2">
        <v>0.33800000000000002</v>
      </c>
      <c r="Y787" s="6">
        <f t="shared" si="102"/>
        <v>9.0227169589706634E-3</v>
      </c>
      <c r="AA787">
        <v>7372884</v>
      </c>
      <c r="AB787">
        <v>70506</v>
      </c>
      <c r="AC787">
        <v>10991247</v>
      </c>
      <c r="AD787" t="s">
        <v>5</v>
      </c>
      <c r="AE787">
        <v>11</v>
      </c>
      <c r="AF787">
        <v>3</v>
      </c>
      <c r="AH787" t="s">
        <v>4252</v>
      </c>
      <c r="AI787" t="s">
        <v>4251</v>
      </c>
      <c r="AJ787" t="s">
        <v>4250</v>
      </c>
      <c r="AK787" t="s">
        <v>4249</v>
      </c>
      <c r="AL787">
        <v>2</v>
      </c>
      <c r="AM787" s="5">
        <f t="shared" si="98"/>
        <v>6.8965517241379309E-2</v>
      </c>
      <c r="AN787" s="4">
        <f t="shared" si="103"/>
        <v>1.0445364216793535E-4</v>
      </c>
      <c r="AO787" s="3"/>
      <c r="AP787">
        <v>0</v>
      </c>
      <c r="AR787" t="s">
        <v>1</v>
      </c>
      <c r="AT787" s="2" t="s">
        <v>0</v>
      </c>
      <c r="AU787" s="1">
        <f t="shared" si="99"/>
        <v>0.63472379639298437</v>
      </c>
      <c r="AV787" s="1">
        <f t="shared" si="100"/>
        <v>0.45635853005692995</v>
      </c>
      <c r="AW787" s="1">
        <f t="shared" si="101"/>
        <v>0.27799326372087541</v>
      </c>
    </row>
    <row r="788" spans="1:49" x14ac:dyDescent="0.2">
      <c r="A788">
        <v>786</v>
      </c>
      <c r="B788" t="s">
        <v>4248</v>
      </c>
      <c r="C788" t="s">
        <v>4247</v>
      </c>
      <c r="F788" t="s">
        <v>4246</v>
      </c>
      <c r="G788" t="s">
        <v>15</v>
      </c>
      <c r="H788" t="s">
        <v>14</v>
      </c>
      <c r="I788" t="s">
        <v>4245</v>
      </c>
      <c r="N788">
        <v>2</v>
      </c>
      <c r="O788" t="s">
        <v>4244</v>
      </c>
      <c r="P788" t="s">
        <v>4243</v>
      </c>
      <c r="Q788" t="s">
        <v>1557</v>
      </c>
      <c r="R788" s="7">
        <v>33970</v>
      </c>
      <c r="S788" s="8">
        <f t="shared" si="96"/>
        <v>1993</v>
      </c>
      <c r="T788" s="8">
        <v>1993</v>
      </c>
      <c r="U788" s="8">
        <f t="shared" si="97"/>
        <v>29</v>
      </c>
      <c r="V788" s="7">
        <v>34090</v>
      </c>
      <c r="W788" t="s">
        <v>814</v>
      </c>
      <c r="X788" s="2">
        <v>1.6519999999999999</v>
      </c>
      <c r="Y788" s="6">
        <f t="shared" si="102"/>
        <v>4.409919649769093E-2</v>
      </c>
      <c r="AA788" t="s">
        <v>813</v>
      </c>
      <c r="AB788">
        <v>17337</v>
      </c>
      <c r="AC788">
        <v>15582221</v>
      </c>
      <c r="AD788" t="s">
        <v>5</v>
      </c>
      <c r="AE788">
        <v>41</v>
      </c>
      <c r="AF788">
        <v>5</v>
      </c>
      <c r="AH788" t="s">
        <v>4242</v>
      </c>
      <c r="AI788" t="s">
        <v>4241</v>
      </c>
      <c r="AK788" t="s">
        <v>4240</v>
      </c>
      <c r="AL788">
        <v>12</v>
      </c>
      <c r="AM788" s="5">
        <f t="shared" si="98"/>
        <v>0.41379310344827586</v>
      </c>
      <c r="AN788" s="4">
        <f t="shared" si="103"/>
        <v>6.2672185300761203E-4</v>
      </c>
      <c r="AO788" s="3"/>
      <c r="AP788">
        <v>0</v>
      </c>
      <c r="AQ788" t="s">
        <v>2762</v>
      </c>
      <c r="AR788" t="s">
        <v>4239</v>
      </c>
      <c r="AS788" t="s">
        <v>2760</v>
      </c>
      <c r="AT788" s="2" t="s">
        <v>0</v>
      </c>
      <c r="AU788" s="1">
        <f t="shared" si="99"/>
        <v>3.1057454104285935</v>
      </c>
      <c r="AV788" s="1">
        <f t="shared" si="100"/>
        <v>2.2362959175349273</v>
      </c>
      <c r="AW788" s="1">
        <f t="shared" si="101"/>
        <v>1.3668464246412608</v>
      </c>
    </row>
    <row r="789" spans="1:49" x14ac:dyDescent="0.2">
      <c r="A789">
        <v>787</v>
      </c>
      <c r="B789" t="s">
        <v>4238</v>
      </c>
      <c r="C789" t="s">
        <v>4237</v>
      </c>
      <c r="F789" t="s">
        <v>4236</v>
      </c>
      <c r="G789" t="s">
        <v>15</v>
      </c>
      <c r="H789" t="s">
        <v>14</v>
      </c>
      <c r="I789" t="s">
        <v>4235</v>
      </c>
      <c r="J789">
        <v>60008134</v>
      </c>
      <c r="K789" t="s">
        <v>4234</v>
      </c>
      <c r="L789" t="s">
        <v>4233</v>
      </c>
      <c r="M789" t="s">
        <v>303</v>
      </c>
      <c r="N789">
        <v>3</v>
      </c>
      <c r="O789" t="s">
        <v>4232</v>
      </c>
      <c r="P789" t="s">
        <v>4231</v>
      </c>
      <c r="Q789" t="s">
        <v>4230</v>
      </c>
      <c r="R789" s="7">
        <v>33970</v>
      </c>
      <c r="S789" s="8">
        <f t="shared" si="96"/>
        <v>1993</v>
      </c>
      <c r="T789" s="8">
        <v>1993</v>
      </c>
      <c r="U789" s="8">
        <f t="shared" si="97"/>
        <v>29</v>
      </c>
      <c r="V789" s="7">
        <v>34090</v>
      </c>
      <c r="W789" t="s">
        <v>868</v>
      </c>
      <c r="X789" s="2">
        <v>0.375</v>
      </c>
      <c r="Y789" s="6">
        <f t="shared" si="102"/>
        <v>1.0010410827260351E-2</v>
      </c>
      <c r="AA789">
        <v>135194</v>
      </c>
      <c r="AB789">
        <v>24918</v>
      </c>
      <c r="AD789" t="s">
        <v>5</v>
      </c>
      <c r="AE789">
        <v>29</v>
      </c>
      <c r="AF789">
        <v>10</v>
      </c>
      <c r="AH789" t="s">
        <v>4229</v>
      </c>
      <c r="AI789" t="s">
        <v>4228</v>
      </c>
      <c r="AJ789" t="s">
        <v>4227</v>
      </c>
      <c r="AK789" t="s">
        <v>4226</v>
      </c>
      <c r="AL789">
        <v>21</v>
      </c>
      <c r="AM789" s="5">
        <f t="shared" si="98"/>
        <v>0.72413793103448276</v>
      </c>
      <c r="AN789" s="4">
        <f t="shared" si="103"/>
        <v>1.0967632427633211E-3</v>
      </c>
      <c r="AO789" s="3"/>
      <c r="AP789">
        <v>0</v>
      </c>
      <c r="AR789" t="s">
        <v>1</v>
      </c>
      <c r="AT789" s="2">
        <v>1.3140000000000001</v>
      </c>
      <c r="AU789" s="1">
        <f t="shared" si="99"/>
        <v>0.73363165519112428</v>
      </c>
      <c r="AV789" s="1">
        <f t="shared" si="100"/>
        <v>0.55535870350118355</v>
      </c>
      <c r="AW789" s="1">
        <f t="shared" si="101"/>
        <v>0.37708575181124299</v>
      </c>
    </row>
    <row r="790" spans="1:49" x14ac:dyDescent="0.2">
      <c r="A790">
        <v>788</v>
      </c>
      <c r="B790" t="s">
        <v>4225</v>
      </c>
      <c r="C790" t="s">
        <v>4224</v>
      </c>
      <c r="F790" t="s">
        <v>4223</v>
      </c>
      <c r="G790" t="s">
        <v>15</v>
      </c>
      <c r="H790" t="s">
        <v>14</v>
      </c>
      <c r="I790" t="s">
        <v>2438</v>
      </c>
      <c r="J790">
        <v>60011357</v>
      </c>
      <c r="K790" t="s">
        <v>2437</v>
      </c>
      <c r="L790" t="s">
        <v>2436</v>
      </c>
      <c r="M790" t="s">
        <v>1909</v>
      </c>
      <c r="N790">
        <v>3</v>
      </c>
      <c r="O790" t="s">
        <v>4222</v>
      </c>
      <c r="P790" t="s">
        <v>4221</v>
      </c>
      <c r="Q790" t="s">
        <v>4130</v>
      </c>
      <c r="R790" s="7">
        <v>33970</v>
      </c>
      <c r="S790" s="8">
        <f t="shared" si="96"/>
        <v>1993</v>
      </c>
      <c r="T790" s="8">
        <v>1993</v>
      </c>
      <c r="U790" s="8">
        <f t="shared" si="97"/>
        <v>29</v>
      </c>
      <c r="V790" s="7">
        <v>34090</v>
      </c>
      <c r="W790" t="s">
        <v>814</v>
      </c>
      <c r="X790" s="2">
        <v>1.6519999999999999</v>
      </c>
      <c r="Y790" s="6">
        <f t="shared" si="102"/>
        <v>4.409919649769093E-2</v>
      </c>
      <c r="AA790" t="s">
        <v>813</v>
      </c>
      <c r="AB790">
        <v>17337</v>
      </c>
      <c r="AC790">
        <v>15582221</v>
      </c>
      <c r="AD790" t="s">
        <v>5</v>
      </c>
      <c r="AE790">
        <v>41</v>
      </c>
      <c r="AF790">
        <v>5</v>
      </c>
      <c r="AH790" t="s">
        <v>4220</v>
      </c>
      <c r="AI790" t="s">
        <v>4219</v>
      </c>
      <c r="AK790" t="s">
        <v>4218</v>
      </c>
      <c r="AL790">
        <v>23</v>
      </c>
      <c r="AM790" s="5">
        <f t="shared" si="98"/>
        <v>0.7931034482758621</v>
      </c>
      <c r="AN790" s="4">
        <f t="shared" si="103"/>
        <v>1.2012168849312565E-3</v>
      </c>
      <c r="AO790" s="3"/>
      <c r="AP790">
        <v>0</v>
      </c>
      <c r="AR790" t="s">
        <v>1</v>
      </c>
      <c r="AT790" s="2" t="s">
        <v>0</v>
      </c>
      <c r="AU790" s="1">
        <f t="shared" si="99"/>
        <v>3.1229802613863029</v>
      </c>
      <c r="AV790" s="1">
        <f t="shared" si="100"/>
        <v>2.2650206691311094</v>
      </c>
      <c r="AW790" s="1">
        <f t="shared" si="101"/>
        <v>1.4070610768759158</v>
      </c>
    </row>
    <row r="791" spans="1:49" x14ac:dyDescent="0.2">
      <c r="A791">
        <v>789</v>
      </c>
      <c r="B791" t="s">
        <v>4217</v>
      </c>
      <c r="C791" t="s">
        <v>4216</v>
      </c>
      <c r="F791" t="s">
        <v>4215</v>
      </c>
      <c r="G791" t="s">
        <v>15</v>
      </c>
      <c r="H791" t="s">
        <v>14</v>
      </c>
      <c r="I791" t="s">
        <v>4214</v>
      </c>
      <c r="J791">
        <v>60032006</v>
      </c>
      <c r="K791" t="s">
        <v>4213</v>
      </c>
      <c r="L791" t="s">
        <v>4212</v>
      </c>
      <c r="M791" t="s">
        <v>303</v>
      </c>
      <c r="N791">
        <v>3</v>
      </c>
      <c r="O791" t="s">
        <v>4211</v>
      </c>
      <c r="P791" t="s">
        <v>4210</v>
      </c>
      <c r="Q791" t="s">
        <v>4209</v>
      </c>
      <c r="R791" s="7">
        <v>33970</v>
      </c>
      <c r="S791" s="8">
        <f t="shared" si="96"/>
        <v>1993</v>
      </c>
      <c r="T791" s="8">
        <v>1993</v>
      </c>
      <c r="U791" s="8">
        <f t="shared" si="97"/>
        <v>29</v>
      </c>
      <c r="V791" s="7">
        <v>34090</v>
      </c>
      <c r="W791" t="s">
        <v>814</v>
      </c>
      <c r="X791" s="2">
        <v>1.6519999999999999</v>
      </c>
      <c r="Y791" s="6">
        <f t="shared" si="102"/>
        <v>4.409919649769093E-2</v>
      </c>
      <c r="AA791" t="s">
        <v>813</v>
      </c>
      <c r="AB791">
        <v>17337</v>
      </c>
      <c r="AC791">
        <v>15582221</v>
      </c>
      <c r="AD791" t="s">
        <v>5</v>
      </c>
      <c r="AE791">
        <v>41</v>
      </c>
      <c r="AF791">
        <v>5</v>
      </c>
      <c r="AH791" t="s">
        <v>4208</v>
      </c>
      <c r="AI791" t="s">
        <v>4207</v>
      </c>
      <c r="AK791" t="s">
        <v>4206</v>
      </c>
      <c r="AL791">
        <v>7</v>
      </c>
      <c r="AM791" s="5">
        <f t="shared" si="98"/>
        <v>0.2413793103448276</v>
      </c>
      <c r="AN791" s="4">
        <f t="shared" si="103"/>
        <v>3.655877475877737E-4</v>
      </c>
      <c r="AO791" s="3"/>
      <c r="AP791">
        <v>0</v>
      </c>
      <c r="AR791" t="s">
        <v>1</v>
      </c>
      <c r="AT791" s="2" t="s">
        <v>0</v>
      </c>
      <c r="AU791" s="1">
        <f t="shared" si="99"/>
        <v>3.0979113872659982</v>
      </c>
      <c r="AV791" s="1">
        <f t="shared" si="100"/>
        <v>2.2232392122639353</v>
      </c>
      <c r="AW791" s="1">
        <f t="shared" si="101"/>
        <v>1.3485670372618719</v>
      </c>
    </row>
    <row r="792" spans="1:49" x14ac:dyDescent="0.2">
      <c r="A792">
        <v>790</v>
      </c>
      <c r="B792" t="s">
        <v>4205</v>
      </c>
      <c r="C792" t="s">
        <v>4204</v>
      </c>
      <c r="F792" t="s">
        <v>4203</v>
      </c>
      <c r="G792" t="s">
        <v>15</v>
      </c>
      <c r="H792" t="s">
        <v>14</v>
      </c>
      <c r="I792" t="s">
        <v>4202</v>
      </c>
      <c r="N792">
        <v>2</v>
      </c>
      <c r="O792" t="s">
        <v>4201</v>
      </c>
      <c r="P792" t="s">
        <v>4200</v>
      </c>
      <c r="Q792" t="s">
        <v>1557</v>
      </c>
      <c r="R792" s="7">
        <v>33970</v>
      </c>
      <c r="S792" s="8">
        <f t="shared" si="96"/>
        <v>1993</v>
      </c>
      <c r="T792" s="8">
        <v>1993</v>
      </c>
      <c r="U792" s="8">
        <f t="shared" si="97"/>
        <v>29</v>
      </c>
      <c r="V792" s="7">
        <v>34090</v>
      </c>
      <c r="W792" t="s">
        <v>814</v>
      </c>
      <c r="X792" s="2">
        <v>1.6519999999999999</v>
      </c>
      <c r="Y792" s="6">
        <f t="shared" si="102"/>
        <v>4.409919649769093E-2</v>
      </c>
      <c r="AA792" t="s">
        <v>813</v>
      </c>
      <c r="AB792">
        <v>17337</v>
      </c>
      <c r="AC792">
        <v>15582221</v>
      </c>
      <c r="AD792" t="s">
        <v>5</v>
      </c>
      <c r="AE792">
        <v>41</v>
      </c>
      <c r="AF792">
        <v>5</v>
      </c>
      <c r="AH792" t="s">
        <v>4199</v>
      </c>
      <c r="AI792" t="s">
        <v>4198</v>
      </c>
      <c r="AK792" t="s">
        <v>4197</v>
      </c>
      <c r="AL792">
        <v>17</v>
      </c>
      <c r="AM792" s="5">
        <f t="shared" si="98"/>
        <v>0.58620689655172409</v>
      </c>
      <c r="AN792" s="4">
        <f t="shared" si="103"/>
        <v>8.8785595842745036E-4</v>
      </c>
      <c r="AO792" s="3"/>
      <c r="AP792">
        <v>0</v>
      </c>
      <c r="AR792" t="s">
        <v>1</v>
      </c>
      <c r="AT792" s="2" t="s">
        <v>0</v>
      </c>
      <c r="AU792" s="1">
        <f t="shared" si="99"/>
        <v>3.1135794335911888</v>
      </c>
      <c r="AV792" s="1">
        <f t="shared" si="100"/>
        <v>2.2493526228059189</v>
      </c>
      <c r="AW792" s="1">
        <f t="shared" si="101"/>
        <v>1.3851258120206493</v>
      </c>
    </row>
    <row r="793" spans="1:49" x14ac:dyDescent="0.2">
      <c r="A793">
        <v>791</v>
      </c>
      <c r="B793" t="s">
        <v>4196</v>
      </c>
      <c r="C793" t="s">
        <v>4195</v>
      </c>
      <c r="F793" t="s">
        <v>4194</v>
      </c>
      <c r="G793" t="s">
        <v>15</v>
      </c>
      <c r="H793" t="s">
        <v>14</v>
      </c>
      <c r="I793" t="s">
        <v>4193</v>
      </c>
      <c r="J793">
        <v>60005304</v>
      </c>
      <c r="K793" t="s">
        <v>592</v>
      </c>
      <c r="L793" t="s">
        <v>591</v>
      </c>
      <c r="M793" t="s">
        <v>10</v>
      </c>
      <c r="N793">
        <v>2</v>
      </c>
      <c r="O793" t="s">
        <v>4192</v>
      </c>
      <c r="P793" t="s">
        <v>4191</v>
      </c>
      <c r="Q793" t="s">
        <v>4190</v>
      </c>
      <c r="R793" s="7">
        <v>33970</v>
      </c>
      <c r="S793" s="8">
        <f t="shared" si="96"/>
        <v>1993</v>
      </c>
      <c r="T793" s="8">
        <v>1993</v>
      </c>
      <c r="U793" s="8">
        <f t="shared" si="97"/>
        <v>29</v>
      </c>
      <c r="V793" s="7" t="s">
        <v>4189</v>
      </c>
      <c r="W793" t="s">
        <v>906</v>
      </c>
      <c r="X793" s="2">
        <v>0.33800000000000002</v>
      </c>
      <c r="Y793" s="6">
        <f t="shared" si="102"/>
        <v>9.0227169589706634E-3</v>
      </c>
      <c r="AA793">
        <v>7372884</v>
      </c>
      <c r="AB793">
        <v>70506</v>
      </c>
      <c r="AC793">
        <v>10991247</v>
      </c>
      <c r="AD793" t="s">
        <v>5</v>
      </c>
      <c r="AE793">
        <v>11</v>
      </c>
      <c r="AF793">
        <v>3</v>
      </c>
      <c r="AH793" t="s">
        <v>4188</v>
      </c>
      <c r="AI793" t="s">
        <v>4187</v>
      </c>
      <c r="AJ793" t="s">
        <v>4186</v>
      </c>
      <c r="AK793" t="s">
        <v>4185</v>
      </c>
      <c r="AL793">
        <v>0</v>
      </c>
      <c r="AM793" s="5">
        <f t="shared" si="98"/>
        <v>0</v>
      </c>
      <c r="AN793" s="4">
        <f t="shared" si="103"/>
        <v>0</v>
      </c>
      <c r="AO793" s="3"/>
      <c r="AP793">
        <v>0</v>
      </c>
      <c r="AR793" t="s">
        <v>1</v>
      </c>
      <c r="AT793" s="2" t="s">
        <v>0</v>
      </c>
      <c r="AU793" s="1">
        <f t="shared" si="99"/>
        <v>0.63159018712794635</v>
      </c>
      <c r="AV793" s="1">
        <f t="shared" si="100"/>
        <v>0.45113584794853318</v>
      </c>
      <c r="AW793" s="1">
        <f t="shared" si="101"/>
        <v>0.27068150876911989</v>
      </c>
    </row>
    <row r="794" spans="1:49" x14ac:dyDescent="0.2">
      <c r="A794">
        <v>792</v>
      </c>
      <c r="B794" t="s">
        <v>4184</v>
      </c>
      <c r="C794" t="s">
        <v>4183</v>
      </c>
      <c r="F794" t="s">
        <v>4182</v>
      </c>
      <c r="G794" t="s">
        <v>15</v>
      </c>
      <c r="H794" t="s">
        <v>14</v>
      </c>
      <c r="I794" t="s">
        <v>1071</v>
      </c>
      <c r="J794">
        <v>60019647</v>
      </c>
      <c r="K794" t="s">
        <v>3785</v>
      </c>
      <c r="L794" t="s">
        <v>4181</v>
      </c>
      <c r="M794" t="s">
        <v>10</v>
      </c>
      <c r="N794">
        <v>2</v>
      </c>
      <c r="O794" t="s">
        <v>4180</v>
      </c>
      <c r="P794" t="s">
        <v>4179</v>
      </c>
      <c r="Q794" t="s">
        <v>4178</v>
      </c>
      <c r="R794" s="7">
        <v>33970</v>
      </c>
      <c r="S794" s="8">
        <f t="shared" si="96"/>
        <v>1993</v>
      </c>
      <c r="T794" s="8">
        <v>1993</v>
      </c>
      <c r="U794" s="8">
        <f t="shared" si="97"/>
        <v>29</v>
      </c>
      <c r="V794" s="7">
        <v>34090</v>
      </c>
      <c r="W794" t="s">
        <v>548</v>
      </c>
      <c r="X794" s="2">
        <v>1.3720000000000001</v>
      </c>
      <c r="Y794" s="6">
        <f t="shared" si="102"/>
        <v>3.662475641333654E-2</v>
      </c>
      <c r="AA794">
        <v>189480</v>
      </c>
      <c r="AB794">
        <v>17366</v>
      </c>
      <c r="AC794">
        <v>15579670</v>
      </c>
      <c r="AD794" t="s">
        <v>5</v>
      </c>
      <c r="AE794">
        <v>41</v>
      </c>
      <c r="AF794">
        <v>5</v>
      </c>
      <c r="AH794" t="s">
        <v>4177</v>
      </c>
      <c r="AI794" t="s">
        <v>4176</v>
      </c>
      <c r="AK794" t="s">
        <v>4175</v>
      </c>
      <c r="AL794">
        <v>50</v>
      </c>
      <c r="AM794" s="5">
        <f t="shared" si="98"/>
        <v>1.7241379310344827</v>
      </c>
      <c r="AN794" s="4">
        <f t="shared" si="103"/>
        <v>2.6113410541983833E-3</v>
      </c>
      <c r="AO794" s="3"/>
      <c r="AP794">
        <v>0</v>
      </c>
      <c r="AQ794" t="s">
        <v>639</v>
      </c>
      <c r="AR794" t="s">
        <v>4174</v>
      </c>
      <c r="AS794" t="s">
        <v>638</v>
      </c>
      <c r="AT794" s="2" t="s">
        <v>0</v>
      </c>
      <c r="AU794" s="1">
        <f t="shared" si="99"/>
        <v>2.642073180559509</v>
      </c>
      <c r="AV794" s="1">
        <f t="shared" si="100"/>
        <v>1.9618048733767464</v>
      </c>
      <c r="AW794" s="1">
        <f t="shared" si="101"/>
        <v>1.281536566193983</v>
      </c>
    </row>
    <row r="795" spans="1:49" x14ac:dyDescent="0.2">
      <c r="A795">
        <v>793</v>
      </c>
      <c r="B795" t="s">
        <v>4173</v>
      </c>
      <c r="C795" t="s">
        <v>4172</v>
      </c>
      <c r="F795" t="s">
        <v>4171</v>
      </c>
      <c r="G795" t="s">
        <v>15</v>
      </c>
      <c r="H795" t="s">
        <v>14</v>
      </c>
      <c r="I795" t="s">
        <v>4170</v>
      </c>
      <c r="J795">
        <v>60018279</v>
      </c>
      <c r="K795" t="s">
        <v>4169</v>
      </c>
      <c r="L795" t="s">
        <v>4168</v>
      </c>
      <c r="M795" t="s">
        <v>150</v>
      </c>
      <c r="N795">
        <v>3</v>
      </c>
      <c r="O795" t="s">
        <v>4167</v>
      </c>
      <c r="P795" t="s">
        <v>4166</v>
      </c>
      <c r="Q795" t="s">
        <v>4165</v>
      </c>
      <c r="R795" s="7">
        <v>33970</v>
      </c>
      <c r="S795" s="8">
        <f t="shared" si="96"/>
        <v>1993</v>
      </c>
      <c r="T795" s="8">
        <v>1993</v>
      </c>
      <c r="U795" s="8">
        <f t="shared" si="97"/>
        <v>29</v>
      </c>
      <c r="V795" s="7">
        <v>1993</v>
      </c>
      <c r="W795" t="s">
        <v>1720</v>
      </c>
      <c r="X795" s="2">
        <v>0.111</v>
      </c>
      <c r="Y795" s="6">
        <f t="shared" si="102"/>
        <v>2.9630816048690639E-3</v>
      </c>
      <c r="AA795">
        <v>87566621</v>
      </c>
      <c r="AB795">
        <v>24890</v>
      </c>
      <c r="AC795">
        <v>15206424</v>
      </c>
      <c r="AD795" t="s">
        <v>5</v>
      </c>
      <c r="AE795">
        <v>76</v>
      </c>
      <c r="AF795">
        <v>5</v>
      </c>
      <c r="AH795" t="s">
        <v>4164</v>
      </c>
      <c r="AI795" t="s">
        <v>4163</v>
      </c>
      <c r="AJ795" t="s">
        <v>4162</v>
      </c>
      <c r="AK795" t="s">
        <v>4161</v>
      </c>
      <c r="AL795">
        <v>0</v>
      </c>
      <c r="AM795" s="5">
        <f t="shared" si="98"/>
        <v>0</v>
      </c>
      <c r="AN795" s="4">
        <f t="shared" si="103"/>
        <v>0</v>
      </c>
      <c r="AO795" s="3"/>
      <c r="AP795">
        <v>0</v>
      </c>
      <c r="AR795" t="s">
        <v>1</v>
      </c>
      <c r="AT795" s="2" t="s">
        <v>0</v>
      </c>
      <c r="AU795" s="1">
        <f t="shared" si="99"/>
        <v>0.20741571234083445</v>
      </c>
      <c r="AV795" s="1">
        <f t="shared" si="100"/>
        <v>0.1481540802434532</v>
      </c>
      <c r="AW795" s="1">
        <f t="shared" si="101"/>
        <v>8.8892448146071903E-2</v>
      </c>
    </row>
    <row r="796" spans="1:49" x14ac:dyDescent="0.2">
      <c r="A796">
        <v>794</v>
      </c>
      <c r="B796" t="s">
        <v>4160</v>
      </c>
      <c r="C796" t="s">
        <v>4159</v>
      </c>
      <c r="F796" t="s">
        <v>4158</v>
      </c>
      <c r="G796" t="s">
        <v>15</v>
      </c>
      <c r="H796" t="s">
        <v>14</v>
      </c>
      <c r="I796" t="s">
        <v>4157</v>
      </c>
      <c r="J796">
        <v>60008435</v>
      </c>
      <c r="K796" t="s">
        <v>4156</v>
      </c>
      <c r="L796" t="s">
        <v>4155</v>
      </c>
      <c r="M796" t="s">
        <v>150</v>
      </c>
      <c r="N796">
        <v>3</v>
      </c>
      <c r="O796" t="s">
        <v>4154</v>
      </c>
      <c r="P796" t="s">
        <v>4153</v>
      </c>
      <c r="Q796" t="s">
        <v>4152</v>
      </c>
      <c r="R796" s="7">
        <v>33970</v>
      </c>
      <c r="S796" s="8">
        <f t="shared" si="96"/>
        <v>1993</v>
      </c>
      <c r="T796" s="8">
        <v>1993</v>
      </c>
      <c r="U796" s="8">
        <f t="shared" si="97"/>
        <v>29</v>
      </c>
      <c r="V796" s="7">
        <v>34090</v>
      </c>
      <c r="W796" t="s">
        <v>868</v>
      </c>
      <c r="X796" s="2">
        <v>0.375</v>
      </c>
      <c r="Y796" s="6">
        <f t="shared" si="102"/>
        <v>1.0010410827260351E-2</v>
      </c>
      <c r="AA796">
        <v>135194</v>
      </c>
      <c r="AB796">
        <v>24918</v>
      </c>
      <c r="AD796" t="s">
        <v>5</v>
      </c>
      <c r="AE796">
        <v>29</v>
      </c>
      <c r="AF796">
        <v>10</v>
      </c>
      <c r="AH796" t="s">
        <v>4151</v>
      </c>
      <c r="AI796" t="s">
        <v>4150</v>
      </c>
      <c r="AJ796" t="s">
        <v>4149</v>
      </c>
      <c r="AK796" t="s">
        <v>4148</v>
      </c>
      <c r="AL796">
        <v>1</v>
      </c>
      <c r="AM796" s="5">
        <f t="shared" si="98"/>
        <v>3.4482758620689655E-2</v>
      </c>
      <c r="AN796" s="4">
        <f t="shared" si="103"/>
        <v>5.2226821083967674E-5</v>
      </c>
      <c r="AO796" s="3"/>
      <c r="AP796">
        <v>0</v>
      </c>
      <c r="AR796" t="s">
        <v>1</v>
      </c>
      <c r="AT796" s="2">
        <v>1.3140000000000001</v>
      </c>
      <c r="AU796" s="1">
        <f t="shared" si="99"/>
        <v>0.70229556254074355</v>
      </c>
      <c r="AV796" s="1">
        <f t="shared" si="100"/>
        <v>0.50313188241721596</v>
      </c>
      <c r="AW796" s="1">
        <f t="shared" si="101"/>
        <v>0.30396820229368826</v>
      </c>
    </row>
    <row r="797" spans="1:49" x14ac:dyDescent="0.2">
      <c r="A797">
        <v>795</v>
      </c>
      <c r="B797" t="s">
        <v>4147</v>
      </c>
      <c r="C797" t="s">
        <v>4146</v>
      </c>
      <c r="F797" t="s">
        <v>4145</v>
      </c>
      <c r="G797" t="s">
        <v>15</v>
      </c>
      <c r="H797" t="s">
        <v>14</v>
      </c>
      <c r="I797" t="s">
        <v>4144</v>
      </c>
      <c r="J797" t="s">
        <v>4139</v>
      </c>
      <c r="K797" t="s">
        <v>4143</v>
      </c>
      <c r="L797" t="s">
        <v>4142</v>
      </c>
      <c r="M797" t="s">
        <v>235</v>
      </c>
      <c r="N797">
        <v>2</v>
      </c>
      <c r="O797" t="s">
        <v>4141</v>
      </c>
      <c r="P797" t="s">
        <v>4140</v>
      </c>
      <c r="Q797" t="s">
        <v>4139</v>
      </c>
      <c r="R797" s="7">
        <v>33970</v>
      </c>
      <c r="S797" s="8">
        <f t="shared" si="96"/>
        <v>1993</v>
      </c>
      <c r="T797" s="8">
        <v>1993</v>
      </c>
      <c r="U797" s="8">
        <f t="shared" si="97"/>
        <v>29</v>
      </c>
      <c r="V797" s="7">
        <v>34090</v>
      </c>
      <c r="W797" t="s">
        <v>814</v>
      </c>
      <c r="X797" s="2">
        <v>1.6519999999999999</v>
      </c>
      <c r="Y797" s="6">
        <f t="shared" si="102"/>
        <v>4.409919649769093E-2</v>
      </c>
      <c r="AA797" t="s">
        <v>813</v>
      </c>
      <c r="AB797">
        <v>17337</v>
      </c>
      <c r="AC797">
        <v>15582221</v>
      </c>
      <c r="AD797" t="s">
        <v>5</v>
      </c>
      <c r="AE797">
        <v>41</v>
      </c>
      <c r="AF797">
        <v>5</v>
      </c>
      <c r="AH797" t="s">
        <v>4138</v>
      </c>
      <c r="AI797" t="s">
        <v>4137</v>
      </c>
      <c r="AK797" t="s">
        <v>4136</v>
      </c>
      <c r="AL797">
        <v>10</v>
      </c>
      <c r="AM797" s="5">
        <f t="shared" si="98"/>
        <v>0.34482758620689657</v>
      </c>
      <c r="AN797" s="4">
        <f t="shared" si="103"/>
        <v>5.2226821083967677E-4</v>
      </c>
      <c r="AO797" s="3"/>
      <c r="AP797">
        <v>0</v>
      </c>
      <c r="AR797" t="s">
        <v>1</v>
      </c>
      <c r="AT797" s="2" t="s">
        <v>0</v>
      </c>
      <c r="AU797" s="1">
        <f t="shared" si="99"/>
        <v>3.1026118011635551</v>
      </c>
      <c r="AV797" s="1">
        <f t="shared" si="100"/>
        <v>2.2310732354265306</v>
      </c>
      <c r="AW797" s="1">
        <f t="shared" si="101"/>
        <v>1.3595346696895052</v>
      </c>
    </row>
    <row r="798" spans="1:49" x14ac:dyDescent="0.2">
      <c r="A798">
        <v>796</v>
      </c>
      <c r="B798" t="s">
        <v>4135</v>
      </c>
      <c r="C798" t="s">
        <v>4134</v>
      </c>
      <c r="F798" t="s">
        <v>4133</v>
      </c>
      <c r="G798" t="s">
        <v>15</v>
      </c>
      <c r="H798" t="s">
        <v>14</v>
      </c>
      <c r="I798" t="s">
        <v>2438</v>
      </c>
      <c r="J798">
        <v>60011357</v>
      </c>
      <c r="K798" t="s">
        <v>2437</v>
      </c>
      <c r="L798" t="s">
        <v>2436</v>
      </c>
      <c r="M798" t="s">
        <v>1909</v>
      </c>
      <c r="N798">
        <v>3</v>
      </c>
      <c r="O798" t="s">
        <v>4132</v>
      </c>
      <c r="P798" t="s">
        <v>4131</v>
      </c>
      <c r="Q798" t="s">
        <v>4130</v>
      </c>
      <c r="R798" s="7">
        <v>33970</v>
      </c>
      <c r="S798" s="8">
        <f t="shared" si="96"/>
        <v>1993</v>
      </c>
      <c r="T798" s="8">
        <v>1993</v>
      </c>
      <c r="U798" s="8">
        <f t="shared" si="97"/>
        <v>29</v>
      </c>
      <c r="V798" s="7">
        <v>34090</v>
      </c>
      <c r="W798" t="s">
        <v>548</v>
      </c>
      <c r="X798" s="2">
        <v>1.3720000000000001</v>
      </c>
      <c r="Y798" s="6">
        <f t="shared" si="102"/>
        <v>3.662475641333654E-2</v>
      </c>
      <c r="AA798">
        <v>189480</v>
      </c>
      <c r="AB798">
        <v>17366</v>
      </c>
      <c r="AC798">
        <v>15579670</v>
      </c>
      <c r="AD798" t="s">
        <v>5</v>
      </c>
      <c r="AE798">
        <v>41</v>
      </c>
      <c r="AF798">
        <v>5</v>
      </c>
      <c r="AH798" t="s">
        <v>4129</v>
      </c>
      <c r="AI798" t="s">
        <v>4128</v>
      </c>
      <c r="AK798" t="s">
        <v>4127</v>
      </c>
      <c r="AL798">
        <v>53</v>
      </c>
      <c r="AM798" s="5">
        <f t="shared" si="98"/>
        <v>1.8275862068965518</v>
      </c>
      <c r="AN798" s="4">
        <f t="shared" si="103"/>
        <v>2.7680215174502869E-3</v>
      </c>
      <c r="AO798" s="3"/>
      <c r="AP798">
        <v>0</v>
      </c>
      <c r="AR798" t="s">
        <v>4126</v>
      </c>
      <c r="AT798" s="2" t="s">
        <v>0</v>
      </c>
      <c r="AU798" s="1">
        <f t="shared" si="99"/>
        <v>2.6467735944570658</v>
      </c>
      <c r="AV798" s="1">
        <f t="shared" si="100"/>
        <v>1.9696388965393412</v>
      </c>
      <c r="AW798" s="1">
        <f t="shared" si="101"/>
        <v>1.2925041986216161</v>
      </c>
    </row>
    <row r="799" spans="1:49" x14ac:dyDescent="0.2">
      <c r="A799">
        <v>797</v>
      </c>
      <c r="B799" t="s">
        <v>4125</v>
      </c>
      <c r="C799" t="s">
        <v>4124</v>
      </c>
      <c r="F799" t="s">
        <v>4123</v>
      </c>
      <c r="G799" t="s">
        <v>15</v>
      </c>
      <c r="H799" t="s">
        <v>14</v>
      </c>
      <c r="I799" t="s">
        <v>4122</v>
      </c>
      <c r="J799">
        <v>60031226</v>
      </c>
      <c r="K799" t="s">
        <v>4121</v>
      </c>
      <c r="L799" t="s">
        <v>4120</v>
      </c>
      <c r="M799" t="s">
        <v>818</v>
      </c>
      <c r="N799">
        <v>2</v>
      </c>
      <c r="O799" t="s">
        <v>4119</v>
      </c>
      <c r="P799" t="s">
        <v>4118</v>
      </c>
      <c r="Q799" t="s">
        <v>4117</v>
      </c>
      <c r="R799" s="7">
        <v>33970</v>
      </c>
      <c r="S799" s="8">
        <f t="shared" si="96"/>
        <v>1993</v>
      </c>
      <c r="T799" s="8">
        <v>1993</v>
      </c>
      <c r="U799" s="8">
        <f t="shared" si="97"/>
        <v>29</v>
      </c>
      <c r="V799" s="7">
        <v>34090</v>
      </c>
      <c r="W799" t="s">
        <v>814</v>
      </c>
      <c r="X799" s="2">
        <v>1.6519999999999999</v>
      </c>
      <c r="Y799" s="6">
        <f t="shared" si="102"/>
        <v>4.409919649769093E-2</v>
      </c>
      <c r="AA799" t="s">
        <v>813</v>
      </c>
      <c r="AB799">
        <v>17337</v>
      </c>
      <c r="AC799">
        <v>15582221</v>
      </c>
      <c r="AD799" t="s">
        <v>5</v>
      </c>
      <c r="AE799">
        <v>41</v>
      </c>
      <c r="AF799">
        <v>5</v>
      </c>
      <c r="AH799" t="s">
        <v>4116</v>
      </c>
      <c r="AI799" t="s">
        <v>4115</v>
      </c>
      <c r="AK799" t="s">
        <v>4114</v>
      </c>
      <c r="AL799">
        <v>4</v>
      </c>
      <c r="AM799" s="5">
        <f t="shared" si="98"/>
        <v>0.13793103448275862</v>
      </c>
      <c r="AN799" s="4">
        <f t="shared" si="103"/>
        <v>2.089072843358707E-4</v>
      </c>
      <c r="AO799" s="3"/>
      <c r="AP799">
        <v>0</v>
      </c>
      <c r="AQ799" t="s">
        <v>2456</v>
      </c>
      <c r="AR799" t="s">
        <v>1</v>
      </c>
      <c r="AS799" t="s">
        <v>2455</v>
      </c>
      <c r="AT799" s="2" t="s">
        <v>0</v>
      </c>
      <c r="AU799" s="1">
        <f t="shared" si="99"/>
        <v>3.093210973368441</v>
      </c>
      <c r="AV799" s="1">
        <f t="shared" si="100"/>
        <v>2.21540518910134</v>
      </c>
      <c r="AW799" s="1">
        <f t="shared" si="101"/>
        <v>1.3375994048342388</v>
      </c>
    </row>
    <row r="800" spans="1:49" x14ac:dyDescent="0.2">
      <c r="A800">
        <v>798</v>
      </c>
      <c r="B800" t="s">
        <v>4113</v>
      </c>
      <c r="C800" t="s">
        <v>4112</v>
      </c>
      <c r="F800" t="s">
        <v>4111</v>
      </c>
      <c r="G800" t="s">
        <v>15</v>
      </c>
      <c r="H800" t="s">
        <v>14</v>
      </c>
      <c r="I800" t="s">
        <v>4110</v>
      </c>
      <c r="J800">
        <v>60012564</v>
      </c>
      <c r="K800" t="s">
        <v>1022</v>
      </c>
      <c r="L800" t="s">
        <v>1021</v>
      </c>
      <c r="M800" t="s">
        <v>10</v>
      </c>
      <c r="N800">
        <v>3</v>
      </c>
      <c r="O800" t="s">
        <v>4109</v>
      </c>
      <c r="P800" t="s">
        <v>4108</v>
      </c>
      <c r="Q800" t="s">
        <v>4107</v>
      </c>
      <c r="R800" s="7">
        <v>33970</v>
      </c>
      <c r="S800" s="8">
        <f t="shared" si="96"/>
        <v>1993</v>
      </c>
      <c r="T800" s="8">
        <v>1993</v>
      </c>
      <c r="U800" s="8">
        <f t="shared" si="97"/>
        <v>29</v>
      </c>
      <c r="V800" s="7">
        <v>34090</v>
      </c>
      <c r="W800" t="s">
        <v>814</v>
      </c>
      <c r="X800" s="2">
        <v>1.6519999999999999</v>
      </c>
      <c r="Y800" s="6">
        <f t="shared" si="102"/>
        <v>4.409919649769093E-2</v>
      </c>
      <c r="AA800" t="s">
        <v>813</v>
      </c>
      <c r="AB800">
        <v>17337</v>
      </c>
      <c r="AC800">
        <v>15582221</v>
      </c>
      <c r="AD800" t="s">
        <v>5</v>
      </c>
      <c r="AE800">
        <v>41</v>
      </c>
      <c r="AF800">
        <v>5</v>
      </c>
      <c r="AH800" t="s">
        <v>4106</v>
      </c>
      <c r="AI800" t="s">
        <v>4105</v>
      </c>
      <c r="AK800" t="s">
        <v>4104</v>
      </c>
      <c r="AL800">
        <v>4</v>
      </c>
      <c r="AM800" s="5">
        <f t="shared" si="98"/>
        <v>0.13793103448275862</v>
      </c>
      <c r="AN800" s="4">
        <f t="shared" si="103"/>
        <v>2.089072843358707E-4</v>
      </c>
      <c r="AO800" s="3"/>
      <c r="AP800">
        <v>0</v>
      </c>
      <c r="AR800" t="s">
        <v>1</v>
      </c>
      <c r="AT800" s="2" t="s">
        <v>0</v>
      </c>
      <c r="AU800" s="1">
        <f t="shared" si="99"/>
        <v>3.093210973368441</v>
      </c>
      <c r="AV800" s="1">
        <f t="shared" si="100"/>
        <v>2.21540518910134</v>
      </c>
      <c r="AW800" s="1">
        <f t="shared" si="101"/>
        <v>1.3375994048342388</v>
      </c>
    </row>
    <row r="801" spans="1:49" x14ac:dyDescent="0.2">
      <c r="A801">
        <v>799</v>
      </c>
      <c r="B801" t="s">
        <v>4103</v>
      </c>
      <c r="C801" t="s">
        <v>4102</v>
      </c>
      <c r="F801" t="s">
        <v>4101</v>
      </c>
      <c r="G801" t="s">
        <v>15</v>
      </c>
      <c r="H801" t="s">
        <v>14</v>
      </c>
      <c r="I801" t="s">
        <v>4100</v>
      </c>
      <c r="J801" t="s">
        <v>4099</v>
      </c>
      <c r="K801" t="s">
        <v>4098</v>
      </c>
      <c r="L801" t="s">
        <v>4097</v>
      </c>
      <c r="M801" t="s">
        <v>235</v>
      </c>
      <c r="N801">
        <v>3</v>
      </c>
      <c r="O801" t="s">
        <v>4096</v>
      </c>
      <c r="P801" t="s">
        <v>4095</v>
      </c>
      <c r="Q801" t="s">
        <v>4094</v>
      </c>
      <c r="R801" s="7">
        <v>33970</v>
      </c>
      <c r="S801" s="8">
        <f t="shared" si="96"/>
        <v>1993</v>
      </c>
      <c r="T801" s="8">
        <v>1993</v>
      </c>
      <c r="U801" s="8">
        <f t="shared" si="97"/>
        <v>29</v>
      </c>
      <c r="V801" s="7">
        <v>34090</v>
      </c>
      <c r="W801" t="s">
        <v>814</v>
      </c>
      <c r="X801" s="2">
        <v>1.6519999999999999</v>
      </c>
      <c r="Y801" s="6">
        <f t="shared" si="102"/>
        <v>4.409919649769093E-2</v>
      </c>
      <c r="AA801" t="s">
        <v>813</v>
      </c>
      <c r="AB801">
        <v>17337</v>
      </c>
      <c r="AC801">
        <v>15582221</v>
      </c>
      <c r="AD801" t="s">
        <v>5</v>
      </c>
      <c r="AE801">
        <v>41</v>
      </c>
      <c r="AF801">
        <v>5</v>
      </c>
      <c r="AH801" t="s">
        <v>4093</v>
      </c>
      <c r="AI801" t="s">
        <v>4092</v>
      </c>
      <c r="AK801" t="s">
        <v>4091</v>
      </c>
      <c r="AL801">
        <v>33</v>
      </c>
      <c r="AM801" s="5">
        <f t="shared" si="98"/>
        <v>1.1379310344827587</v>
      </c>
      <c r="AN801" s="4">
        <f t="shared" si="103"/>
        <v>1.7234850957709331E-3</v>
      </c>
      <c r="AO801" s="3"/>
      <c r="AP801">
        <v>0</v>
      </c>
      <c r="AR801" t="s">
        <v>1</v>
      </c>
      <c r="AT801" s="2" t="s">
        <v>0</v>
      </c>
      <c r="AU801" s="1">
        <f t="shared" si="99"/>
        <v>3.1386483077114931</v>
      </c>
      <c r="AV801" s="1">
        <f t="shared" si="100"/>
        <v>2.2911340796730935</v>
      </c>
      <c r="AW801" s="1">
        <f t="shared" si="101"/>
        <v>1.4436198516346932</v>
      </c>
    </row>
    <row r="802" spans="1:49" x14ac:dyDescent="0.2">
      <c r="A802">
        <v>800</v>
      </c>
      <c r="B802" t="s">
        <v>4090</v>
      </c>
      <c r="C802" t="s">
        <v>4089</v>
      </c>
      <c r="F802" t="s">
        <v>4088</v>
      </c>
      <c r="G802" t="s">
        <v>15</v>
      </c>
      <c r="H802" t="s">
        <v>14</v>
      </c>
      <c r="I802" t="s">
        <v>4087</v>
      </c>
      <c r="J802">
        <v>60107350</v>
      </c>
      <c r="K802" t="s">
        <v>4086</v>
      </c>
      <c r="L802" t="s">
        <v>4085</v>
      </c>
      <c r="M802" t="s">
        <v>150</v>
      </c>
      <c r="N802">
        <v>1</v>
      </c>
      <c r="O802" t="s">
        <v>4084</v>
      </c>
      <c r="P802">
        <v>57217316278</v>
      </c>
      <c r="Q802">
        <v>60107350</v>
      </c>
      <c r="R802" s="7">
        <v>33970</v>
      </c>
      <c r="S802" s="8">
        <f t="shared" si="96"/>
        <v>1993</v>
      </c>
      <c r="T802" s="8">
        <v>1993</v>
      </c>
      <c r="U802" s="8">
        <f t="shared" si="97"/>
        <v>29</v>
      </c>
      <c r="V802" s="7">
        <v>34090</v>
      </c>
      <c r="W802" t="s">
        <v>2565</v>
      </c>
      <c r="X802" s="2">
        <v>1.365</v>
      </c>
      <c r="Y802" s="6">
        <f t="shared" si="102"/>
        <v>3.6437895411227675E-2</v>
      </c>
      <c r="AA802">
        <v>189545</v>
      </c>
      <c r="AB802">
        <v>17393</v>
      </c>
      <c r="AC802">
        <v>19399359</v>
      </c>
      <c r="AD802" t="s">
        <v>5</v>
      </c>
      <c r="AE802">
        <v>42</v>
      </c>
      <c r="AF802">
        <v>2</v>
      </c>
      <c r="AH802" t="s">
        <v>4083</v>
      </c>
      <c r="AI802" t="s">
        <v>4082</v>
      </c>
      <c r="AK802" t="s">
        <v>4081</v>
      </c>
      <c r="AL802">
        <v>13</v>
      </c>
      <c r="AM802" s="5">
        <f t="shared" si="98"/>
        <v>0.44827586206896552</v>
      </c>
      <c r="AN802" s="4">
        <f t="shared" si="103"/>
        <v>6.7894867409157972E-4</v>
      </c>
      <c r="AO802" s="3"/>
      <c r="AP802">
        <v>0</v>
      </c>
      <c r="AR802" t="s">
        <v>1</v>
      </c>
      <c r="AT802" s="2" t="s">
        <v>0</v>
      </c>
      <c r="AU802" s="1">
        <f t="shared" si="99"/>
        <v>2.5710211390086846</v>
      </c>
      <c r="AV802" s="1">
        <f t="shared" si="100"/>
        <v>1.8558422042659628</v>
      </c>
      <c r="AW802" s="1">
        <f t="shared" si="101"/>
        <v>1.1406632695232408</v>
      </c>
    </row>
    <row r="803" spans="1:49" x14ac:dyDescent="0.2">
      <c r="A803">
        <v>801</v>
      </c>
      <c r="B803" t="s">
        <v>4080</v>
      </c>
      <c r="C803" t="s">
        <v>4079</v>
      </c>
      <c r="F803" t="s">
        <v>4078</v>
      </c>
      <c r="G803" t="s">
        <v>15</v>
      </c>
      <c r="H803" t="s">
        <v>14</v>
      </c>
      <c r="I803" t="s">
        <v>4077</v>
      </c>
      <c r="J803" t="s">
        <v>3921</v>
      </c>
      <c r="K803" t="s">
        <v>3920</v>
      </c>
      <c r="L803" t="s">
        <v>3919</v>
      </c>
      <c r="M803" t="s">
        <v>235</v>
      </c>
      <c r="N803">
        <v>3</v>
      </c>
      <c r="O803" t="s">
        <v>4076</v>
      </c>
      <c r="P803" t="s">
        <v>4075</v>
      </c>
      <c r="Q803" t="s">
        <v>4074</v>
      </c>
      <c r="R803" s="7">
        <v>33970</v>
      </c>
      <c r="S803" s="8">
        <f t="shared" si="96"/>
        <v>1993</v>
      </c>
      <c r="T803" s="8">
        <v>1993</v>
      </c>
      <c r="U803" s="8">
        <f t="shared" si="97"/>
        <v>29</v>
      </c>
      <c r="V803" s="7">
        <v>34090</v>
      </c>
      <c r="W803" t="s">
        <v>2801</v>
      </c>
      <c r="X803" s="2">
        <v>0.65500000000000003</v>
      </c>
      <c r="Y803" s="6">
        <f t="shared" si="102"/>
        <v>1.7484850911614749E-2</v>
      </c>
      <c r="AA803">
        <v>189375</v>
      </c>
      <c r="AB803">
        <v>26051</v>
      </c>
      <c r="AC803" t="s">
        <v>2800</v>
      </c>
      <c r="AD803" t="s">
        <v>5</v>
      </c>
      <c r="AE803">
        <v>35</v>
      </c>
      <c r="AF803">
        <v>2</v>
      </c>
      <c r="AH803" t="s">
        <v>4073</v>
      </c>
      <c r="AI803" t="s">
        <v>4072</v>
      </c>
      <c r="AK803" t="s">
        <v>4071</v>
      </c>
      <c r="AL803">
        <v>11</v>
      </c>
      <c r="AM803" s="5">
        <f t="shared" si="98"/>
        <v>0.37931034482758619</v>
      </c>
      <c r="AN803" s="4">
        <f t="shared" si="103"/>
        <v>5.7449503192364435E-4</v>
      </c>
      <c r="AO803" s="3"/>
      <c r="AP803">
        <v>0</v>
      </c>
      <c r="AR803" t="s">
        <v>1</v>
      </c>
      <c r="AT803" s="2" t="s">
        <v>0</v>
      </c>
      <c r="AU803" s="1">
        <f t="shared" si="99"/>
        <v>1.2411744147707415</v>
      </c>
      <c r="AV803" s="1">
        <f t="shared" si="100"/>
        <v>0.9029672971769197</v>
      </c>
      <c r="AW803" s="1">
        <f t="shared" si="101"/>
        <v>0.56476017958309765</v>
      </c>
    </row>
    <row r="804" spans="1:49" x14ac:dyDescent="0.2">
      <c r="A804">
        <v>802</v>
      </c>
      <c r="B804" t="s">
        <v>4070</v>
      </c>
      <c r="C804" t="s">
        <v>4069</v>
      </c>
      <c r="F804" t="s">
        <v>4068</v>
      </c>
      <c r="G804" t="s">
        <v>15</v>
      </c>
      <c r="H804" t="s">
        <v>14</v>
      </c>
      <c r="I804" t="s">
        <v>3587</v>
      </c>
      <c r="J804">
        <v>60008524</v>
      </c>
      <c r="K804" t="s">
        <v>3124</v>
      </c>
      <c r="L804" t="s">
        <v>3123</v>
      </c>
      <c r="M804" t="s">
        <v>493</v>
      </c>
      <c r="N804">
        <v>1</v>
      </c>
      <c r="O804" t="s">
        <v>4067</v>
      </c>
      <c r="P804">
        <v>7006824457</v>
      </c>
      <c r="Q804">
        <v>60008524</v>
      </c>
      <c r="R804" s="7">
        <v>33970</v>
      </c>
      <c r="S804" s="8">
        <f t="shared" si="96"/>
        <v>1993</v>
      </c>
      <c r="T804" s="8">
        <v>1993</v>
      </c>
      <c r="U804" s="8">
        <f t="shared" si="97"/>
        <v>29</v>
      </c>
      <c r="V804" s="7">
        <v>34090</v>
      </c>
      <c r="W804" t="s">
        <v>4066</v>
      </c>
      <c r="X804" s="2">
        <v>0.91600000000000004</v>
      </c>
      <c r="Y804" s="6">
        <f t="shared" si="102"/>
        <v>2.4452096847387951E-2</v>
      </c>
      <c r="AA804">
        <v>189359</v>
      </c>
      <c r="AB804">
        <v>17344</v>
      </c>
      <c r="AC804">
        <v>15579638</v>
      </c>
      <c r="AD804" t="s">
        <v>5</v>
      </c>
      <c r="AE804">
        <v>36</v>
      </c>
      <c r="AF804">
        <v>2</v>
      </c>
      <c r="AH804" t="s">
        <v>4065</v>
      </c>
      <c r="AI804" t="s">
        <v>4064</v>
      </c>
      <c r="AK804" t="s">
        <v>4063</v>
      </c>
      <c r="AL804">
        <v>4</v>
      </c>
      <c r="AM804" s="5">
        <f t="shared" si="98"/>
        <v>0.13793103448275862</v>
      </c>
      <c r="AN804" s="4">
        <f t="shared" si="103"/>
        <v>2.089072843358707E-4</v>
      </c>
      <c r="AO804" s="3"/>
      <c r="AP804">
        <v>0</v>
      </c>
      <c r="AR804" t="s">
        <v>1</v>
      </c>
      <c r="AT804" s="2">
        <v>2.1160000000000001</v>
      </c>
      <c r="AU804" s="1">
        <f t="shared" si="99"/>
        <v>1.7179139978472324</v>
      </c>
      <c r="AV804" s="1">
        <f t="shared" si="100"/>
        <v>1.2330502065861912</v>
      </c>
      <c r="AW804" s="1">
        <f t="shared" si="101"/>
        <v>0.7481864153251494</v>
      </c>
    </row>
    <row r="805" spans="1:49" x14ac:dyDescent="0.2">
      <c r="A805">
        <v>803</v>
      </c>
      <c r="B805" t="s">
        <v>4062</v>
      </c>
      <c r="C805" t="s">
        <v>4061</v>
      </c>
      <c r="F805" t="s">
        <v>4060</v>
      </c>
      <c r="G805" t="s">
        <v>15</v>
      </c>
      <c r="H805" t="s">
        <v>14</v>
      </c>
      <c r="I805" t="s">
        <v>4059</v>
      </c>
      <c r="J805">
        <v>60003217</v>
      </c>
      <c r="K805" t="s">
        <v>4058</v>
      </c>
      <c r="L805" t="s">
        <v>4057</v>
      </c>
      <c r="M805" t="s">
        <v>3993</v>
      </c>
      <c r="N805">
        <v>1</v>
      </c>
      <c r="O805" t="s">
        <v>4056</v>
      </c>
      <c r="P805">
        <v>7005087231</v>
      </c>
      <c r="Q805">
        <v>60003217</v>
      </c>
      <c r="R805" s="7">
        <v>33970</v>
      </c>
      <c r="S805" s="8">
        <f t="shared" si="96"/>
        <v>1993</v>
      </c>
      <c r="T805" s="8">
        <v>1993</v>
      </c>
      <c r="U805" s="8">
        <f t="shared" si="97"/>
        <v>29</v>
      </c>
      <c r="V805" s="7">
        <v>34090</v>
      </c>
      <c r="W805" t="s">
        <v>3890</v>
      </c>
      <c r="X805" s="2">
        <v>0.251</v>
      </c>
      <c r="Y805" s="6">
        <f t="shared" si="102"/>
        <v>6.7003016470462617E-3</v>
      </c>
      <c r="AA805">
        <v>207217</v>
      </c>
      <c r="AB805">
        <v>26145</v>
      </c>
      <c r="AC805">
        <v>13623060</v>
      </c>
      <c r="AD805" t="s">
        <v>5</v>
      </c>
      <c r="AE805">
        <v>74</v>
      </c>
      <c r="AF805">
        <v>5</v>
      </c>
      <c r="AH805" t="s">
        <v>4055</v>
      </c>
      <c r="AI805" t="s">
        <v>4054</v>
      </c>
      <c r="AK805" t="s">
        <v>4053</v>
      </c>
      <c r="AL805">
        <v>3</v>
      </c>
      <c r="AM805" s="5">
        <f t="shared" si="98"/>
        <v>0.10344827586206896</v>
      </c>
      <c r="AN805" s="4">
        <f t="shared" si="103"/>
        <v>1.5668046325190301E-4</v>
      </c>
      <c r="AO805" s="3"/>
      <c r="AP805">
        <v>0</v>
      </c>
      <c r="AR805" t="s">
        <v>1</v>
      </c>
      <c r="AT805" s="2">
        <v>1.3360000000000001</v>
      </c>
      <c r="AU805" s="1">
        <f t="shared" si="99"/>
        <v>0.47372152919079541</v>
      </c>
      <c r="AV805" s="1">
        <f t="shared" si="100"/>
        <v>0.34284910551490827</v>
      </c>
      <c r="AW805" s="1">
        <f t="shared" si="101"/>
        <v>0.21197668183902105</v>
      </c>
    </row>
    <row r="806" spans="1:49" x14ac:dyDescent="0.2">
      <c r="A806">
        <v>804</v>
      </c>
      <c r="B806" t="s">
        <v>4052</v>
      </c>
      <c r="C806" t="s">
        <v>4051</v>
      </c>
      <c r="F806" t="s">
        <v>4050</v>
      </c>
      <c r="G806" t="s">
        <v>15</v>
      </c>
      <c r="H806" t="s">
        <v>14</v>
      </c>
      <c r="I806" t="s">
        <v>4049</v>
      </c>
      <c r="N806">
        <v>7</v>
      </c>
      <c r="O806" t="s">
        <v>4048</v>
      </c>
      <c r="P806" t="s">
        <v>4047</v>
      </c>
      <c r="Q806" t="s">
        <v>4046</v>
      </c>
      <c r="R806" s="7">
        <v>33970</v>
      </c>
      <c r="S806" s="8">
        <f t="shared" si="96"/>
        <v>1993</v>
      </c>
      <c r="T806" s="8">
        <v>1993</v>
      </c>
      <c r="U806" s="8">
        <f t="shared" si="97"/>
        <v>29</v>
      </c>
      <c r="V806" s="7" t="s">
        <v>3903</v>
      </c>
      <c r="W806" t="s">
        <v>1555</v>
      </c>
      <c r="X806" s="2">
        <v>0.371</v>
      </c>
      <c r="Y806" s="6">
        <f t="shared" si="102"/>
        <v>9.9036331117695747E-3</v>
      </c>
      <c r="AA806">
        <v>486604</v>
      </c>
      <c r="AB806">
        <v>28580</v>
      </c>
      <c r="AC806" t="s">
        <v>1554</v>
      </c>
      <c r="AD806" t="s">
        <v>5</v>
      </c>
      <c r="AE806">
        <v>28</v>
      </c>
      <c r="AF806">
        <v>3</v>
      </c>
      <c r="AH806" t="s">
        <v>4045</v>
      </c>
      <c r="AI806" t="s">
        <v>4044</v>
      </c>
      <c r="AK806" t="s">
        <v>4043</v>
      </c>
      <c r="AL806">
        <v>21</v>
      </c>
      <c r="AM806" s="5">
        <f t="shared" si="98"/>
        <v>0.72413793103448276</v>
      </c>
      <c r="AN806" s="4">
        <f t="shared" si="103"/>
        <v>1.0967632427633211E-3</v>
      </c>
      <c r="AO806" s="3"/>
      <c r="AP806">
        <v>0</v>
      </c>
      <c r="AR806" t="s">
        <v>1</v>
      </c>
      <c r="AT806" s="2">
        <v>1.431</v>
      </c>
      <c r="AU806" s="1">
        <f t="shared" si="99"/>
        <v>0.72615721510676978</v>
      </c>
      <c r="AV806" s="1">
        <f t="shared" si="100"/>
        <v>0.55001981772664477</v>
      </c>
      <c r="AW806" s="1">
        <f t="shared" si="101"/>
        <v>0.37388242034651975</v>
      </c>
    </row>
    <row r="807" spans="1:49" x14ac:dyDescent="0.2">
      <c r="A807">
        <v>805</v>
      </c>
      <c r="B807" t="s">
        <v>4042</v>
      </c>
      <c r="C807" t="s">
        <v>4041</v>
      </c>
      <c r="F807" t="s">
        <v>4040</v>
      </c>
      <c r="G807" t="s">
        <v>15</v>
      </c>
      <c r="H807" t="s">
        <v>14</v>
      </c>
      <c r="I807" t="s">
        <v>4039</v>
      </c>
      <c r="J807">
        <v>60003381</v>
      </c>
      <c r="K807" t="s">
        <v>4038</v>
      </c>
      <c r="L807" t="s">
        <v>151</v>
      </c>
      <c r="M807" t="s">
        <v>150</v>
      </c>
      <c r="N807">
        <v>3</v>
      </c>
      <c r="O807" t="s">
        <v>4037</v>
      </c>
      <c r="P807" t="s">
        <v>4036</v>
      </c>
      <c r="Q807" t="s">
        <v>4035</v>
      </c>
      <c r="R807" s="7">
        <v>33970</v>
      </c>
      <c r="S807" s="8">
        <f t="shared" si="96"/>
        <v>1993</v>
      </c>
      <c r="T807" s="8">
        <v>1993</v>
      </c>
      <c r="U807" s="8">
        <f t="shared" si="97"/>
        <v>29</v>
      </c>
      <c r="V807" s="7">
        <v>34090</v>
      </c>
      <c r="W807" t="s">
        <v>4034</v>
      </c>
      <c r="X807" s="2">
        <v>1.159</v>
      </c>
      <c r="Y807" s="6">
        <f t="shared" si="102"/>
        <v>3.093884306345266E-2</v>
      </c>
      <c r="AA807">
        <v>8853010</v>
      </c>
      <c r="AB807">
        <v>12998</v>
      </c>
      <c r="AD807" t="s">
        <v>5</v>
      </c>
      <c r="AE807">
        <v>40</v>
      </c>
      <c r="AF807">
        <v>3</v>
      </c>
      <c r="AH807" t="s">
        <v>4033</v>
      </c>
      <c r="AI807" t="s">
        <v>4032</v>
      </c>
      <c r="AK807" t="s">
        <v>4031</v>
      </c>
      <c r="AL807">
        <v>2</v>
      </c>
      <c r="AM807" s="5">
        <f t="shared" si="98"/>
        <v>6.8965517241379309E-2</v>
      </c>
      <c r="AN807" s="4">
        <f t="shared" si="103"/>
        <v>1.0445364216793535E-4</v>
      </c>
      <c r="AO807" s="3"/>
      <c r="AP807">
        <v>0</v>
      </c>
      <c r="AR807" t="s">
        <v>1</v>
      </c>
      <c r="AT807" s="2" t="s">
        <v>0</v>
      </c>
      <c r="AU807" s="1">
        <f t="shared" si="99"/>
        <v>2.1688526237067238</v>
      </c>
      <c r="AV807" s="1">
        <f t="shared" si="100"/>
        <v>1.5521648352810298</v>
      </c>
      <c r="AW807" s="1">
        <f t="shared" si="101"/>
        <v>0.93547704685533528</v>
      </c>
    </row>
    <row r="808" spans="1:49" x14ac:dyDescent="0.2">
      <c r="A808">
        <v>806</v>
      </c>
      <c r="B808" t="s">
        <v>4030</v>
      </c>
      <c r="C808" t="s">
        <v>4029</v>
      </c>
      <c r="D808" t="s">
        <v>4028</v>
      </c>
      <c r="F808" t="s">
        <v>4027</v>
      </c>
      <c r="G808" t="s">
        <v>15</v>
      </c>
      <c r="H808" t="s">
        <v>14</v>
      </c>
      <c r="I808" t="s">
        <v>4026</v>
      </c>
      <c r="J808">
        <v>60012762</v>
      </c>
      <c r="K808" t="s">
        <v>4025</v>
      </c>
      <c r="L808" t="s">
        <v>4024</v>
      </c>
      <c r="M808" t="s">
        <v>508</v>
      </c>
      <c r="N808">
        <v>2</v>
      </c>
      <c r="O808" t="s">
        <v>4023</v>
      </c>
      <c r="P808" t="s">
        <v>4022</v>
      </c>
      <c r="Q808" t="s">
        <v>4021</v>
      </c>
      <c r="R808" s="7">
        <v>33970</v>
      </c>
      <c r="S808" s="8">
        <f t="shared" si="96"/>
        <v>1993</v>
      </c>
      <c r="T808" s="8">
        <v>1993</v>
      </c>
      <c r="U808" s="8">
        <f t="shared" si="97"/>
        <v>29</v>
      </c>
      <c r="V808" s="7">
        <v>34090</v>
      </c>
      <c r="W808" t="s">
        <v>4020</v>
      </c>
      <c r="X808" s="2">
        <v>3.0990000000000002</v>
      </c>
      <c r="Y808" s="6">
        <f t="shared" si="102"/>
        <v>8.2726035076479548E-2</v>
      </c>
      <c r="AA808">
        <v>431354</v>
      </c>
      <c r="AB808">
        <v>18795</v>
      </c>
      <c r="AD808" t="s">
        <v>5</v>
      </c>
      <c r="AE808">
        <v>27</v>
      </c>
      <c r="AF808">
        <v>5</v>
      </c>
      <c r="AH808" t="s">
        <v>4019</v>
      </c>
      <c r="AI808" t="s">
        <v>4018</v>
      </c>
      <c r="AJ808" t="s">
        <v>4017</v>
      </c>
      <c r="AK808" t="s">
        <v>4016</v>
      </c>
      <c r="AL808">
        <v>18</v>
      </c>
      <c r="AM808" s="5">
        <f t="shared" si="98"/>
        <v>0.62068965517241381</v>
      </c>
      <c r="AN808" s="4">
        <f t="shared" si="103"/>
        <v>9.4008277951141816E-4</v>
      </c>
      <c r="AO808" s="3"/>
      <c r="AP808">
        <v>0</v>
      </c>
      <c r="AQ808" t="s">
        <v>4015</v>
      </c>
      <c r="AR808" t="s">
        <v>1</v>
      </c>
      <c r="AS808" t="s">
        <v>4014</v>
      </c>
      <c r="AT808" s="2">
        <v>11.236000000000001</v>
      </c>
      <c r="AU808" s="1">
        <f t="shared" si="99"/>
        <v>5.8190249387389104</v>
      </c>
      <c r="AV808" s="1">
        <f t="shared" si="100"/>
        <v>4.1833058927995488</v>
      </c>
      <c r="AW808" s="1">
        <f t="shared" si="101"/>
        <v>2.5475868468601859</v>
      </c>
    </row>
    <row r="809" spans="1:49" x14ac:dyDescent="0.2">
      <c r="A809">
        <v>807</v>
      </c>
      <c r="B809" t="s">
        <v>4013</v>
      </c>
      <c r="C809" t="s">
        <v>4012</v>
      </c>
      <c r="F809" t="s">
        <v>4011</v>
      </c>
      <c r="G809" t="s">
        <v>15</v>
      </c>
      <c r="H809" t="s">
        <v>14</v>
      </c>
      <c r="I809" t="s">
        <v>4010</v>
      </c>
      <c r="J809" t="s">
        <v>4009</v>
      </c>
      <c r="K809" t="s">
        <v>4008</v>
      </c>
      <c r="L809" t="s">
        <v>4007</v>
      </c>
      <c r="M809" t="s">
        <v>235</v>
      </c>
      <c r="N809">
        <v>3</v>
      </c>
      <c r="O809" t="s">
        <v>4006</v>
      </c>
      <c r="P809" t="s">
        <v>4005</v>
      </c>
      <c r="Q809" t="s">
        <v>4004</v>
      </c>
      <c r="R809" s="7">
        <v>33970</v>
      </c>
      <c r="S809" s="8">
        <f t="shared" si="96"/>
        <v>1993</v>
      </c>
      <c r="T809" s="8">
        <v>1993</v>
      </c>
      <c r="U809" s="8">
        <f t="shared" si="97"/>
        <v>29</v>
      </c>
      <c r="V809" s="7">
        <v>34090</v>
      </c>
      <c r="W809" t="s">
        <v>2382</v>
      </c>
      <c r="X809" s="2">
        <v>0.30399999999999999</v>
      </c>
      <c r="Y809" s="6">
        <f t="shared" si="102"/>
        <v>8.115106377299057E-3</v>
      </c>
      <c r="AA809">
        <v>8952477</v>
      </c>
      <c r="AB809">
        <v>12250</v>
      </c>
      <c r="AC809">
        <v>10982760</v>
      </c>
      <c r="AD809" t="s">
        <v>5</v>
      </c>
      <c r="AE809">
        <v>6</v>
      </c>
      <c r="AF809">
        <v>6</v>
      </c>
      <c r="AH809" t="s">
        <v>4003</v>
      </c>
      <c r="AI809" t="s">
        <v>4002</v>
      </c>
      <c r="AJ809" t="s">
        <v>4001</v>
      </c>
      <c r="AK809" t="s">
        <v>4000</v>
      </c>
      <c r="AL809">
        <v>51</v>
      </c>
      <c r="AM809" s="5">
        <f t="shared" si="98"/>
        <v>1.7586206896551724</v>
      </c>
      <c r="AN809" s="4">
        <f t="shared" si="103"/>
        <v>2.6635678752823513E-3</v>
      </c>
      <c r="AO809" s="3"/>
      <c r="AP809">
        <v>0</v>
      </c>
      <c r="AR809" t="s">
        <v>1</v>
      </c>
      <c r="AT809" s="2" t="s">
        <v>0</v>
      </c>
      <c r="AU809" s="1">
        <f t="shared" si="99"/>
        <v>0.64796448266940443</v>
      </c>
      <c r="AV809" s="1">
        <f t="shared" si="100"/>
        <v>0.53893371262907042</v>
      </c>
      <c r="AW809" s="1">
        <f t="shared" si="101"/>
        <v>0.42990294258873629</v>
      </c>
    </row>
    <row r="810" spans="1:49" x14ac:dyDescent="0.2">
      <c r="A810">
        <v>808</v>
      </c>
      <c r="B810" t="s">
        <v>3999</v>
      </c>
      <c r="C810" t="s">
        <v>3998</v>
      </c>
      <c r="F810" t="s">
        <v>3997</v>
      </c>
      <c r="G810" t="s">
        <v>15</v>
      </c>
      <c r="H810" t="s">
        <v>14</v>
      </c>
      <c r="I810" t="s">
        <v>3996</v>
      </c>
      <c r="J810">
        <v>60032587</v>
      </c>
      <c r="K810" t="s">
        <v>3995</v>
      </c>
      <c r="L810" t="s">
        <v>3994</v>
      </c>
      <c r="M810" t="s">
        <v>3993</v>
      </c>
      <c r="N810">
        <v>2</v>
      </c>
      <c r="O810" t="s">
        <v>3992</v>
      </c>
      <c r="P810" t="s">
        <v>3991</v>
      </c>
      <c r="Q810" t="s">
        <v>3990</v>
      </c>
      <c r="R810" s="7">
        <v>33970</v>
      </c>
      <c r="S810" s="8">
        <f t="shared" si="96"/>
        <v>1993</v>
      </c>
      <c r="T810" s="8">
        <v>1993</v>
      </c>
      <c r="U810" s="8">
        <f t="shared" si="97"/>
        <v>29</v>
      </c>
      <c r="V810" s="7">
        <v>34090</v>
      </c>
      <c r="W810" t="s">
        <v>3989</v>
      </c>
      <c r="X810" s="2">
        <v>0.76700000000000002</v>
      </c>
      <c r="Y810" s="6">
        <f t="shared" si="102"/>
        <v>2.0474626945356504E-2</v>
      </c>
      <c r="AA810">
        <v>983063</v>
      </c>
      <c r="AB810">
        <v>26048</v>
      </c>
      <c r="AD810" t="s">
        <v>5</v>
      </c>
      <c r="AE810">
        <v>39</v>
      </c>
      <c r="AF810">
        <v>2</v>
      </c>
      <c r="AH810" t="s">
        <v>3988</v>
      </c>
      <c r="AI810" t="s">
        <v>3987</v>
      </c>
      <c r="AK810" t="s">
        <v>3986</v>
      </c>
      <c r="AL810">
        <v>1</v>
      </c>
      <c r="AM810" s="5">
        <f t="shared" si="98"/>
        <v>3.4482758620689655E-2</v>
      </c>
      <c r="AN810" s="4">
        <f t="shared" si="103"/>
        <v>5.2226821083967674E-5</v>
      </c>
      <c r="AO810" s="3"/>
      <c r="AP810">
        <v>0</v>
      </c>
      <c r="AR810" t="s">
        <v>1</v>
      </c>
      <c r="AT810" s="2" t="s">
        <v>0</v>
      </c>
      <c r="AU810" s="1">
        <f t="shared" si="99"/>
        <v>1.4347906908074743</v>
      </c>
      <c r="AV810" s="1">
        <f t="shared" si="100"/>
        <v>1.0263426883220235</v>
      </c>
      <c r="AW810" s="1">
        <f t="shared" si="101"/>
        <v>0.61789468583657281</v>
      </c>
    </row>
    <row r="811" spans="1:49" x14ac:dyDescent="0.2">
      <c r="A811">
        <v>809</v>
      </c>
      <c r="B811" t="s">
        <v>3985</v>
      </c>
      <c r="C811" t="s">
        <v>3984</v>
      </c>
      <c r="F811" t="s">
        <v>3983</v>
      </c>
      <c r="G811" t="s">
        <v>15</v>
      </c>
      <c r="H811" t="s">
        <v>14</v>
      </c>
      <c r="I811" t="s">
        <v>3982</v>
      </c>
      <c r="J811" t="s">
        <v>3977</v>
      </c>
      <c r="K811" t="s">
        <v>3981</v>
      </c>
      <c r="L811" t="s">
        <v>3980</v>
      </c>
      <c r="M811" t="s">
        <v>235</v>
      </c>
      <c r="N811">
        <v>2</v>
      </c>
      <c r="O811" t="s">
        <v>3979</v>
      </c>
      <c r="P811" t="s">
        <v>3978</v>
      </c>
      <c r="Q811" t="s">
        <v>3977</v>
      </c>
      <c r="R811" s="7">
        <v>33970</v>
      </c>
      <c r="S811" s="8">
        <f t="shared" si="96"/>
        <v>1993</v>
      </c>
      <c r="T811" s="8">
        <v>1993</v>
      </c>
      <c r="U811" s="8">
        <f t="shared" si="97"/>
        <v>29</v>
      </c>
      <c r="V811" s="7">
        <v>34090</v>
      </c>
      <c r="W811" t="s">
        <v>2382</v>
      </c>
      <c r="X811" s="2">
        <v>0.30399999999999999</v>
      </c>
      <c r="Y811" s="6">
        <f t="shared" si="102"/>
        <v>8.115106377299057E-3</v>
      </c>
      <c r="AA811">
        <v>8952477</v>
      </c>
      <c r="AB811">
        <v>12250</v>
      </c>
      <c r="AC811">
        <v>10982760</v>
      </c>
      <c r="AD811" t="s">
        <v>5</v>
      </c>
      <c r="AE811">
        <v>6</v>
      </c>
      <c r="AF811">
        <v>6</v>
      </c>
      <c r="AH811" t="s">
        <v>3976</v>
      </c>
      <c r="AI811" t="s">
        <v>3975</v>
      </c>
      <c r="AJ811" t="s">
        <v>3974</v>
      </c>
      <c r="AK811" t="s">
        <v>3973</v>
      </c>
      <c r="AL811">
        <v>0</v>
      </c>
      <c r="AM811" s="5">
        <f t="shared" si="98"/>
        <v>0</v>
      </c>
      <c r="AN811" s="4">
        <f t="shared" si="103"/>
        <v>0</v>
      </c>
      <c r="AO811" s="3"/>
      <c r="AP811">
        <v>0</v>
      </c>
      <c r="AR811" t="s">
        <v>1</v>
      </c>
      <c r="AT811" s="2" t="s">
        <v>0</v>
      </c>
      <c r="AU811" s="1">
        <f t="shared" si="99"/>
        <v>0.56805744641093392</v>
      </c>
      <c r="AV811" s="1">
        <f t="shared" si="100"/>
        <v>0.40575531886495286</v>
      </c>
      <c r="AW811" s="1">
        <f t="shared" si="101"/>
        <v>0.24345319131897172</v>
      </c>
    </row>
    <row r="812" spans="1:49" x14ac:dyDescent="0.2">
      <c r="A812">
        <v>810</v>
      </c>
      <c r="B812" t="s">
        <v>3972</v>
      </c>
      <c r="C812" t="s">
        <v>3971</v>
      </c>
      <c r="F812" t="s">
        <v>3970</v>
      </c>
      <c r="G812" t="s">
        <v>15</v>
      </c>
      <c r="H812" t="s">
        <v>14</v>
      </c>
      <c r="I812" t="s">
        <v>3969</v>
      </c>
      <c r="N812">
        <v>2</v>
      </c>
      <c r="O812" t="s">
        <v>3968</v>
      </c>
      <c r="P812" t="s">
        <v>3967</v>
      </c>
      <c r="Q812" t="s">
        <v>1557</v>
      </c>
      <c r="R812" s="7">
        <v>33970</v>
      </c>
      <c r="S812" s="8">
        <f t="shared" si="96"/>
        <v>1993</v>
      </c>
      <c r="T812" s="8">
        <v>1993</v>
      </c>
      <c r="U812" s="8">
        <f t="shared" si="97"/>
        <v>29</v>
      </c>
      <c r="V812" s="7" t="s">
        <v>3903</v>
      </c>
      <c r="W812" t="s">
        <v>1555</v>
      </c>
      <c r="X812" s="2">
        <v>0.371</v>
      </c>
      <c r="Y812" s="6">
        <f t="shared" si="102"/>
        <v>9.9036331117695747E-3</v>
      </c>
      <c r="AA812">
        <v>486604</v>
      </c>
      <c r="AB812">
        <v>28580</v>
      </c>
      <c r="AC812" t="s">
        <v>1554</v>
      </c>
      <c r="AD812" t="s">
        <v>5</v>
      </c>
      <c r="AE812">
        <v>28</v>
      </c>
      <c r="AF812">
        <v>3</v>
      </c>
      <c r="AH812" t="s">
        <v>3966</v>
      </c>
      <c r="AI812" t="s">
        <v>3965</v>
      </c>
      <c r="AK812" t="s">
        <v>3964</v>
      </c>
      <c r="AL812">
        <v>7</v>
      </c>
      <c r="AM812" s="5">
        <f t="shared" si="98"/>
        <v>0.2413793103448276</v>
      </c>
      <c r="AN812" s="4">
        <f t="shared" si="103"/>
        <v>3.655877475877737E-4</v>
      </c>
      <c r="AO812" s="3"/>
      <c r="AP812">
        <v>0</v>
      </c>
      <c r="AR812" t="s">
        <v>1</v>
      </c>
      <c r="AT812" s="2">
        <v>1.431</v>
      </c>
      <c r="AU812" s="1">
        <f t="shared" si="99"/>
        <v>0.70422195025150336</v>
      </c>
      <c r="AV812" s="1">
        <f t="shared" si="100"/>
        <v>0.51346104296786743</v>
      </c>
      <c r="AW812" s="1">
        <f t="shared" si="101"/>
        <v>0.32270013568423139</v>
      </c>
    </row>
    <row r="813" spans="1:49" x14ac:dyDescent="0.2">
      <c r="A813">
        <v>811</v>
      </c>
      <c r="B813" t="s">
        <v>3963</v>
      </c>
      <c r="C813" t="s">
        <v>3962</v>
      </c>
      <c r="F813" t="s">
        <v>3961</v>
      </c>
      <c r="G813" t="s">
        <v>15</v>
      </c>
      <c r="H813" t="s">
        <v>14</v>
      </c>
      <c r="I813" t="s">
        <v>3960</v>
      </c>
      <c r="J813">
        <v>60025038</v>
      </c>
      <c r="K813" t="s">
        <v>3959</v>
      </c>
      <c r="L813" t="s">
        <v>3958</v>
      </c>
      <c r="M813" t="s">
        <v>10</v>
      </c>
      <c r="N813">
        <v>2</v>
      </c>
      <c r="O813" t="s">
        <v>3957</v>
      </c>
      <c r="P813" t="s">
        <v>3956</v>
      </c>
      <c r="Q813" t="s">
        <v>3955</v>
      </c>
      <c r="R813" s="7">
        <v>33970</v>
      </c>
      <c r="S813" s="8">
        <f t="shared" si="96"/>
        <v>1993</v>
      </c>
      <c r="T813" s="8">
        <v>1993</v>
      </c>
      <c r="U813" s="8">
        <f t="shared" si="97"/>
        <v>29</v>
      </c>
      <c r="V813" s="7">
        <v>34090</v>
      </c>
      <c r="W813" t="s">
        <v>3954</v>
      </c>
      <c r="X813" s="2">
        <v>0.73199999999999998</v>
      </c>
      <c r="Y813" s="6">
        <f t="shared" si="102"/>
        <v>1.9540321934812206E-2</v>
      </c>
      <c r="AA813">
        <v>8946507</v>
      </c>
      <c r="AB813">
        <v>17388</v>
      </c>
      <c r="AC813">
        <v>15582345</v>
      </c>
      <c r="AD813" t="s">
        <v>5</v>
      </c>
      <c r="AE813">
        <v>6</v>
      </c>
      <c r="AF813">
        <v>2</v>
      </c>
      <c r="AH813" t="s">
        <v>3953</v>
      </c>
      <c r="AI813" t="s">
        <v>3952</v>
      </c>
      <c r="AK813" t="s">
        <v>3951</v>
      </c>
      <c r="AL813">
        <v>16</v>
      </c>
      <c r="AM813" s="5">
        <f t="shared" si="98"/>
        <v>0.55172413793103448</v>
      </c>
      <c r="AN813" s="4">
        <f t="shared" si="103"/>
        <v>8.3562913734348278E-4</v>
      </c>
      <c r="AO813" s="3"/>
      <c r="AP813">
        <v>0</v>
      </c>
      <c r="AQ813" t="s">
        <v>1358</v>
      </c>
      <c r="AR813" t="s">
        <v>3950</v>
      </c>
      <c r="AS813" t="s">
        <v>1356</v>
      </c>
      <c r="AT813" s="2" t="s">
        <v>0</v>
      </c>
      <c r="AU813" s="1">
        <f t="shared" si="99"/>
        <v>1.3928914095571587</v>
      </c>
      <c r="AV813" s="1">
        <f t="shared" si="100"/>
        <v>1.0187975536077845</v>
      </c>
      <c r="AW813" s="1">
        <f t="shared" si="101"/>
        <v>0.64470369765840996</v>
      </c>
    </row>
    <row r="814" spans="1:49" x14ac:dyDescent="0.2">
      <c r="A814">
        <v>812</v>
      </c>
      <c r="B814" t="s">
        <v>3949</v>
      </c>
      <c r="C814" t="s">
        <v>3948</v>
      </c>
      <c r="F814" t="s">
        <v>3947</v>
      </c>
      <c r="G814" t="s">
        <v>15</v>
      </c>
      <c r="H814" t="s">
        <v>14</v>
      </c>
      <c r="I814" t="s">
        <v>3946</v>
      </c>
      <c r="J814">
        <v>60020583</v>
      </c>
      <c r="K814" t="s">
        <v>3945</v>
      </c>
      <c r="L814" t="s">
        <v>3944</v>
      </c>
      <c r="M814" t="s">
        <v>10</v>
      </c>
      <c r="N814">
        <v>2</v>
      </c>
      <c r="O814" t="s">
        <v>3943</v>
      </c>
      <c r="P814" t="s">
        <v>3942</v>
      </c>
      <c r="Q814" t="s">
        <v>3941</v>
      </c>
      <c r="R814" s="7">
        <v>33970</v>
      </c>
      <c r="S814" s="8">
        <f t="shared" si="96"/>
        <v>1993</v>
      </c>
      <c r="T814" s="8">
        <v>1993</v>
      </c>
      <c r="U814" s="8">
        <f t="shared" si="97"/>
        <v>29</v>
      </c>
      <c r="V814" s="7">
        <v>34090</v>
      </c>
      <c r="W814" t="s">
        <v>2801</v>
      </c>
      <c r="X814" s="2">
        <v>0.65500000000000003</v>
      </c>
      <c r="Y814" s="6">
        <f t="shared" si="102"/>
        <v>1.7484850911614749E-2</v>
      </c>
      <c r="AA814">
        <v>189375</v>
      </c>
      <c r="AB814">
        <v>26051</v>
      </c>
      <c r="AC814" t="s">
        <v>2800</v>
      </c>
      <c r="AD814" t="s">
        <v>5</v>
      </c>
      <c r="AE814">
        <v>35</v>
      </c>
      <c r="AF814">
        <v>2</v>
      </c>
      <c r="AH814" t="s">
        <v>3940</v>
      </c>
      <c r="AI814" t="s">
        <v>3939</v>
      </c>
      <c r="AK814" t="s">
        <v>3938</v>
      </c>
      <c r="AL814">
        <v>0</v>
      </c>
      <c r="AM814" s="5">
        <f t="shared" si="98"/>
        <v>0</v>
      </c>
      <c r="AN814" s="4">
        <f t="shared" si="103"/>
        <v>0</v>
      </c>
      <c r="AO814" s="3"/>
      <c r="AP814">
        <v>0</v>
      </c>
      <c r="AR814" t="s">
        <v>1</v>
      </c>
      <c r="AT814" s="2" t="s">
        <v>0</v>
      </c>
      <c r="AU814" s="1">
        <f t="shared" si="99"/>
        <v>1.2239395638130324</v>
      </c>
      <c r="AV814" s="1">
        <f t="shared" si="100"/>
        <v>0.87424254558073744</v>
      </c>
      <c r="AW814" s="1">
        <f t="shared" si="101"/>
        <v>0.52454552734844251</v>
      </c>
    </row>
    <row r="815" spans="1:49" x14ac:dyDescent="0.2">
      <c r="A815">
        <v>813</v>
      </c>
      <c r="B815" t="s">
        <v>3937</v>
      </c>
      <c r="C815" t="s">
        <v>3936</v>
      </c>
      <c r="F815" t="s">
        <v>3935</v>
      </c>
      <c r="G815" t="s">
        <v>15</v>
      </c>
      <c r="H815" t="s">
        <v>14</v>
      </c>
      <c r="I815" t="s">
        <v>3934</v>
      </c>
      <c r="J815">
        <v>60015138</v>
      </c>
      <c r="K815" t="s">
        <v>2825</v>
      </c>
      <c r="L815" t="s">
        <v>1607</v>
      </c>
      <c r="M815" t="s">
        <v>493</v>
      </c>
      <c r="N815">
        <v>2</v>
      </c>
      <c r="O815" t="s">
        <v>3933</v>
      </c>
      <c r="P815" t="s">
        <v>3932</v>
      </c>
      <c r="Q815" t="s">
        <v>3931</v>
      </c>
      <c r="R815" s="7">
        <v>33970</v>
      </c>
      <c r="S815" s="8">
        <f t="shared" si="96"/>
        <v>1993</v>
      </c>
      <c r="T815" s="8">
        <v>1993</v>
      </c>
      <c r="U815" s="8">
        <f t="shared" si="97"/>
        <v>29</v>
      </c>
      <c r="V815" s="7">
        <v>34090</v>
      </c>
      <c r="W815" t="s">
        <v>2801</v>
      </c>
      <c r="X815" s="2">
        <v>0.65500000000000003</v>
      </c>
      <c r="Y815" s="6">
        <f t="shared" si="102"/>
        <v>1.7484850911614749E-2</v>
      </c>
      <c r="AA815">
        <v>189375</v>
      </c>
      <c r="AB815">
        <v>26051</v>
      </c>
      <c r="AC815" t="s">
        <v>2800</v>
      </c>
      <c r="AD815" t="s">
        <v>5</v>
      </c>
      <c r="AE815">
        <v>35</v>
      </c>
      <c r="AF815">
        <v>2</v>
      </c>
      <c r="AH815" t="s">
        <v>3930</v>
      </c>
      <c r="AI815" t="s">
        <v>3929</v>
      </c>
      <c r="AK815" t="s">
        <v>3928</v>
      </c>
      <c r="AL815">
        <v>8</v>
      </c>
      <c r="AM815" s="5">
        <f t="shared" si="98"/>
        <v>0.27586206896551724</v>
      </c>
      <c r="AN815" s="4">
        <f t="shared" si="103"/>
        <v>4.1781456867174139E-4</v>
      </c>
      <c r="AO815" s="3"/>
      <c r="AP815">
        <v>0</v>
      </c>
      <c r="AQ815" t="s">
        <v>3927</v>
      </c>
      <c r="AR815" t="s">
        <v>1</v>
      </c>
      <c r="AS815" t="s">
        <v>3926</v>
      </c>
      <c r="AT815" s="2" t="s">
        <v>0</v>
      </c>
      <c r="AU815" s="1">
        <f t="shared" si="99"/>
        <v>1.2364740008731845</v>
      </c>
      <c r="AV815" s="1">
        <f t="shared" si="100"/>
        <v>0.89513327401432452</v>
      </c>
      <c r="AW815" s="1">
        <f t="shared" si="101"/>
        <v>0.55379254715546433</v>
      </c>
    </row>
    <row r="816" spans="1:49" x14ac:dyDescent="0.2">
      <c r="A816">
        <v>814</v>
      </c>
      <c r="B816" t="s">
        <v>3925</v>
      </c>
      <c r="C816" t="s">
        <v>3924</v>
      </c>
      <c r="F816" t="s">
        <v>3923</v>
      </c>
      <c r="G816" t="s">
        <v>15</v>
      </c>
      <c r="H816" t="s">
        <v>14</v>
      </c>
      <c r="I816" t="s">
        <v>3922</v>
      </c>
      <c r="J816" t="s">
        <v>3921</v>
      </c>
      <c r="K816" t="s">
        <v>3920</v>
      </c>
      <c r="L816" t="s">
        <v>3919</v>
      </c>
      <c r="M816" t="s">
        <v>235</v>
      </c>
      <c r="N816">
        <v>4</v>
      </c>
      <c r="O816" t="s">
        <v>3918</v>
      </c>
      <c r="P816" t="s">
        <v>3917</v>
      </c>
      <c r="Q816" t="s">
        <v>3916</v>
      </c>
      <c r="R816" s="7">
        <v>33970</v>
      </c>
      <c r="S816" s="8">
        <f t="shared" si="96"/>
        <v>1993</v>
      </c>
      <c r="T816" s="8">
        <v>1993</v>
      </c>
      <c r="U816" s="8">
        <f t="shared" si="97"/>
        <v>29</v>
      </c>
      <c r="V816" s="7">
        <v>34090</v>
      </c>
      <c r="W816" t="s">
        <v>2801</v>
      </c>
      <c r="X816" s="2">
        <v>0.65500000000000003</v>
      </c>
      <c r="Y816" s="6">
        <f t="shared" si="102"/>
        <v>1.7484850911614749E-2</v>
      </c>
      <c r="AA816">
        <v>189375</v>
      </c>
      <c r="AB816">
        <v>26051</v>
      </c>
      <c r="AC816" t="s">
        <v>2800</v>
      </c>
      <c r="AD816" t="s">
        <v>5</v>
      </c>
      <c r="AE816">
        <v>35</v>
      </c>
      <c r="AF816">
        <v>2</v>
      </c>
      <c r="AH816" t="s">
        <v>3915</v>
      </c>
      <c r="AI816" t="s">
        <v>3914</v>
      </c>
      <c r="AK816" t="s">
        <v>3913</v>
      </c>
      <c r="AL816">
        <v>29</v>
      </c>
      <c r="AM816" s="5">
        <f t="shared" si="98"/>
        <v>1</v>
      </c>
      <c r="AN816" s="4">
        <f t="shared" si="103"/>
        <v>1.5145778114350624E-3</v>
      </c>
      <c r="AO816" s="3"/>
      <c r="AP816">
        <v>0</v>
      </c>
      <c r="AR816" t="s">
        <v>1</v>
      </c>
      <c r="AT816" s="2" t="s">
        <v>0</v>
      </c>
      <c r="AU816" s="1">
        <f t="shared" si="99"/>
        <v>1.2693768981560842</v>
      </c>
      <c r="AV816" s="1">
        <f t="shared" si="100"/>
        <v>0.94997143615249047</v>
      </c>
      <c r="AW816" s="1">
        <f t="shared" si="101"/>
        <v>0.63056597414889681</v>
      </c>
    </row>
    <row r="817" spans="1:49" x14ac:dyDescent="0.2">
      <c r="A817">
        <v>815</v>
      </c>
      <c r="B817" t="s">
        <v>3912</v>
      </c>
      <c r="C817" t="s">
        <v>3911</v>
      </c>
      <c r="F817" t="s">
        <v>3910</v>
      </c>
      <c r="G817" t="s">
        <v>15</v>
      </c>
      <c r="H817" t="s">
        <v>14</v>
      </c>
      <c r="I817" t="s">
        <v>3909</v>
      </c>
      <c r="J817" t="s">
        <v>3904</v>
      </c>
      <c r="K817" t="s">
        <v>3908</v>
      </c>
      <c r="L817" t="s">
        <v>3907</v>
      </c>
      <c r="M817" t="s">
        <v>235</v>
      </c>
      <c r="N817">
        <v>2</v>
      </c>
      <c r="O817" t="s">
        <v>3906</v>
      </c>
      <c r="P817" t="s">
        <v>3905</v>
      </c>
      <c r="Q817" t="s">
        <v>3904</v>
      </c>
      <c r="R817" s="7">
        <v>33970</v>
      </c>
      <c r="S817" s="8">
        <f t="shared" si="96"/>
        <v>1993</v>
      </c>
      <c r="T817" s="8">
        <v>1993</v>
      </c>
      <c r="U817" s="8">
        <f t="shared" si="97"/>
        <v>29</v>
      </c>
      <c r="V817" s="7" t="s">
        <v>3903</v>
      </c>
      <c r="W817" t="s">
        <v>2968</v>
      </c>
      <c r="X817" s="2">
        <v>0.75800000000000001</v>
      </c>
      <c r="Y817" s="6">
        <f t="shared" si="102"/>
        <v>2.0234377085502256E-2</v>
      </c>
      <c r="AA817">
        <v>224650</v>
      </c>
      <c r="AB817">
        <v>29589</v>
      </c>
      <c r="AD817" t="s">
        <v>5</v>
      </c>
      <c r="AE817">
        <v>30</v>
      </c>
      <c r="AF817">
        <v>3</v>
      </c>
      <c r="AH817" t="s">
        <v>3902</v>
      </c>
      <c r="AI817" t="s">
        <v>3901</v>
      </c>
      <c r="AK817" t="s">
        <v>3900</v>
      </c>
      <c r="AL817">
        <v>4</v>
      </c>
      <c r="AM817" s="5">
        <f t="shared" si="98"/>
        <v>0.13793103448275862</v>
      </c>
      <c r="AN817" s="4">
        <f t="shared" si="103"/>
        <v>2.089072843358707E-4</v>
      </c>
      <c r="AO817" s="3"/>
      <c r="AP817">
        <v>0</v>
      </c>
      <c r="AR817" t="s">
        <v>1</v>
      </c>
      <c r="AT817" s="2">
        <v>1.282</v>
      </c>
      <c r="AU817" s="1">
        <f t="shared" si="99"/>
        <v>1.4226736145152339</v>
      </c>
      <c r="AV817" s="1">
        <f t="shared" si="100"/>
        <v>1.0221642184919064</v>
      </c>
      <c r="AW817" s="1">
        <f t="shared" si="101"/>
        <v>0.62165482246857862</v>
      </c>
    </row>
    <row r="818" spans="1:49" x14ac:dyDescent="0.2">
      <c r="A818">
        <v>816</v>
      </c>
      <c r="B818" t="s">
        <v>3899</v>
      </c>
      <c r="C818" t="s">
        <v>3898</v>
      </c>
      <c r="F818" t="s">
        <v>3897</v>
      </c>
      <c r="G818" t="s">
        <v>15</v>
      </c>
      <c r="H818" t="s">
        <v>14</v>
      </c>
      <c r="I818" t="s">
        <v>3896</v>
      </c>
      <c r="J818">
        <v>60000617</v>
      </c>
      <c r="K818" t="s">
        <v>3895</v>
      </c>
      <c r="L818" t="s">
        <v>3894</v>
      </c>
      <c r="M818" t="s">
        <v>3739</v>
      </c>
      <c r="N818">
        <v>2</v>
      </c>
      <c r="O818" t="s">
        <v>3893</v>
      </c>
      <c r="P818" t="s">
        <v>3892</v>
      </c>
      <c r="Q818" t="s">
        <v>3891</v>
      </c>
      <c r="R818" s="7">
        <v>33970</v>
      </c>
      <c r="S818" s="8">
        <f t="shared" si="96"/>
        <v>1993</v>
      </c>
      <c r="T818" s="8">
        <v>1993</v>
      </c>
      <c r="U818" s="8">
        <f t="shared" si="97"/>
        <v>29</v>
      </c>
      <c r="V818" s="7">
        <v>34090</v>
      </c>
      <c r="W818" t="s">
        <v>3890</v>
      </c>
      <c r="X818" s="2">
        <v>0.251</v>
      </c>
      <c r="Y818" s="6">
        <f t="shared" si="102"/>
        <v>6.7003016470462617E-3</v>
      </c>
      <c r="AA818">
        <v>207217</v>
      </c>
      <c r="AB818">
        <v>26145</v>
      </c>
      <c r="AC818">
        <v>13623060</v>
      </c>
      <c r="AD818" t="s">
        <v>5</v>
      </c>
      <c r="AE818">
        <v>74</v>
      </c>
      <c r="AF818">
        <v>5</v>
      </c>
      <c r="AH818" t="s">
        <v>3889</v>
      </c>
      <c r="AI818" t="s">
        <v>3888</v>
      </c>
      <c r="AK818" t="s">
        <v>3887</v>
      </c>
      <c r="AL818">
        <v>2</v>
      </c>
      <c r="AM818" s="5">
        <f t="shared" si="98"/>
        <v>6.8965517241379309E-2</v>
      </c>
      <c r="AN818" s="4">
        <f t="shared" si="103"/>
        <v>1.0445364216793535E-4</v>
      </c>
      <c r="AO818" s="3"/>
      <c r="AP818">
        <v>0</v>
      </c>
      <c r="AR818" t="s">
        <v>1</v>
      </c>
      <c r="AT818" s="2">
        <v>1.3360000000000001</v>
      </c>
      <c r="AU818" s="1">
        <f t="shared" si="99"/>
        <v>0.47215472455827628</v>
      </c>
      <c r="AV818" s="1">
        <f t="shared" si="100"/>
        <v>0.34023776446070986</v>
      </c>
      <c r="AW818" s="1">
        <f t="shared" si="101"/>
        <v>0.20832080436314332</v>
      </c>
    </row>
    <row r="819" spans="1:49" x14ac:dyDescent="0.2">
      <c r="A819">
        <v>817</v>
      </c>
      <c r="B819" t="s">
        <v>3886</v>
      </c>
      <c r="C819" t="s">
        <v>3885</v>
      </c>
      <c r="F819" t="s">
        <v>3884</v>
      </c>
      <c r="G819" t="s">
        <v>15</v>
      </c>
      <c r="H819" t="s">
        <v>14</v>
      </c>
      <c r="I819" t="s">
        <v>3883</v>
      </c>
      <c r="J819">
        <v>60019947</v>
      </c>
      <c r="K819" t="s">
        <v>3882</v>
      </c>
      <c r="L819" t="s">
        <v>3881</v>
      </c>
      <c r="M819" t="s">
        <v>10</v>
      </c>
      <c r="N819">
        <v>3</v>
      </c>
      <c r="O819" t="s">
        <v>3880</v>
      </c>
      <c r="P819" t="s">
        <v>3879</v>
      </c>
      <c r="Q819" t="s">
        <v>3878</v>
      </c>
      <c r="R819" s="7">
        <v>33970</v>
      </c>
      <c r="S819" s="8">
        <f t="shared" si="96"/>
        <v>1993</v>
      </c>
      <c r="T819" s="8">
        <v>1993</v>
      </c>
      <c r="U819" s="8">
        <f t="shared" si="97"/>
        <v>29</v>
      </c>
      <c r="V819" s="7">
        <v>34090</v>
      </c>
      <c r="W819" t="s">
        <v>2801</v>
      </c>
      <c r="X819" s="2">
        <v>0.65500000000000003</v>
      </c>
      <c r="Y819" s="6">
        <f t="shared" si="102"/>
        <v>1.7484850911614749E-2</v>
      </c>
      <c r="AA819">
        <v>189375</v>
      </c>
      <c r="AB819">
        <v>26051</v>
      </c>
      <c r="AC819" t="s">
        <v>2800</v>
      </c>
      <c r="AD819" t="s">
        <v>5</v>
      </c>
      <c r="AE819">
        <v>35</v>
      </c>
      <c r="AF819">
        <v>2</v>
      </c>
      <c r="AH819" t="s">
        <v>3877</v>
      </c>
      <c r="AI819" t="s">
        <v>3876</v>
      </c>
      <c r="AK819" t="s">
        <v>3875</v>
      </c>
      <c r="AL819">
        <v>11</v>
      </c>
      <c r="AM819" s="5">
        <f t="shared" si="98"/>
        <v>0.37931034482758619</v>
      </c>
      <c r="AN819" s="4">
        <f t="shared" si="103"/>
        <v>5.7449503192364435E-4</v>
      </c>
      <c r="AO819" s="3"/>
      <c r="AP819">
        <v>0</v>
      </c>
      <c r="AR819" t="s">
        <v>1</v>
      </c>
      <c r="AT819" s="2" t="s">
        <v>0</v>
      </c>
      <c r="AU819" s="1">
        <f t="shared" si="99"/>
        <v>1.2411744147707415</v>
      </c>
      <c r="AV819" s="1">
        <f t="shared" si="100"/>
        <v>0.9029672971769197</v>
      </c>
      <c r="AW819" s="1">
        <f t="shared" si="101"/>
        <v>0.56476017958309765</v>
      </c>
    </row>
    <row r="820" spans="1:49" x14ac:dyDescent="0.2">
      <c r="A820">
        <v>818</v>
      </c>
      <c r="B820" t="s">
        <v>3874</v>
      </c>
      <c r="F820" t="s">
        <v>3873</v>
      </c>
      <c r="G820" t="s">
        <v>15</v>
      </c>
      <c r="H820" t="s">
        <v>14</v>
      </c>
      <c r="I820" t="s">
        <v>3872</v>
      </c>
      <c r="N820">
        <v>3</v>
      </c>
      <c r="O820" t="s">
        <v>3871</v>
      </c>
      <c r="P820" t="s">
        <v>3870</v>
      </c>
      <c r="Q820" t="s">
        <v>2929</v>
      </c>
      <c r="R820" s="7">
        <v>33970</v>
      </c>
      <c r="S820" s="8">
        <f t="shared" si="96"/>
        <v>1993</v>
      </c>
      <c r="T820" s="8">
        <v>1993</v>
      </c>
      <c r="U820" s="8">
        <f t="shared" si="97"/>
        <v>29</v>
      </c>
      <c r="V820" s="7">
        <v>1993</v>
      </c>
      <c r="W820" t="s">
        <v>3869</v>
      </c>
      <c r="X820" s="2" t="s">
        <v>0</v>
      </c>
      <c r="Y820" s="6" t="e">
        <f t="shared" si="102"/>
        <v>#VALUE!</v>
      </c>
      <c r="AB820">
        <v>15776</v>
      </c>
      <c r="AD820" t="s">
        <v>5</v>
      </c>
      <c r="AE820">
        <v>36</v>
      </c>
      <c r="AF820">
        <v>3</v>
      </c>
      <c r="AH820" t="s">
        <v>3868</v>
      </c>
      <c r="AI820" t="s">
        <v>3867</v>
      </c>
      <c r="AK820" t="s">
        <v>3866</v>
      </c>
      <c r="AL820">
        <v>14</v>
      </c>
      <c r="AM820" s="5">
        <f t="shared" si="98"/>
        <v>0.48275862068965519</v>
      </c>
      <c r="AN820" s="4">
        <f t="shared" si="103"/>
        <v>7.3117549517554741E-4</v>
      </c>
      <c r="AO820" s="3"/>
      <c r="AP820">
        <v>0</v>
      </c>
      <c r="AR820" t="s">
        <v>1</v>
      </c>
      <c r="AT820" s="2" t="s">
        <v>0</v>
      </c>
      <c r="AU820" s="1" t="e">
        <f t="shared" si="99"/>
        <v>#VALUE!</v>
      </c>
      <c r="AV820" s="1" t="e">
        <f t="shared" si="100"/>
        <v>#VALUE!</v>
      </c>
      <c r="AW820" s="1" t="e">
        <f t="shared" si="101"/>
        <v>#VALUE!</v>
      </c>
    </row>
    <row r="821" spans="1:49" x14ac:dyDescent="0.2">
      <c r="A821">
        <v>819</v>
      </c>
      <c r="B821" t="s">
        <v>3865</v>
      </c>
      <c r="C821" t="s">
        <v>3864</v>
      </c>
      <c r="F821" t="s">
        <v>3863</v>
      </c>
      <c r="G821" t="s">
        <v>15</v>
      </c>
      <c r="H821" t="s">
        <v>14</v>
      </c>
      <c r="I821" t="s">
        <v>3862</v>
      </c>
      <c r="J821">
        <v>60001989</v>
      </c>
      <c r="K821" t="s">
        <v>3861</v>
      </c>
      <c r="L821" t="s">
        <v>2919</v>
      </c>
      <c r="M821" t="s">
        <v>10</v>
      </c>
      <c r="N821">
        <v>2</v>
      </c>
      <c r="O821" t="s">
        <v>3860</v>
      </c>
      <c r="P821" t="s">
        <v>3859</v>
      </c>
      <c r="Q821" t="s">
        <v>3858</v>
      </c>
      <c r="R821" s="7">
        <v>33970</v>
      </c>
      <c r="S821" s="8">
        <f t="shared" si="96"/>
        <v>1993</v>
      </c>
      <c r="T821" s="8">
        <v>1993</v>
      </c>
      <c r="U821" s="8">
        <f t="shared" si="97"/>
        <v>29</v>
      </c>
      <c r="V821" s="7" t="s">
        <v>3857</v>
      </c>
      <c r="W821" t="s">
        <v>3856</v>
      </c>
      <c r="X821" s="2">
        <v>0.83599999999999997</v>
      </c>
      <c r="Y821" s="6">
        <f t="shared" si="102"/>
        <v>2.2316542537572408E-2</v>
      </c>
      <c r="AA821">
        <v>3615995</v>
      </c>
      <c r="AB821">
        <v>37206</v>
      </c>
      <c r="AD821" t="s">
        <v>5</v>
      </c>
      <c r="AE821">
        <v>57</v>
      </c>
      <c r="AF821">
        <v>3</v>
      </c>
      <c r="AH821" t="s">
        <v>3855</v>
      </c>
      <c r="AI821" t="s">
        <v>3854</v>
      </c>
      <c r="AK821" t="s">
        <v>3853</v>
      </c>
      <c r="AL821">
        <v>68</v>
      </c>
      <c r="AM821" s="5">
        <f t="shared" si="98"/>
        <v>2.3448275862068964</v>
      </c>
      <c r="AN821" s="4">
        <f t="shared" si="103"/>
        <v>3.5514238337098014E-3</v>
      </c>
      <c r="AO821" s="3"/>
      <c r="AP821">
        <v>0</v>
      </c>
      <c r="AR821" t="s">
        <v>1</v>
      </c>
      <c r="AT821" s="2">
        <v>2.3069999999999999</v>
      </c>
      <c r="AU821" s="1">
        <f t="shared" si="99"/>
        <v>1.6687006926413628</v>
      </c>
      <c r="AV821" s="1">
        <f t="shared" si="100"/>
        <v>1.2933983185641105</v>
      </c>
      <c r="AW821" s="1">
        <f t="shared" si="101"/>
        <v>0.91809594448685838</v>
      </c>
    </row>
    <row r="822" spans="1:49" x14ac:dyDescent="0.2">
      <c r="A822">
        <v>820</v>
      </c>
      <c r="B822" t="s">
        <v>3852</v>
      </c>
      <c r="C822" t="s">
        <v>3851</v>
      </c>
      <c r="F822" t="s">
        <v>3850</v>
      </c>
      <c r="G822" t="s">
        <v>15</v>
      </c>
      <c r="H822" t="s">
        <v>14</v>
      </c>
      <c r="I822" t="s">
        <v>3849</v>
      </c>
      <c r="J822">
        <v>60000891</v>
      </c>
      <c r="K822" t="s">
        <v>2533</v>
      </c>
      <c r="L822" t="s">
        <v>2532</v>
      </c>
      <c r="M822" t="s">
        <v>493</v>
      </c>
      <c r="N822">
        <v>2</v>
      </c>
      <c r="O822" t="s">
        <v>3848</v>
      </c>
      <c r="P822" t="s">
        <v>3847</v>
      </c>
      <c r="Q822" t="s">
        <v>3846</v>
      </c>
      <c r="R822" s="7">
        <v>33970</v>
      </c>
      <c r="S822" s="8">
        <f t="shared" si="96"/>
        <v>1993</v>
      </c>
      <c r="T822" s="8">
        <v>1993</v>
      </c>
      <c r="U822" s="8">
        <f t="shared" si="97"/>
        <v>29</v>
      </c>
      <c r="V822" s="7">
        <v>34090</v>
      </c>
      <c r="W822" t="s">
        <v>2382</v>
      </c>
      <c r="X822" s="2">
        <v>0.30399999999999999</v>
      </c>
      <c r="Y822" s="6">
        <f t="shared" si="102"/>
        <v>8.115106377299057E-3</v>
      </c>
      <c r="AA822">
        <v>8952477</v>
      </c>
      <c r="AB822">
        <v>12250</v>
      </c>
      <c r="AC822">
        <v>10982760</v>
      </c>
      <c r="AD822" t="s">
        <v>5</v>
      </c>
      <c r="AE822">
        <v>6</v>
      </c>
      <c r="AF822">
        <v>6</v>
      </c>
      <c r="AH822" t="s">
        <v>3845</v>
      </c>
      <c r="AI822" t="s">
        <v>3844</v>
      </c>
      <c r="AJ822" t="s">
        <v>3843</v>
      </c>
      <c r="AK822" t="s">
        <v>3842</v>
      </c>
      <c r="AL822">
        <v>11</v>
      </c>
      <c r="AM822" s="5">
        <f t="shared" si="98"/>
        <v>0.37931034482758619</v>
      </c>
      <c r="AN822" s="4">
        <f t="shared" si="103"/>
        <v>5.7449503192364435E-4</v>
      </c>
      <c r="AO822" s="3"/>
      <c r="AP822">
        <v>0</v>
      </c>
      <c r="AR822" t="s">
        <v>1</v>
      </c>
      <c r="AT822" s="2" t="s">
        <v>0</v>
      </c>
      <c r="AU822" s="1">
        <f t="shared" si="99"/>
        <v>0.5852922973686433</v>
      </c>
      <c r="AV822" s="1">
        <f t="shared" si="100"/>
        <v>0.43448007046113502</v>
      </c>
      <c r="AW822" s="1">
        <f t="shared" si="101"/>
        <v>0.28366784355362679</v>
      </c>
    </row>
    <row r="823" spans="1:49" x14ac:dyDescent="0.2">
      <c r="A823">
        <v>821</v>
      </c>
      <c r="B823" t="s">
        <v>3841</v>
      </c>
      <c r="C823" t="s">
        <v>3840</v>
      </c>
      <c r="F823" t="s">
        <v>3839</v>
      </c>
      <c r="G823" t="s">
        <v>15</v>
      </c>
      <c r="H823" t="s">
        <v>14</v>
      </c>
      <c r="I823" t="s">
        <v>3437</v>
      </c>
      <c r="J823">
        <v>60017161</v>
      </c>
      <c r="K823" t="s">
        <v>2398</v>
      </c>
      <c r="L823" t="s">
        <v>1461</v>
      </c>
      <c r="M823" t="s">
        <v>1460</v>
      </c>
      <c r="N823">
        <v>3</v>
      </c>
      <c r="O823" t="s">
        <v>3436</v>
      </c>
      <c r="P823" t="s">
        <v>3435</v>
      </c>
      <c r="Q823" t="s">
        <v>3434</v>
      </c>
      <c r="R823" s="7">
        <v>33970</v>
      </c>
      <c r="S823" s="8">
        <f t="shared" si="96"/>
        <v>1993</v>
      </c>
      <c r="T823" s="8">
        <v>1993</v>
      </c>
      <c r="U823" s="8">
        <f t="shared" si="97"/>
        <v>29</v>
      </c>
      <c r="V823" s="7">
        <v>34090</v>
      </c>
      <c r="W823" t="s">
        <v>2382</v>
      </c>
      <c r="X823" s="2">
        <v>0.30399999999999999</v>
      </c>
      <c r="Y823" s="6">
        <f t="shared" si="102"/>
        <v>8.115106377299057E-3</v>
      </c>
      <c r="AA823">
        <v>8952477</v>
      </c>
      <c r="AB823">
        <v>12250</v>
      </c>
      <c r="AC823">
        <v>10982760</v>
      </c>
      <c r="AD823" t="s">
        <v>5</v>
      </c>
      <c r="AE823">
        <v>6</v>
      </c>
      <c r="AF823">
        <v>6</v>
      </c>
      <c r="AH823" t="s">
        <v>3838</v>
      </c>
      <c r="AI823" t="s">
        <v>3837</v>
      </c>
      <c r="AJ823" t="s">
        <v>3836</v>
      </c>
      <c r="AK823" t="s">
        <v>3835</v>
      </c>
      <c r="AL823">
        <v>1</v>
      </c>
      <c r="AM823" s="5">
        <f t="shared" si="98"/>
        <v>3.4482758620689655E-2</v>
      </c>
      <c r="AN823" s="4">
        <f t="shared" si="103"/>
        <v>5.2226821083967674E-5</v>
      </c>
      <c r="AO823" s="3"/>
      <c r="AP823">
        <v>0</v>
      </c>
      <c r="AR823" t="s">
        <v>1</v>
      </c>
      <c r="AT823" s="2" t="s">
        <v>0</v>
      </c>
      <c r="AU823" s="1">
        <f t="shared" si="99"/>
        <v>0.56962425104345293</v>
      </c>
      <c r="AV823" s="1">
        <f t="shared" si="100"/>
        <v>0.40836665991915122</v>
      </c>
      <c r="AW823" s="1">
        <f t="shared" si="101"/>
        <v>0.24710906879484945</v>
      </c>
    </row>
    <row r="824" spans="1:49" x14ac:dyDescent="0.2">
      <c r="A824">
        <v>822</v>
      </c>
      <c r="B824" t="s">
        <v>3834</v>
      </c>
      <c r="C824" t="s">
        <v>3833</v>
      </c>
      <c r="F824" t="s">
        <v>3832</v>
      </c>
      <c r="G824" t="s">
        <v>15</v>
      </c>
      <c r="H824" t="s">
        <v>14</v>
      </c>
      <c r="I824" t="s">
        <v>3831</v>
      </c>
      <c r="J824" t="s">
        <v>3830</v>
      </c>
      <c r="K824" t="s">
        <v>3829</v>
      </c>
      <c r="L824" t="s">
        <v>3828</v>
      </c>
      <c r="M824" t="s">
        <v>3827</v>
      </c>
      <c r="N824">
        <v>3</v>
      </c>
      <c r="O824" t="s">
        <v>3826</v>
      </c>
      <c r="P824" t="s">
        <v>3825</v>
      </c>
      <c r="Q824" t="s">
        <v>3824</v>
      </c>
      <c r="R824" s="7">
        <v>33970</v>
      </c>
      <c r="S824" s="8">
        <f t="shared" si="96"/>
        <v>1993</v>
      </c>
      <c r="T824" s="8">
        <v>1993</v>
      </c>
      <c r="U824" s="8">
        <f t="shared" si="97"/>
        <v>29</v>
      </c>
      <c r="V824" s="7">
        <v>34090</v>
      </c>
      <c r="W824" t="s">
        <v>3823</v>
      </c>
      <c r="X824" s="2">
        <v>0.249</v>
      </c>
      <c r="Y824" s="6">
        <f t="shared" si="102"/>
        <v>6.6469127893008734E-3</v>
      </c>
      <c r="AA824">
        <v>8943370</v>
      </c>
      <c r="AB824">
        <v>18200</v>
      </c>
      <c r="AC824">
        <v>10991204</v>
      </c>
      <c r="AD824" t="s">
        <v>5</v>
      </c>
      <c r="AE824">
        <v>6</v>
      </c>
      <c r="AF824">
        <v>2</v>
      </c>
      <c r="AH824" t="s">
        <v>3822</v>
      </c>
      <c r="AI824" t="s">
        <v>3821</v>
      </c>
      <c r="AK824" t="s">
        <v>3820</v>
      </c>
      <c r="AL824">
        <v>0</v>
      </c>
      <c r="AM824" s="5">
        <f t="shared" si="98"/>
        <v>0</v>
      </c>
      <c r="AN824" s="4">
        <f t="shared" si="103"/>
        <v>0</v>
      </c>
      <c r="AO824" s="3"/>
      <c r="AP824">
        <v>0</v>
      </c>
      <c r="AR824" t="s">
        <v>1</v>
      </c>
      <c r="AT824" s="2" t="s">
        <v>0</v>
      </c>
      <c r="AU824" s="1">
        <f t="shared" si="99"/>
        <v>0.46528389525106117</v>
      </c>
      <c r="AV824" s="1">
        <f t="shared" si="100"/>
        <v>0.3323456394650437</v>
      </c>
      <c r="AW824" s="1">
        <f t="shared" si="101"/>
        <v>0.19940738367902619</v>
      </c>
    </row>
    <row r="825" spans="1:49" x14ac:dyDescent="0.2">
      <c r="A825">
        <v>823</v>
      </c>
      <c r="B825" t="s">
        <v>3819</v>
      </c>
      <c r="C825" t="s">
        <v>3818</v>
      </c>
      <c r="F825" t="s">
        <v>3817</v>
      </c>
      <c r="G825" t="s">
        <v>15</v>
      </c>
      <c r="H825" t="s">
        <v>14</v>
      </c>
      <c r="I825" t="s">
        <v>3816</v>
      </c>
      <c r="J825">
        <v>60021902</v>
      </c>
      <c r="K825" t="s">
        <v>2373</v>
      </c>
      <c r="L825" t="s">
        <v>2372</v>
      </c>
      <c r="M825" t="s">
        <v>2371</v>
      </c>
      <c r="N825">
        <v>2</v>
      </c>
      <c r="O825" t="s">
        <v>3815</v>
      </c>
      <c r="P825" t="s">
        <v>3814</v>
      </c>
      <c r="Q825" t="s">
        <v>2368</v>
      </c>
      <c r="R825" s="7">
        <v>33970</v>
      </c>
      <c r="S825" s="8">
        <f t="shared" si="96"/>
        <v>1993</v>
      </c>
      <c r="T825" s="8">
        <v>1993</v>
      </c>
      <c r="U825" s="8">
        <f t="shared" si="97"/>
        <v>29</v>
      </c>
      <c r="V825" s="7">
        <v>34090</v>
      </c>
      <c r="W825" t="s">
        <v>868</v>
      </c>
      <c r="X825" s="2">
        <v>0.375</v>
      </c>
      <c r="Y825" s="6">
        <f t="shared" si="102"/>
        <v>1.0010410827260351E-2</v>
      </c>
      <c r="AA825">
        <v>135194</v>
      </c>
      <c r="AB825">
        <v>24918</v>
      </c>
      <c r="AD825" t="s">
        <v>5</v>
      </c>
      <c r="AE825">
        <v>29</v>
      </c>
      <c r="AF825">
        <v>11</v>
      </c>
      <c r="AH825" t="s">
        <v>3813</v>
      </c>
      <c r="AI825" t="s">
        <v>3812</v>
      </c>
      <c r="AJ825" t="s">
        <v>3811</v>
      </c>
      <c r="AK825" t="s">
        <v>3810</v>
      </c>
      <c r="AL825">
        <v>0</v>
      </c>
      <c r="AM825" s="5">
        <f t="shared" si="98"/>
        <v>0</v>
      </c>
      <c r="AN825" s="4">
        <f t="shared" si="103"/>
        <v>0</v>
      </c>
      <c r="AO825" s="3"/>
      <c r="AP825">
        <v>0</v>
      </c>
      <c r="AR825" t="s">
        <v>1</v>
      </c>
      <c r="AT825" s="2">
        <v>1.3140000000000001</v>
      </c>
      <c r="AU825" s="1">
        <f t="shared" si="99"/>
        <v>0.70072875790822453</v>
      </c>
      <c r="AV825" s="1">
        <f t="shared" si="100"/>
        <v>0.5005205413630176</v>
      </c>
      <c r="AW825" s="1">
        <f t="shared" si="101"/>
        <v>0.30031232481781051</v>
      </c>
    </row>
    <row r="826" spans="1:49" x14ac:dyDescent="0.2">
      <c r="A826">
        <v>824</v>
      </c>
      <c r="B826" t="s">
        <v>3809</v>
      </c>
      <c r="C826" t="s">
        <v>3808</v>
      </c>
      <c r="F826" t="s">
        <v>3807</v>
      </c>
      <c r="G826" t="s">
        <v>15</v>
      </c>
      <c r="H826" t="s">
        <v>14</v>
      </c>
      <c r="I826" t="s">
        <v>3806</v>
      </c>
      <c r="J826">
        <v>60019987</v>
      </c>
      <c r="K826" t="s">
        <v>3805</v>
      </c>
      <c r="L826" t="s">
        <v>3804</v>
      </c>
      <c r="M826" t="s">
        <v>291</v>
      </c>
      <c r="N826">
        <v>1</v>
      </c>
      <c r="O826" t="s">
        <v>3803</v>
      </c>
      <c r="P826">
        <v>6603331778</v>
      </c>
      <c r="Q826">
        <v>60019987</v>
      </c>
      <c r="R826" s="7">
        <v>33970</v>
      </c>
      <c r="S826" s="8">
        <f t="shared" si="96"/>
        <v>1993</v>
      </c>
      <c r="T826" s="8">
        <v>1993</v>
      </c>
      <c r="U826" s="8">
        <f t="shared" si="97"/>
        <v>29</v>
      </c>
      <c r="V826" s="7">
        <v>34090</v>
      </c>
      <c r="W826" t="s">
        <v>868</v>
      </c>
      <c r="X826" s="2">
        <v>0.375</v>
      </c>
      <c r="Y826" s="6">
        <f t="shared" si="102"/>
        <v>1.0010410827260351E-2</v>
      </c>
      <c r="AA826">
        <v>135194</v>
      </c>
      <c r="AB826">
        <v>24918</v>
      </c>
      <c r="AD826" t="s">
        <v>5</v>
      </c>
      <c r="AE826">
        <v>29</v>
      </c>
      <c r="AF826">
        <v>11</v>
      </c>
      <c r="AH826" t="s">
        <v>3802</v>
      </c>
      <c r="AI826" t="s">
        <v>3801</v>
      </c>
      <c r="AJ826" t="s">
        <v>3800</v>
      </c>
      <c r="AK826" t="s">
        <v>3799</v>
      </c>
      <c r="AL826">
        <v>2</v>
      </c>
      <c r="AM826" s="5">
        <f t="shared" si="98"/>
        <v>6.8965517241379309E-2</v>
      </c>
      <c r="AN826" s="4">
        <f t="shared" si="103"/>
        <v>1.0445364216793535E-4</v>
      </c>
      <c r="AO826" s="3"/>
      <c r="AP826">
        <v>0</v>
      </c>
      <c r="AR826" t="s">
        <v>1</v>
      </c>
      <c r="AT826" s="2">
        <v>1.3140000000000001</v>
      </c>
      <c r="AU826" s="1">
        <f t="shared" si="99"/>
        <v>0.70386236717326256</v>
      </c>
      <c r="AV826" s="1">
        <f t="shared" si="100"/>
        <v>0.50574322347141432</v>
      </c>
      <c r="AW826" s="1">
        <f t="shared" si="101"/>
        <v>0.30762407976956602</v>
      </c>
    </row>
    <row r="827" spans="1:49" x14ac:dyDescent="0.2">
      <c r="A827">
        <v>825</v>
      </c>
      <c r="B827" t="s">
        <v>3798</v>
      </c>
      <c r="C827" t="s">
        <v>3797</v>
      </c>
      <c r="E827">
        <v>8225330</v>
      </c>
      <c r="F827" t="s">
        <v>3796</v>
      </c>
      <c r="G827" t="s">
        <v>15</v>
      </c>
      <c r="H827" t="s">
        <v>14</v>
      </c>
      <c r="I827" t="s">
        <v>3795</v>
      </c>
      <c r="J827">
        <v>60015206</v>
      </c>
      <c r="K827" t="s">
        <v>3794</v>
      </c>
      <c r="L827" t="s">
        <v>3793</v>
      </c>
      <c r="M827" t="s">
        <v>10</v>
      </c>
      <c r="N827">
        <v>2</v>
      </c>
      <c r="O827" t="s">
        <v>3792</v>
      </c>
      <c r="P827" t="s">
        <v>3791</v>
      </c>
      <c r="Q827" t="s">
        <v>3790</v>
      </c>
      <c r="R827" s="7">
        <v>33970</v>
      </c>
      <c r="S827" s="8">
        <f t="shared" si="96"/>
        <v>1993</v>
      </c>
      <c r="T827" s="8">
        <v>1993</v>
      </c>
      <c r="U827" s="8">
        <f t="shared" si="97"/>
        <v>29</v>
      </c>
      <c r="V827" s="7">
        <v>34090</v>
      </c>
      <c r="W827" t="s">
        <v>3789</v>
      </c>
      <c r="X827" s="2">
        <v>1.1479999999999999</v>
      </c>
      <c r="Y827" s="6">
        <f t="shared" si="102"/>
        <v>3.0645204345853019E-2</v>
      </c>
      <c r="AA827">
        <v>189294</v>
      </c>
      <c r="AB827">
        <v>16318</v>
      </c>
      <c r="AC827">
        <v>15582531</v>
      </c>
      <c r="AD827" t="s">
        <v>5</v>
      </c>
      <c r="AE827">
        <v>40</v>
      </c>
      <c r="AF827">
        <v>5</v>
      </c>
      <c r="AH827" t="s">
        <v>3788</v>
      </c>
      <c r="AI827" t="s">
        <v>3787</v>
      </c>
      <c r="AK827" t="s">
        <v>3786</v>
      </c>
      <c r="AL827">
        <v>10</v>
      </c>
      <c r="AM827" s="5">
        <f t="shared" si="98"/>
        <v>0.34482758620689657</v>
      </c>
      <c r="AN827" s="4">
        <f t="shared" si="103"/>
        <v>5.2226821083967677E-4</v>
      </c>
      <c r="AO827" s="3"/>
      <c r="AP827">
        <v>0</v>
      </c>
      <c r="AR827" t="s">
        <v>1</v>
      </c>
      <c r="AS827" t="s">
        <v>3785</v>
      </c>
      <c r="AT827" s="2" t="s">
        <v>0</v>
      </c>
      <c r="AU827" s="1">
        <f t="shared" si="99"/>
        <v>2.1608323505349016</v>
      </c>
      <c r="AV827" s="1">
        <f t="shared" si="100"/>
        <v>1.558373627834635</v>
      </c>
      <c r="AW827" s="1">
        <f t="shared" si="101"/>
        <v>0.95591490513436783</v>
      </c>
    </row>
    <row r="828" spans="1:49" x14ac:dyDescent="0.2">
      <c r="A828">
        <v>826</v>
      </c>
      <c r="B828" t="s">
        <v>3784</v>
      </c>
      <c r="C828" t="s">
        <v>3783</v>
      </c>
      <c r="F828" t="s">
        <v>3782</v>
      </c>
      <c r="G828" t="s">
        <v>15</v>
      </c>
      <c r="H828" t="s">
        <v>14</v>
      </c>
      <c r="I828" t="s">
        <v>3781</v>
      </c>
      <c r="J828">
        <v>60025778</v>
      </c>
      <c r="K828" t="s">
        <v>3404</v>
      </c>
      <c r="L828" t="s">
        <v>1317</v>
      </c>
      <c r="M828" t="s">
        <v>10</v>
      </c>
      <c r="N828">
        <v>3</v>
      </c>
      <c r="O828" t="s">
        <v>3780</v>
      </c>
      <c r="P828" t="s">
        <v>3779</v>
      </c>
      <c r="Q828" t="s">
        <v>3401</v>
      </c>
      <c r="R828" s="7">
        <v>33970</v>
      </c>
      <c r="S828" s="8">
        <f t="shared" si="96"/>
        <v>1993</v>
      </c>
      <c r="T828" s="8">
        <v>1993</v>
      </c>
      <c r="U828" s="8">
        <f t="shared" si="97"/>
        <v>29</v>
      </c>
      <c r="V828" s="7">
        <v>34090</v>
      </c>
      <c r="W828" t="s">
        <v>868</v>
      </c>
      <c r="X828" s="2">
        <v>0.375</v>
      </c>
      <c r="Y828" s="6">
        <f t="shared" si="102"/>
        <v>1.0010410827260351E-2</v>
      </c>
      <c r="AA828">
        <v>135194</v>
      </c>
      <c r="AB828">
        <v>24918</v>
      </c>
      <c r="AD828" t="s">
        <v>5</v>
      </c>
      <c r="AE828">
        <v>29</v>
      </c>
      <c r="AF828">
        <v>11</v>
      </c>
      <c r="AH828" t="s">
        <v>3778</v>
      </c>
      <c r="AI828" t="s">
        <v>3777</v>
      </c>
      <c r="AJ828" t="s">
        <v>3776</v>
      </c>
      <c r="AK828" t="s">
        <v>3775</v>
      </c>
      <c r="AL828">
        <v>2</v>
      </c>
      <c r="AM828" s="5">
        <f t="shared" si="98"/>
        <v>6.8965517241379309E-2</v>
      </c>
      <c r="AN828" s="4">
        <f t="shared" si="103"/>
        <v>1.0445364216793535E-4</v>
      </c>
      <c r="AO828" s="3"/>
      <c r="AP828">
        <v>0</v>
      </c>
      <c r="AR828" t="s">
        <v>1</v>
      </c>
      <c r="AT828" s="2">
        <v>1.3140000000000001</v>
      </c>
      <c r="AU828" s="1">
        <f t="shared" si="99"/>
        <v>0.70386236717326256</v>
      </c>
      <c r="AV828" s="1">
        <f t="shared" si="100"/>
        <v>0.50574322347141432</v>
      </c>
      <c r="AW828" s="1">
        <f t="shared" si="101"/>
        <v>0.30762407976956602</v>
      </c>
    </row>
    <row r="829" spans="1:49" x14ac:dyDescent="0.2">
      <c r="A829">
        <v>827</v>
      </c>
      <c r="B829" t="s">
        <v>3774</v>
      </c>
      <c r="C829" t="s">
        <v>3773</v>
      </c>
      <c r="F829" t="s">
        <v>3772</v>
      </c>
      <c r="G829" t="s">
        <v>15</v>
      </c>
      <c r="H829" t="s">
        <v>14</v>
      </c>
      <c r="I829" t="s">
        <v>3771</v>
      </c>
      <c r="J829">
        <v>60012704</v>
      </c>
      <c r="K829" t="s">
        <v>3770</v>
      </c>
      <c r="L829" t="s">
        <v>3769</v>
      </c>
      <c r="M829" t="s">
        <v>1988</v>
      </c>
      <c r="N829">
        <v>6</v>
      </c>
      <c r="O829" t="s">
        <v>3768</v>
      </c>
      <c r="P829" t="s">
        <v>3767</v>
      </c>
      <c r="Q829" t="s">
        <v>3766</v>
      </c>
      <c r="R829" s="7">
        <v>33970</v>
      </c>
      <c r="S829" s="8">
        <f t="shared" si="96"/>
        <v>1993</v>
      </c>
      <c r="T829" s="8">
        <v>1993</v>
      </c>
      <c r="U829" s="8">
        <f t="shared" si="97"/>
        <v>29</v>
      </c>
      <c r="V829" s="7">
        <v>34090</v>
      </c>
      <c r="W829" t="s">
        <v>868</v>
      </c>
      <c r="X829" s="2">
        <v>0.375</v>
      </c>
      <c r="Y829" s="6">
        <f t="shared" si="102"/>
        <v>1.0010410827260351E-2</v>
      </c>
      <c r="AA829">
        <v>135194</v>
      </c>
      <c r="AB829">
        <v>24918</v>
      </c>
      <c r="AD829" t="s">
        <v>5</v>
      </c>
      <c r="AE829">
        <v>29</v>
      </c>
      <c r="AF829">
        <v>11</v>
      </c>
      <c r="AH829" t="s">
        <v>3765</v>
      </c>
      <c r="AI829" t="s">
        <v>3764</v>
      </c>
      <c r="AJ829" t="s">
        <v>3763</v>
      </c>
      <c r="AK829" t="s">
        <v>3762</v>
      </c>
      <c r="AL829">
        <v>6</v>
      </c>
      <c r="AM829" s="5">
        <f t="shared" si="98"/>
        <v>0.20689655172413793</v>
      </c>
      <c r="AN829" s="4">
        <f t="shared" si="103"/>
        <v>3.1336092650380602E-4</v>
      </c>
      <c r="AO829" s="3"/>
      <c r="AP829">
        <v>0</v>
      </c>
      <c r="AR829" t="s">
        <v>1</v>
      </c>
      <c r="AT829" s="2">
        <v>1.3140000000000001</v>
      </c>
      <c r="AU829" s="1">
        <f t="shared" si="99"/>
        <v>0.71012958570333873</v>
      </c>
      <c r="AV829" s="1">
        <f t="shared" si="100"/>
        <v>0.51618858768820786</v>
      </c>
      <c r="AW829" s="1">
        <f t="shared" si="101"/>
        <v>0.32224758967307693</v>
      </c>
    </row>
    <row r="830" spans="1:49" x14ac:dyDescent="0.2">
      <c r="A830">
        <v>828</v>
      </c>
      <c r="B830" t="s">
        <v>3761</v>
      </c>
      <c r="C830" t="s">
        <v>3760</v>
      </c>
      <c r="F830" t="s">
        <v>3759</v>
      </c>
      <c r="G830" t="s">
        <v>15</v>
      </c>
      <c r="H830" t="s">
        <v>14</v>
      </c>
      <c r="I830" t="s">
        <v>3758</v>
      </c>
      <c r="J830" t="s">
        <v>3757</v>
      </c>
      <c r="K830" t="s">
        <v>3756</v>
      </c>
      <c r="L830" t="s">
        <v>3755</v>
      </c>
      <c r="M830" t="s">
        <v>3754</v>
      </c>
      <c r="N830">
        <v>4</v>
      </c>
      <c r="O830" t="s">
        <v>3753</v>
      </c>
      <c r="P830" t="s">
        <v>3752</v>
      </c>
      <c r="Q830" t="s">
        <v>3751</v>
      </c>
      <c r="R830" s="7">
        <v>33970</v>
      </c>
      <c r="S830" s="8">
        <f t="shared" si="96"/>
        <v>1993</v>
      </c>
      <c r="T830" s="8">
        <v>1993</v>
      </c>
      <c r="U830" s="8">
        <f t="shared" si="97"/>
        <v>29</v>
      </c>
      <c r="V830" s="7">
        <v>34090</v>
      </c>
      <c r="W830" t="s">
        <v>868</v>
      </c>
      <c r="X830" s="2">
        <v>0.375</v>
      </c>
      <c r="Y830" s="6">
        <f t="shared" si="102"/>
        <v>1.0010410827260351E-2</v>
      </c>
      <c r="AA830">
        <v>135194</v>
      </c>
      <c r="AB830">
        <v>24918</v>
      </c>
      <c r="AD830" t="s">
        <v>5</v>
      </c>
      <c r="AE830">
        <v>29</v>
      </c>
      <c r="AF830">
        <v>11</v>
      </c>
      <c r="AH830" t="s">
        <v>3750</v>
      </c>
      <c r="AI830" t="s">
        <v>3749</v>
      </c>
      <c r="AJ830" t="s">
        <v>3748</v>
      </c>
      <c r="AK830" t="s">
        <v>3747</v>
      </c>
      <c r="AL830">
        <v>2</v>
      </c>
      <c r="AM830" s="5">
        <f t="shared" si="98"/>
        <v>6.8965517241379309E-2</v>
      </c>
      <c r="AN830" s="4">
        <f t="shared" si="103"/>
        <v>1.0445364216793535E-4</v>
      </c>
      <c r="AO830" s="3"/>
      <c r="AP830">
        <v>0</v>
      </c>
      <c r="AR830" t="s">
        <v>1</v>
      </c>
      <c r="AT830" s="2">
        <v>1.3140000000000001</v>
      </c>
      <c r="AU830" s="1">
        <f t="shared" si="99"/>
        <v>0.70386236717326256</v>
      </c>
      <c r="AV830" s="1">
        <f t="shared" si="100"/>
        <v>0.50574322347141432</v>
      </c>
      <c r="AW830" s="1">
        <f t="shared" si="101"/>
        <v>0.30762407976956602</v>
      </c>
    </row>
    <row r="831" spans="1:49" x14ac:dyDescent="0.2">
      <c r="A831">
        <v>829</v>
      </c>
      <c r="B831" t="s">
        <v>3746</v>
      </c>
      <c r="C831" t="s">
        <v>3745</v>
      </c>
      <c r="D831" t="s">
        <v>3744</v>
      </c>
      <c r="F831" t="s">
        <v>3743</v>
      </c>
      <c r="G831" t="s">
        <v>15</v>
      </c>
      <c r="H831" t="s">
        <v>14</v>
      </c>
      <c r="I831" t="s">
        <v>3742</v>
      </c>
      <c r="J831">
        <v>60029258</v>
      </c>
      <c r="K831" t="s">
        <v>3741</v>
      </c>
      <c r="L831" t="s">
        <v>3740</v>
      </c>
      <c r="M831" t="s">
        <v>3739</v>
      </c>
      <c r="N831">
        <v>1</v>
      </c>
      <c r="O831" t="s">
        <v>3738</v>
      </c>
      <c r="P831">
        <v>6505836236</v>
      </c>
      <c r="Q831">
        <v>60029258</v>
      </c>
      <c r="R831" s="7">
        <v>33970</v>
      </c>
      <c r="S831" s="8">
        <f t="shared" si="96"/>
        <v>1993</v>
      </c>
      <c r="T831" s="8">
        <v>1993</v>
      </c>
      <c r="U831" s="8">
        <f t="shared" si="97"/>
        <v>29</v>
      </c>
      <c r="V831" s="7">
        <v>34090</v>
      </c>
      <c r="W831" t="s">
        <v>3737</v>
      </c>
      <c r="X831" s="2">
        <v>0.63</v>
      </c>
      <c r="Y831" s="6">
        <f t="shared" si="102"/>
        <v>1.6817490189797391E-2</v>
      </c>
      <c r="AA831">
        <v>457906</v>
      </c>
      <c r="AB831">
        <v>18159</v>
      </c>
      <c r="AD831" t="s">
        <v>5</v>
      </c>
      <c r="AE831">
        <v>19</v>
      </c>
      <c r="AF831">
        <v>3</v>
      </c>
      <c r="AH831" t="s">
        <v>3736</v>
      </c>
      <c r="AI831" t="s">
        <v>3735</v>
      </c>
      <c r="AK831" t="s">
        <v>3734</v>
      </c>
      <c r="AL831">
        <v>2</v>
      </c>
      <c r="AM831" s="5">
        <f t="shared" si="98"/>
        <v>6.8965517241379309E-2</v>
      </c>
      <c r="AN831" s="4">
        <f t="shared" si="103"/>
        <v>1.0445364216793535E-4</v>
      </c>
      <c r="AO831" s="3"/>
      <c r="AP831">
        <v>0</v>
      </c>
      <c r="AR831" t="s">
        <v>1</v>
      </c>
      <c r="AT831" s="2" t="s">
        <v>0</v>
      </c>
      <c r="AU831" s="1">
        <f t="shared" si="99"/>
        <v>1.1803579225508554</v>
      </c>
      <c r="AV831" s="1">
        <f t="shared" si="100"/>
        <v>0.84609719159826624</v>
      </c>
      <c r="AW831" s="1">
        <f t="shared" si="101"/>
        <v>0.51183646064567723</v>
      </c>
    </row>
    <row r="832" spans="1:49" x14ac:dyDescent="0.2">
      <c r="A832">
        <v>830</v>
      </c>
      <c r="B832" t="s">
        <v>3733</v>
      </c>
      <c r="C832" t="s">
        <v>3732</v>
      </c>
      <c r="F832" t="s">
        <v>3731</v>
      </c>
      <c r="G832" t="s">
        <v>15</v>
      </c>
      <c r="H832" t="s">
        <v>14</v>
      </c>
      <c r="I832" t="s">
        <v>3730</v>
      </c>
      <c r="J832">
        <v>60030553</v>
      </c>
      <c r="K832" t="s">
        <v>305</v>
      </c>
      <c r="L832" t="s">
        <v>304</v>
      </c>
      <c r="M832" t="s">
        <v>303</v>
      </c>
      <c r="N832">
        <v>3</v>
      </c>
      <c r="O832" t="s">
        <v>3729</v>
      </c>
      <c r="P832" t="s">
        <v>3728</v>
      </c>
      <c r="Q832" t="s">
        <v>2892</v>
      </c>
      <c r="R832" s="7">
        <v>33970</v>
      </c>
      <c r="S832" s="8">
        <f t="shared" si="96"/>
        <v>1993</v>
      </c>
      <c r="T832" s="8">
        <v>1993</v>
      </c>
      <c r="U832" s="8">
        <f t="shared" si="97"/>
        <v>29</v>
      </c>
      <c r="V832" s="7">
        <v>34090</v>
      </c>
      <c r="W832" t="s">
        <v>868</v>
      </c>
      <c r="X832" s="2">
        <v>0.375</v>
      </c>
      <c r="Y832" s="6">
        <f t="shared" si="102"/>
        <v>1.0010410827260351E-2</v>
      </c>
      <c r="AA832">
        <v>135194</v>
      </c>
      <c r="AB832">
        <v>24918</v>
      </c>
      <c r="AD832" t="s">
        <v>5</v>
      </c>
      <c r="AE832">
        <v>29</v>
      </c>
      <c r="AF832">
        <v>11</v>
      </c>
      <c r="AH832" t="s">
        <v>3727</v>
      </c>
      <c r="AI832" t="s">
        <v>3726</v>
      </c>
      <c r="AJ832" t="s">
        <v>3725</v>
      </c>
      <c r="AK832" t="s">
        <v>3724</v>
      </c>
      <c r="AL832">
        <v>1</v>
      </c>
      <c r="AM832" s="5">
        <f t="shared" si="98"/>
        <v>3.4482758620689655E-2</v>
      </c>
      <c r="AN832" s="4">
        <f t="shared" si="103"/>
        <v>5.2226821083967674E-5</v>
      </c>
      <c r="AO832" s="3"/>
      <c r="AP832">
        <v>0</v>
      </c>
      <c r="AR832" t="s">
        <v>1</v>
      </c>
      <c r="AT832" s="2">
        <v>1.3140000000000001</v>
      </c>
      <c r="AU832" s="1">
        <f t="shared" si="99"/>
        <v>0.70229556254074355</v>
      </c>
      <c r="AV832" s="1">
        <f t="shared" si="100"/>
        <v>0.50313188241721596</v>
      </c>
      <c r="AW832" s="1">
        <f t="shared" si="101"/>
        <v>0.30396820229368826</v>
      </c>
    </row>
    <row r="833" spans="1:49" x14ac:dyDescent="0.2">
      <c r="A833">
        <v>831</v>
      </c>
      <c r="B833" t="s">
        <v>3723</v>
      </c>
      <c r="C833" t="s">
        <v>3722</v>
      </c>
      <c r="F833" t="s">
        <v>3721</v>
      </c>
      <c r="G833" t="s">
        <v>15</v>
      </c>
      <c r="H833" t="s">
        <v>14</v>
      </c>
      <c r="I833" t="s">
        <v>3720</v>
      </c>
      <c r="J833">
        <v>60015150</v>
      </c>
      <c r="K833" t="s">
        <v>3719</v>
      </c>
      <c r="L833" t="s">
        <v>3718</v>
      </c>
      <c r="M833" t="s">
        <v>493</v>
      </c>
      <c r="N833">
        <v>2</v>
      </c>
      <c r="O833" t="s">
        <v>3717</v>
      </c>
      <c r="P833" t="s">
        <v>3716</v>
      </c>
      <c r="Q833" t="s">
        <v>3715</v>
      </c>
      <c r="R833" s="7">
        <v>33970</v>
      </c>
      <c r="S833" s="8">
        <f t="shared" ref="S833:S896" si="104">YEAR(R833)</f>
        <v>1993</v>
      </c>
      <c r="T833" s="8">
        <v>1993</v>
      </c>
      <c r="U833" s="8">
        <f t="shared" ref="U833:U896" si="105">2022-T833</f>
        <v>29</v>
      </c>
      <c r="V833" s="7" t="s">
        <v>3286</v>
      </c>
      <c r="W833" s="11" t="s">
        <v>2407</v>
      </c>
      <c r="X833" s="2">
        <v>2.383</v>
      </c>
      <c r="Y833" s="6">
        <f t="shared" si="102"/>
        <v>6.3612824003630442E-2</v>
      </c>
      <c r="AA833" t="s">
        <v>2406</v>
      </c>
      <c r="AB833">
        <v>96433</v>
      </c>
      <c r="AD833" t="s">
        <v>5</v>
      </c>
      <c r="AE833">
        <v>140</v>
      </c>
      <c r="AF833">
        <v>2</v>
      </c>
      <c r="AH833" t="s">
        <v>3714</v>
      </c>
      <c r="AI833" t="s">
        <v>3713</v>
      </c>
      <c r="AK833" t="s">
        <v>3712</v>
      </c>
      <c r="AL833">
        <v>3</v>
      </c>
      <c r="AM833" s="5">
        <f t="shared" ref="AM833:AM896" si="106">AL833/U833</f>
        <v>0.10344827586206896</v>
      </c>
      <c r="AN833" s="4">
        <f t="shared" si="103"/>
        <v>1.5668046325190301E-4</v>
      </c>
      <c r="AO833" s="3"/>
      <c r="AP833">
        <v>0</v>
      </c>
      <c r="AR833" t="s">
        <v>1</v>
      </c>
      <c r="AT833" s="2" t="s">
        <v>0</v>
      </c>
      <c r="AU833" s="1">
        <f t="shared" ref="AU833:AU896" si="107">(Y833*0.7+AN833*0.3)*100</f>
        <v>4.4575980941516882</v>
      </c>
      <c r="AV833" s="1">
        <f t="shared" ref="AV833:AV896" si="108">(Y833*0.5+AN833*0.5)*100</f>
        <v>3.1884752233441169</v>
      </c>
      <c r="AW833" s="1">
        <f t="shared" ref="AW833:AW896" si="109">(Y833*0.3+AN833*0.7)*100</f>
        <v>1.9193523525365463</v>
      </c>
    </row>
    <row r="834" spans="1:49" x14ac:dyDescent="0.2">
      <c r="A834">
        <v>832</v>
      </c>
      <c r="B834" t="s">
        <v>3711</v>
      </c>
      <c r="C834" t="s">
        <v>3710</v>
      </c>
      <c r="F834" t="s">
        <v>3709</v>
      </c>
      <c r="G834" t="s">
        <v>15</v>
      </c>
      <c r="H834" t="s">
        <v>14</v>
      </c>
      <c r="I834" t="s">
        <v>3708</v>
      </c>
      <c r="J834">
        <v>60011001</v>
      </c>
      <c r="K834" t="s">
        <v>3707</v>
      </c>
      <c r="L834" t="s">
        <v>3706</v>
      </c>
      <c r="M834" t="s">
        <v>150</v>
      </c>
      <c r="N834">
        <v>3</v>
      </c>
      <c r="O834" t="s">
        <v>3705</v>
      </c>
      <c r="P834" t="s">
        <v>3704</v>
      </c>
      <c r="Q834" t="s">
        <v>3703</v>
      </c>
      <c r="R834" s="7">
        <v>33970</v>
      </c>
      <c r="S834" s="8">
        <f t="shared" si="104"/>
        <v>1993</v>
      </c>
      <c r="T834" s="8">
        <v>1993</v>
      </c>
      <c r="U834" s="8">
        <f t="shared" si="105"/>
        <v>29</v>
      </c>
      <c r="V834" s="7" t="s">
        <v>3286</v>
      </c>
      <c r="W834" s="11" t="s">
        <v>3702</v>
      </c>
      <c r="X834" s="2">
        <v>2.383</v>
      </c>
      <c r="Y834" s="6">
        <f t="shared" ref="Y834:Y897" si="110">(X834-$Z$4)/($Z$3-$Z$4)</f>
        <v>6.3612824003630442E-2</v>
      </c>
      <c r="AA834">
        <v>2673932</v>
      </c>
      <c r="AB834">
        <v>12118</v>
      </c>
      <c r="AD834" t="s">
        <v>5</v>
      </c>
      <c r="AE834">
        <v>140</v>
      </c>
      <c r="AF834">
        <v>2</v>
      </c>
      <c r="AH834" t="s">
        <v>3701</v>
      </c>
      <c r="AI834" t="s">
        <v>3700</v>
      </c>
      <c r="AK834" t="s">
        <v>3699</v>
      </c>
      <c r="AL834">
        <v>12</v>
      </c>
      <c r="AM834" s="5">
        <f t="shared" si="106"/>
        <v>0.41379310344827586</v>
      </c>
      <c r="AN834" s="4">
        <f t="shared" ref="AN834:AN897" si="111">(AM834-$AO$4)/($AO$3-$AO$4)</f>
        <v>6.2672185300761203E-4</v>
      </c>
      <c r="AO834" s="3"/>
      <c r="AP834">
        <v>0</v>
      </c>
      <c r="AR834" t="s">
        <v>1</v>
      </c>
      <c r="AT834" s="2" t="s">
        <v>0</v>
      </c>
      <c r="AU834" s="1">
        <f t="shared" si="107"/>
        <v>4.4716993358443595</v>
      </c>
      <c r="AV834" s="1">
        <f t="shared" si="108"/>
        <v>3.2119772928319024</v>
      </c>
      <c r="AW834" s="1">
        <f t="shared" si="109"/>
        <v>1.9522552498194461</v>
      </c>
    </row>
    <row r="835" spans="1:49" x14ac:dyDescent="0.2">
      <c r="A835">
        <v>833</v>
      </c>
      <c r="B835" t="s">
        <v>3698</v>
      </c>
      <c r="C835" t="s">
        <v>3697</v>
      </c>
      <c r="F835" t="s">
        <v>3696</v>
      </c>
      <c r="G835" t="s">
        <v>15</v>
      </c>
      <c r="H835" t="s">
        <v>14</v>
      </c>
      <c r="I835" t="s">
        <v>3695</v>
      </c>
      <c r="J835">
        <v>60058524</v>
      </c>
      <c r="K835" t="s">
        <v>3694</v>
      </c>
      <c r="L835" t="s">
        <v>1738</v>
      </c>
      <c r="M835" t="s">
        <v>508</v>
      </c>
      <c r="N835">
        <v>1</v>
      </c>
      <c r="O835" t="s">
        <v>3693</v>
      </c>
      <c r="P835">
        <v>7006266775</v>
      </c>
      <c r="Q835">
        <v>60058524</v>
      </c>
      <c r="R835" s="7">
        <v>33970</v>
      </c>
      <c r="S835" s="8">
        <f t="shared" si="104"/>
        <v>1993</v>
      </c>
      <c r="T835" s="8">
        <v>1993</v>
      </c>
      <c r="U835" s="8">
        <f t="shared" si="105"/>
        <v>29</v>
      </c>
      <c r="V835" s="7">
        <v>34060</v>
      </c>
      <c r="W835" t="s">
        <v>2367</v>
      </c>
      <c r="X835" s="2">
        <v>0.82</v>
      </c>
      <c r="Y835" s="6">
        <f t="shared" si="110"/>
        <v>2.1889431675609299E-2</v>
      </c>
      <c r="AA835">
        <v>189456</v>
      </c>
      <c r="AB835">
        <v>15361</v>
      </c>
      <c r="AC835">
        <v>15579662</v>
      </c>
      <c r="AD835" t="s">
        <v>5</v>
      </c>
      <c r="AE835">
        <v>42</v>
      </c>
      <c r="AF835">
        <v>2</v>
      </c>
      <c r="AH835" t="s">
        <v>3692</v>
      </c>
      <c r="AL835">
        <v>3</v>
      </c>
      <c r="AM835" s="5">
        <f t="shared" si="106"/>
        <v>0.10344827586206896</v>
      </c>
      <c r="AN835" s="4">
        <f t="shared" si="111"/>
        <v>1.5668046325190301E-4</v>
      </c>
      <c r="AO835" s="3"/>
      <c r="AP835">
        <v>0</v>
      </c>
      <c r="AR835" t="s">
        <v>1</v>
      </c>
      <c r="AT835" s="2" t="s">
        <v>0</v>
      </c>
      <c r="AU835" s="1">
        <f t="shared" si="107"/>
        <v>1.5369606311902078</v>
      </c>
      <c r="AV835" s="1">
        <f t="shared" si="108"/>
        <v>1.1023056069430599</v>
      </c>
      <c r="AW835" s="1">
        <f t="shared" si="109"/>
        <v>0.66765058269591215</v>
      </c>
    </row>
    <row r="836" spans="1:49" x14ac:dyDescent="0.2">
      <c r="A836">
        <v>834</v>
      </c>
      <c r="B836" t="s">
        <v>3691</v>
      </c>
      <c r="C836" t="s">
        <v>3690</v>
      </c>
      <c r="E836">
        <v>8220458</v>
      </c>
      <c r="F836" t="s">
        <v>3689</v>
      </c>
      <c r="G836" t="s">
        <v>15</v>
      </c>
      <c r="H836" t="s">
        <v>14</v>
      </c>
      <c r="I836" t="s">
        <v>3688</v>
      </c>
      <c r="J836">
        <v>60010588</v>
      </c>
      <c r="K836" t="s">
        <v>3687</v>
      </c>
      <c r="L836" t="s">
        <v>3686</v>
      </c>
      <c r="M836" t="s">
        <v>10</v>
      </c>
      <c r="N836">
        <v>4</v>
      </c>
      <c r="O836" t="s">
        <v>3685</v>
      </c>
      <c r="P836" t="s">
        <v>3684</v>
      </c>
      <c r="Q836" t="s">
        <v>3683</v>
      </c>
      <c r="R836" s="7">
        <v>33970</v>
      </c>
      <c r="S836" s="8">
        <f t="shared" si="104"/>
        <v>1993</v>
      </c>
      <c r="T836" s="8">
        <v>1993</v>
      </c>
      <c r="U836" s="8">
        <f t="shared" si="105"/>
        <v>29</v>
      </c>
      <c r="V836" s="7">
        <v>1993</v>
      </c>
      <c r="W836" t="s">
        <v>3682</v>
      </c>
      <c r="X836" s="2">
        <v>3.0579999999999998</v>
      </c>
      <c r="Y836" s="6">
        <f t="shared" si="110"/>
        <v>8.1631563492699066E-2</v>
      </c>
      <c r="AA836">
        <v>9607412</v>
      </c>
      <c r="AB836">
        <v>16612</v>
      </c>
      <c r="AD836" t="s">
        <v>5</v>
      </c>
      <c r="AE836">
        <v>3</v>
      </c>
      <c r="AF836">
        <v>4</v>
      </c>
      <c r="AH836" t="s">
        <v>3681</v>
      </c>
      <c r="AI836" t="s">
        <v>3680</v>
      </c>
      <c r="AK836" t="s">
        <v>3679</v>
      </c>
      <c r="AL836">
        <v>14</v>
      </c>
      <c r="AM836" s="5">
        <f t="shared" si="106"/>
        <v>0.48275862068965519</v>
      </c>
      <c r="AN836" s="4">
        <f t="shared" si="111"/>
        <v>7.3117549517554741E-4</v>
      </c>
      <c r="AO836" s="3"/>
      <c r="AP836">
        <v>0</v>
      </c>
      <c r="AR836" t="s">
        <v>1</v>
      </c>
      <c r="AT836" s="2">
        <v>6.4169999999999998</v>
      </c>
      <c r="AU836" s="1">
        <f t="shared" si="107"/>
        <v>5.7361447093442006</v>
      </c>
      <c r="AV836" s="1">
        <f t="shared" si="108"/>
        <v>4.1181369493937314</v>
      </c>
      <c r="AW836" s="1">
        <f t="shared" si="109"/>
        <v>2.50012918944326</v>
      </c>
    </row>
    <row r="837" spans="1:49" x14ac:dyDescent="0.2">
      <c r="A837">
        <v>835</v>
      </c>
      <c r="B837" t="s">
        <v>3678</v>
      </c>
      <c r="C837" t="s">
        <v>3677</v>
      </c>
      <c r="F837" t="s">
        <v>3676</v>
      </c>
      <c r="G837" t="s">
        <v>15</v>
      </c>
      <c r="H837" t="s">
        <v>14</v>
      </c>
      <c r="I837" t="s">
        <v>3675</v>
      </c>
      <c r="J837">
        <v>60076904</v>
      </c>
      <c r="K837" t="s">
        <v>3674</v>
      </c>
      <c r="L837" t="s">
        <v>3673</v>
      </c>
      <c r="M837" t="s">
        <v>10</v>
      </c>
      <c r="N837">
        <v>1</v>
      </c>
      <c r="O837" t="s">
        <v>3672</v>
      </c>
      <c r="P837">
        <v>55951888900</v>
      </c>
      <c r="Q837">
        <v>60076904</v>
      </c>
      <c r="R837" s="7">
        <v>33970</v>
      </c>
      <c r="S837" s="8">
        <f t="shared" si="104"/>
        <v>1993</v>
      </c>
      <c r="T837" s="8">
        <v>1993</v>
      </c>
      <c r="U837" s="8">
        <f t="shared" si="105"/>
        <v>29</v>
      </c>
      <c r="V837" s="7">
        <v>34060</v>
      </c>
      <c r="W837" t="s">
        <v>868</v>
      </c>
      <c r="X837" s="2">
        <v>0.375</v>
      </c>
      <c r="Y837" s="6">
        <f t="shared" si="110"/>
        <v>1.0010410827260351E-2</v>
      </c>
      <c r="AA837">
        <v>135194</v>
      </c>
      <c r="AB837">
        <v>24918</v>
      </c>
      <c r="AD837" t="s">
        <v>5</v>
      </c>
      <c r="AE837">
        <v>29</v>
      </c>
      <c r="AF837">
        <v>7</v>
      </c>
      <c r="AH837" t="s">
        <v>3671</v>
      </c>
      <c r="AI837" t="s">
        <v>3670</v>
      </c>
      <c r="AJ837" t="s">
        <v>3669</v>
      </c>
      <c r="AK837" t="s">
        <v>3668</v>
      </c>
      <c r="AL837">
        <v>5</v>
      </c>
      <c r="AM837" s="5">
        <f t="shared" si="106"/>
        <v>0.17241379310344829</v>
      </c>
      <c r="AN837" s="4">
        <f t="shared" si="111"/>
        <v>2.6113410541983838E-4</v>
      </c>
      <c r="AO837" s="3"/>
      <c r="AP837">
        <v>0</v>
      </c>
      <c r="AR837" t="s">
        <v>1</v>
      </c>
      <c r="AT837" s="2">
        <v>1.3140000000000001</v>
      </c>
      <c r="AU837" s="1">
        <f t="shared" si="107"/>
        <v>0.70856278107081971</v>
      </c>
      <c r="AV837" s="1">
        <f t="shared" si="108"/>
        <v>0.5135772466340095</v>
      </c>
      <c r="AW837" s="1">
        <f t="shared" si="109"/>
        <v>0.31859171219719917</v>
      </c>
    </row>
    <row r="838" spans="1:49" x14ac:dyDescent="0.2">
      <c r="A838">
        <v>836</v>
      </c>
      <c r="B838" t="s">
        <v>3667</v>
      </c>
      <c r="C838" t="s">
        <v>3666</v>
      </c>
      <c r="F838" t="s">
        <v>3665</v>
      </c>
      <c r="G838" t="s">
        <v>15</v>
      </c>
      <c r="H838" t="s">
        <v>14</v>
      </c>
      <c r="I838" t="s">
        <v>3664</v>
      </c>
      <c r="J838">
        <v>60072442</v>
      </c>
      <c r="K838" t="s">
        <v>3663</v>
      </c>
      <c r="L838" t="s">
        <v>3662</v>
      </c>
      <c r="M838" t="s">
        <v>1118</v>
      </c>
      <c r="N838">
        <v>2</v>
      </c>
      <c r="O838" t="s">
        <v>3661</v>
      </c>
      <c r="P838" t="s">
        <v>3660</v>
      </c>
      <c r="Q838" t="s">
        <v>3659</v>
      </c>
      <c r="R838" s="7">
        <v>33970</v>
      </c>
      <c r="S838" s="8">
        <f t="shared" si="104"/>
        <v>1993</v>
      </c>
      <c r="T838" s="8">
        <v>1993</v>
      </c>
      <c r="U838" s="8">
        <f t="shared" si="105"/>
        <v>29</v>
      </c>
      <c r="V838" s="7" t="s">
        <v>3286</v>
      </c>
      <c r="W838" s="11" t="s">
        <v>2407</v>
      </c>
      <c r="X838" s="2">
        <v>2.383</v>
      </c>
      <c r="Y838" s="6">
        <f t="shared" si="110"/>
        <v>6.3612824003630442E-2</v>
      </c>
      <c r="AA838" t="s">
        <v>2406</v>
      </c>
      <c r="AB838">
        <v>96433</v>
      </c>
      <c r="AD838" t="s">
        <v>5</v>
      </c>
      <c r="AE838">
        <v>140</v>
      </c>
      <c r="AF838">
        <v>2</v>
      </c>
      <c r="AH838" t="s">
        <v>3658</v>
      </c>
      <c r="AI838" t="s">
        <v>3657</v>
      </c>
      <c r="AK838" t="s">
        <v>3656</v>
      </c>
      <c r="AL838">
        <v>16</v>
      </c>
      <c r="AM838" s="5">
        <f t="shared" si="106"/>
        <v>0.55172413793103448</v>
      </c>
      <c r="AN838" s="4">
        <f t="shared" si="111"/>
        <v>8.3562913734348278E-4</v>
      </c>
      <c r="AO838" s="3"/>
      <c r="AP838">
        <v>0</v>
      </c>
      <c r="AR838" t="s">
        <v>1</v>
      </c>
      <c r="AT838" s="2" t="s">
        <v>0</v>
      </c>
      <c r="AU838" s="1">
        <f t="shared" si="107"/>
        <v>4.4779665543744347</v>
      </c>
      <c r="AV838" s="1">
        <f t="shared" si="108"/>
        <v>3.2224226570486967</v>
      </c>
      <c r="AW838" s="1">
        <f t="shared" si="109"/>
        <v>1.9668787597229571</v>
      </c>
    </row>
    <row r="839" spans="1:49" x14ac:dyDescent="0.2">
      <c r="A839">
        <v>837</v>
      </c>
      <c r="B839" t="s">
        <v>3655</v>
      </c>
      <c r="C839" t="s">
        <v>3654</v>
      </c>
      <c r="F839" t="s">
        <v>3653</v>
      </c>
      <c r="G839" t="s">
        <v>15</v>
      </c>
      <c r="H839" t="s">
        <v>14</v>
      </c>
      <c r="I839" t="s">
        <v>3652</v>
      </c>
      <c r="J839">
        <v>60018714</v>
      </c>
      <c r="K839" t="s">
        <v>3651</v>
      </c>
      <c r="L839" t="s">
        <v>1738</v>
      </c>
      <c r="M839" t="s">
        <v>508</v>
      </c>
      <c r="N839">
        <v>2</v>
      </c>
      <c r="O839" t="s">
        <v>3650</v>
      </c>
      <c r="P839" t="s">
        <v>3649</v>
      </c>
      <c r="Q839" t="s">
        <v>3648</v>
      </c>
      <c r="R839" s="7">
        <v>33970</v>
      </c>
      <c r="S839" s="8">
        <f t="shared" si="104"/>
        <v>1993</v>
      </c>
      <c r="T839" s="8">
        <v>1993</v>
      </c>
      <c r="U839" s="8">
        <f t="shared" si="105"/>
        <v>29</v>
      </c>
      <c r="V839" s="7">
        <v>34060</v>
      </c>
      <c r="W839" t="s">
        <v>587</v>
      </c>
      <c r="X839" s="2">
        <v>1.137</v>
      </c>
      <c r="Y839" s="6">
        <f t="shared" si="110"/>
        <v>3.0351565628253384E-2</v>
      </c>
      <c r="AA839">
        <v>189251</v>
      </c>
      <c r="AB839">
        <v>17336</v>
      </c>
      <c r="AD839" t="s">
        <v>5</v>
      </c>
      <c r="AE839">
        <v>29</v>
      </c>
      <c r="AF839">
        <v>2</v>
      </c>
      <c r="AH839" t="s">
        <v>3647</v>
      </c>
      <c r="AI839" t="s">
        <v>3646</v>
      </c>
      <c r="AK839" t="s">
        <v>3645</v>
      </c>
      <c r="AL839">
        <v>3</v>
      </c>
      <c r="AM839" s="5">
        <f t="shared" si="106"/>
        <v>0.10344827586206896</v>
      </c>
      <c r="AN839" s="4">
        <f t="shared" si="111"/>
        <v>1.5668046325190301E-4</v>
      </c>
      <c r="AO839" s="3"/>
      <c r="AP839">
        <v>0</v>
      </c>
      <c r="AR839" t="s">
        <v>1</v>
      </c>
      <c r="AT839" s="2" t="s">
        <v>0</v>
      </c>
      <c r="AU839" s="1">
        <f t="shared" si="107"/>
        <v>2.1293100078752936</v>
      </c>
      <c r="AV839" s="1">
        <f t="shared" si="108"/>
        <v>1.5254123045752643</v>
      </c>
      <c r="AW839" s="1">
        <f t="shared" si="109"/>
        <v>0.92151460127523488</v>
      </c>
    </row>
    <row r="840" spans="1:49" x14ac:dyDescent="0.2">
      <c r="A840">
        <v>838</v>
      </c>
      <c r="B840" t="s">
        <v>3644</v>
      </c>
      <c r="C840" t="s">
        <v>3643</v>
      </c>
      <c r="F840" t="s">
        <v>3642</v>
      </c>
      <c r="G840" t="s">
        <v>15</v>
      </c>
      <c r="H840" t="s">
        <v>14</v>
      </c>
      <c r="I840" t="s">
        <v>3641</v>
      </c>
      <c r="J840">
        <v>60021331</v>
      </c>
      <c r="K840" t="s">
        <v>3640</v>
      </c>
      <c r="L840" t="s">
        <v>3639</v>
      </c>
      <c r="M840" t="s">
        <v>521</v>
      </c>
      <c r="N840">
        <v>1</v>
      </c>
      <c r="O840" t="s">
        <v>3638</v>
      </c>
      <c r="P840">
        <v>6602076374</v>
      </c>
      <c r="Q840">
        <v>60021331</v>
      </c>
      <c r="R840" s="7">
        <v>33970</v>
      </c>
      <c r="S840" s="8">
        <f t="shared" si="104"/>
        <v>1993</v>
      </c>
      <c r="T840" s="8">
        <v>1993</v>
      </c>
      <c r="U840" s="8">
        <f t="shared" si="105"/>
        <v>29</v>
      </c>
      <c r="V840" s="7">
        <v>33970</v>
      </c>
      <c r="W840" t="s">
        <v>1446</v>
      </c>
      <c r="X840" s="2">
        <v>0.22500000000000001</v>
      </c>
      <c r="Y840" s="6">
        <f t="shared" si="110"/>
        <v>6.0062464963562111E-3</v>
      </c>
      <c r="AA840">
        <v>2726343</v>
      </c>
      <c r="AB840">
        <v>16128</v>
      </c>
      <c r="AC840" t="s">
        <v>1445</v>
      </c>
      <c r="AD840" t="s">
        <v>5</v>
      </c>
      <c r="AE840">
        <v>13</v>
      </c>
      <c r="AF840">
        <v>2</v>
      </c>
      <c r="AH840" t="s">
        <v>3637</v>
      </c>
      <c r="AI840" t="s">
        <v>3636</v>
      </c>
      <c r="AK840" t="s">
        <v>3635</v>
      </c>
      <c r="AL840">
        <v>0</v>
      </c>
      <c r="AM840" s="5">
        <f t="shared" si="106"/>
        <v>0</v>
      </c>
      <c r="AN840" s="4">
        <f t="shared" si="111"/>
        <v>0</v>
      </c>
      <c r="AO840" s="3"/>
      <c r="AP840">
        <v>0</v>
      </c>
      <c r="AR840" t="s">
        <v>1</v>
      </c>
      <c r="AT840" s="2">
        <v>1.099</v>
      </c>
      <c r="AU840" s="1">
        <f t="shared" si="107"/>
        <v>0.42043725474493476</v>
      </c>
      <c r="AV840" s="1">
        <f t="shared" si="108"/>
        <v>0.30031232481781056</v>
      </c>
      <c r="AW840" s="1">
        <f t="shared" si="109"/>
        <v>0.18018739489068633</v>
      </c>
    </row>
    <row r="841" spans="1:49" x14ac:dyDescent="0.2">
      <c r="A841">
        <v>839</v>
      </c>
      <c r="B841" t="s">
        <v>3634</v>
      </c>
      <c r="C841" t="s">
        <v>3633</v>
      </c>
      <c r="F841" t="s">
        <v>3632</v>
      </c>
      <c r="G841" t="s">
        <v>15</v>
      </c>
      <c r="H841" t="s">
        <v>14</v>
      </c>
      <c r="I841" t="s">
        <v>3631</v>
      </c>
      <c r="J841">
        <v>60011357</v>
      </c>
      <c r="K841" t="s">
        <v>2437</v>
      </c>
      <c r="L841" t="s">
        <v>2436</v>
      </c>
      <c r="M841" t="s">
        <v>1909</v>
      </c>
      <c r="N841">
        <v>4</v>
      </c>
      <c r="O841" t="s">
        <v>3630</v>
      </c>
      <c r="P841" t="s">
        <v>3629</v>
      </c>
      <c r="Q841" t="s">
        <v>3628</v>
      </c>
      <c r="R841" s="7">
        <v>33970</v>
      </c>
      <c r="S841" s="8">
        <f t="shared" si="104"/>
        <v>1993</v>
      </c>
      <c r="T841" s="8">
        <v>1993</v>
      </c>
      <c r="U841" s="8">
        <f t="shared" si="105"/>
        <v>29</v>
      </c>
      <c r="V841" s="7">
        <v>34060</v>
      </c>
      <c r="W841" t="s">
        <v>548</v>
      </c>
      <c r="X841" s="2">
        <v>1.3720000000000001</v>
      </c>
      <c r="Y841" s="6">
        <f t="shared" si="110"/>
        <v>3.662475641333654E-2</v>
      </c>
      <c r="AA841">
        <v>189480</v>
      </c>
      <c r="AB841">
        <v>17366</v>
      </c>
      <c r="AC841">
        <v>15579670</v>
      </c>
      <c r="AD841" t="s">
        <v>5</v>
      </c>
      <c r="AE841">
        <v>41</v>
      </c>
      <c r="AF841">
        <v>4</v>
      </c>
      <c r="AH841" t="s">
        <v>3627</v>
      </c>
      <c r="AI841" t="s">
        <v>3626</v>
      </c>
      <c r="AK841" t="s">
        <v>3625</v>
      </c>
      <c r="AL841">
        <v>51</v>
      </c>
      <c r="AM841" s="5">
        <f t="shared" si="106"/>
        <v>1.7586206896551724</v>
      </c>
      <c r="AN841" s="4">
        <f t="shared" si="111"/>
        <v>2.6635678752823513E-3</v>
      </c>
      <c r="AO841" s="3"/>
      <c r="AP841">
        <v>0</v>
      </c>
      <c r="AR841" t="s">
        <v>3624</v>
      </c>
      <c r="AT841" s="2" t="s">
        <v>0</v>
      </c>
      <c r="AU841" s="1">
        <f t="shared" si="107"/>
        <v>2.6436399851920278</v>
      </c>
      <c r="AV841" s="1">
        <f t="shared" si="108"/>
        <v>1.9644162144309445</v>
      </c>
      <c r="AW841" s="1">
        <f t="shared" si="109"/>
        <v>1.2851924436698607</v>
      </c>
    </row>
    <row r="842" spans="1:49" x14ac:dyDescent="0.2">
      <c r="A842">
        <v>840</v>
      </c>
      <c r="B842" t="s">
        <v>3623</v>
      </c>
      <c r="C842" t="s">
        <v>3622</v>
      </c>
      <c r="D842" t="s">
        <v>3621</v>
      </c>
      <c r="F842" t="s">
        <v>3620</v>
      </c>
      <c r="G842" t="s">
        <v>15</v>
      </c>
      <c r="H842" t="s">
        <v>14</v>
      </c>
      <c r="I842" t="s">
        <v>3619</v>
      </c>
      <c r="J842">
        <v>60017161</v>
      </c>
      <c r="K842" t="s">
        <v>2398</v>
      </c>
      <c r="L842" t="s">
        <v>1461</v>
      </c>
      <c r="M842" t="s">
        <v>1460</v>
      </c>
      <c r="N842">
        <v>3</v>
      </c>
      <c r="O842" t="s">
        <v>3618</v>
      </c>
      <c r="P842" t="s">
        <v>3617</v>
      </c>
      <c r="Q842" t="s">
        <v>3434</v>
      </c>
      <c r="R842" s="7">
        <v>33970</v>
      </c>
      <c r="S842" s="8">
        <f t="shared" si="104"/>
        <v>1993</v>
      </c>
      <c r="T842" s="8">
        <v>1993</v>
      </c>
      <c r="U842" s="8">
        <f t="shared" si="105"/>
        <v>29</v>
      </c>
      <c r="V842" s="7">
        <v>34060</v>
      </c>
      <c r="W842" t="s">
        <v>747</v>
      </c>
      <c r="X842" s="2">
        <v>0.90700000000000003</v>
      </c>
      <c r="Y842" s="6">
        <f t="shared" si="110"/>
        <v>2.4211846987533703E-2</v>
      </c>
      <c r="AA842">
        <v>1651684</v>
      </c>
      <c r="AB842">
        <v>25548</v>
      </c>
      <c r="AD842" t="s">
        <v>5</v>
      </c>
      <c r="AE842">
        <v>31</v>
      </c>
      <c r="AF842">
        <v>3</v>
      </c>
      <c r="AH842" t="s">
        <v>3616</v>
      </c>
      <c r="AI842" t="s">
        <v>3615</v>
      </c>
      <c r="AJ842" t="s">
        <v>3614</v>
      </c>
      <c r="AK842" t="s">
        <v>3613</v>
      </c>
      <c r="AL842">
        <v>5</v>
      </c>
      <c r="AM842" s="5">
        <f t="shared" si="106"/>
        <v>0.17241379310344829</v>
      </c>
      <c r="AN842" s="4">
        <f t="shared" si="111"/>
        <v>2.6113410541983838E-4</v>
      </c>
      <c r="AO842" s="3"/>
      <c r="AP842">
        <v>0</v>
      </c>
      <c r="AR842" t="s">
        <v>1</v>
      </c>
      <c r="AT842" s="2">
        <v>4.6619999999999999</v>
      </c>
      <c r="AU842" s="1">
        <f t="shared" si="107"/>
        <v>1.7026633122899542</v>
      </c>
      <c r="AV842" s="1">
        <f t="shared" si="108"/>
        <v>1.223649054647677</v>
      </c>
      <c r="AW842" s="1">
        <f t="shared" si="109"/>
        <v>0.7446347970053997</v>
      </c>
    </row>
    <row r="843" spans="1:49" x14ac:dyDescent="0.2">
      <c r="A843">
        <v>841</v>
      </c>
      <c r="B843" t="s">
        <v>3612</v>
      </c>
      <c r="C843" t="s">
        <v>3611</v>
      </c>
      <c r="F843" t="s">
        <v>3610</v>
      </c>
      <c r="G843" t="s">
        <v>15</v>
      </c>
      <c r="H843" t="s">
        <v>14</v>
      </c>
      <c r="I843" t="s">
        <v>3609</v>
      </c>
      <c r="N843">
        <v>2</v>
      </c>
      <c r="O843" t="s">
        <v>3608</v>
      </c>
      <c r="P843" t="s">
        <v>3607</v>
      </c>
      <c r="Q843" t="s">
        <v>1557</v>
      </c>
      <c r="R843" s="7">
        <v>33970</v>
      </c>
      <c r="S843" s="8">
        <f t="shared" si="104"/>
        <v>1993</v>
      </c>
      <c r="T843" s="8">
        <v>1993</v>
      </c>
      <c r="U843" s="8">
        <f t="shared" si="105"/>
        <v>29</v>
      </c>
      <c r="V843" s="7">
        <v>34060</v>
      </c>
      <c r="W843" t="s">
        <v>299</v>
      </c>
      <c r="X843" s="2">
        <v>0.88100000000000001</v>
      </c>
      <c r="Y843" s="6">
        <f t="shared" si="110"/>
        <v>2.3517791836843653E-2</v>
      </c>
      <c r="AA843">
        <v>10459243</v>
      </c>
      <c r="AB843">
        <v>17248</v>
      </c>
      <c r="AD843" t="s">
        <v>5</v>
      </c>
      <c r="AE843">
        <v>35</v>
      </c>
      <c r="AF843">
        <v>2</v>
      </c>
      <c r="AH843" t="s">
        <v>3606</v>
      </c>
      <c r="AL843">
        <v>4</v>
      </c>
      <c r="AM843" s="5">
        <f t="shared" si="106"/>
        <v>0.13793103448275862</v>
      </c>
      <c r="AN843" s="4">
        <f t="shared" si="111"/>
        <v>2.089072843358707E-4</v>
      </c>
      <c r="AO843" s="3"/>
      <c r="AP843">
        <v>0</v>
      </c>
      <c r="AR843" t="s">
        <v>1</v>
      </c>
      <c r="AT843" s="2" t="s">
        <v>0</v>
      </c>
      <c r="AU843" s="1">
        <f t="shared" si="107"/>
        <v>1.6525126471091316</v>
      </c>
      <c r="AV843" s="1">
        <f t="shared" si="108"/>
        <v>1.1863349560589762</v>
      </c>
      <c r="AW843" s="1">
        <f t="shared" si="109"/>
        <v>0.72015726500882049</v>
      </c>
    </row>
    <row r="844" spans="1:49" x14ac:dyDescent="0.2">
      <c r="A844">
        <v>842</v>
      </c>
      <c r="B844" t="s">
        <v>3605</v>
      </c>
      <c r="C844" t="s">
        <v>3604</v>
      </c>
      <c r="F844" t="s">
        <v>3603</v>
      </c>
      <c r="G844" t="s">
        <v>15</v>
      </c>
      <c r="H844" t="s">
        <v>14</v>
      </c>
      <c r="I844" t="s">
        <v>3602</v>
      </c>
      <c r="J844">
        <v>60025778</v>
      </c>
      <c r="K844" t="s">
        <v>3404</v>
      </c>
      <c r="L844" t="s">
        <v>1317</v>
      </c>
      <c r="M844" t="s">
        <v>10</v>
      </c>
      <c r="N844">
        <v>1</v>
      </c>
      <c r="O844" t="s">
        <v>3601</v>
      </c>
      <c r="P844">
        <v>7102576479</v>
      </c>
      <c r="Q844">
        <v>60025778</v>
      </c>
      <c r="R844" s="7">
        <v>33970</v>
      </c>
      <c r="S844" s="8">
        <f t="shared" si="104"/>
        <v>1993</v>
      </c>
      <c r="T844" s="8">
        <v>1993</v>
      </c>
      <c r="U844" s="8">
        <f t="shared" si="105"/>
        <v>29</v>
      </c>
      <c r="V844" s="7">
        <v>34060</v>
      </c>
      <c r="W844" t="s">
        <v>299</v>
      </c>
      <c r="X844" s="2">
        <v>0.88100000000000001</v>
      </c>
      <c r="Y844" s="6">
        <f t="shared" si="110"/>
        <v>2.3517791836843653E-2</v>
      </c>
      <c r="AA844">
        <v>10459243</v>
      </c>
      <c r="AB844">
        <v>17248</v>
      </c>
      <c r="AD844" t="s">
        <v>5</v>
      </c>
      <c r="AE844">
        <v>35</v>
      </c>
      <c r="AF844">
        <v>2</v>
      </c>
      <c r="AH844" t="s">
        <v>3600</v>
      </c>
      <c r="AL844">
        <v>25</v>
      </c>
      <c r="AM844" s="5">
        <f t="shared" si="106"/>
        <v>0.86206896551724133</v>
      </c>
      <c r="AN844" s="4">
        <f t="shared" si="111"/>
        <v>1.3056705270991916E-3</v>
      </c>
      <c r="AO844" s="3"/>
      <c r="AP844">
        <v>0</v>
      </c>
      <c r="AR844" t="s">
        <v>1</v>
      </c>
      <c r="AT844" s="2" t="s">
        <v>0</v>
      </c>
      <c r="AU844" s="1">
        <f t="shared" si="107"/>
        <v>1.6854155443920313</v>
      </c>
      <c r="AV844" s="1">
        <f t="shared" si="108"/>
        <v>1.2411731181971424</v>
      </c>
      <c r="AW844" s="1">
        <f t="shared" si="109"/>
        <v>0.79693069200225297</v>
      </c>
    </row>
    <row r="845" spans="1:49" x14ac:dyDescent="0.2">
      <c r="A845">
        <v>843</v>
      </c>
      <c r="B845" t="s">
        <v>3599</v>
      </c>
      <c r="C845" t="s">
        <v>3598</v>
      </c>
      <c r="F845" t="s">
        <v>3597</v>
      </c>
      <c r="G845" t="s">
        <v>15</v>
      </c>
      <c r="H845" t="s">
        <v>14</v>
      </c>
      <c r="I845" t="s">
        <v>3394</v>
      </c>
      <c r="J845">
        <v>60024594</v>
      </c>
      <c r="K845" t="s">
        <v>3393</v>
      </c>
      <c r="L845" t="s">
        <v>3392</v>
      </c>
      <c r="M845" t="s">
        <v>3391</v>
      </c>
      <c r="N845">
        <v>2</v>
      </c>
      <c r="O845" t="s">
        <v>3596</v>
      </c>
      <c r="P845" t="s">
        <v>3595</v>
      </c>
      <c r="Q845" t="s">
        <v>3594</v>
      </c>
      <c r="R845" s="7">
        <v>33970</v>
      </c>
      <c r="S845" s="8">
        <f t="shared" si="104"/>
        <v>1993</v>
      </c>
      <c r="T845" s="8">
        <v>1993</v>
      </c>
      <c r="U845" s="8">
        <f t="shared" si="105"/>
        <v>29</v>
      </c>
      <c r="V845" s="7" t="s">
        <v>3286</v>
      </c>
      <c r="W845" s="11" t="s">
        <v>2393</v>
      </c>
      <c r="X845" s="2">
        <v>2.383</v>
      </c>
      <c r="Y845" s="6">
        <f t="shared" si="110"/>
        <v>6.3612824003630442E-2</v>
      </c>
      <c r="AA845" t="s">
        <v>2392</v>
      </c>
      <c r="AB845">
        <v>101151</v>
      </c>
      <c r="AD845" t="s">
        <v>5</v>
      </c>
      <c r="AE845">
        <v>140</v>
      </c>
      <c r="AF845">
        <v>2</v>
      </c>
      <c r="AH845" t="s">
        <v>3593</v>
      </c>
      <c r="AI845" t="s">
        <v>3592</v>
      </c>
      <c r="AK845" t="s">
        <v>3591</v>
      </c>
      <c r="AL845">
        <v>6</v>
      </c>
      <c r="AM845" s="5">
        <f t="shared" si="106"/>
        <v>0.20689655172413793</v>
      </c>
      <c r="AN845" s="4">
        <f t="shared" si="111"/>
        <v>3.1336092650380602E-4</v>
      </c>
      <c r="AO845" s="3"/>
      <c r="AP845">
        <v>0</v>
      </c>
      <c r="AR845" t="s">
        <v>1</v>
      </c>
      <c r="AT845" s="2" t="s">
        <v>0</v>
      </c>
      <c r="AU845" s="1">
        <f t="shared" si="107"/>
        <v>4.462298508049245</v>
      </c>
      <c r="AV845" s="1">
        <f t="shared" si="108"/>
        <v>3.1963092465067122</v>
      </c>
      <c r="AW845" s="1">
        <f t="shared" si="109"/>
        <v>1.9303199849641799</v>
      </c>
    </row>
    <row r="846" spans="1:49" x14ac:dyDescent="0.2">
      <c r="A846">
        <v>844</v>
      </c>
      <c r="B846" t="s">
        <v>3590</v>
      </c>
      <c r="C846" t="s">
        <v>3589</v>
      </c>
      <c r="F846" t="s">
        <v>3588</v>
      </c>
      <c r="G846" t="s">
        <v>15</v>
      </c>
      <c r="H846" t="s">
        <v>14</v>
      </c>
      <c r="I846" t="s">
        <v>3587</v>
      </c>
      <c r="J846">
        <v>60008524</v>
      </c>
      <c r="K846" t="s">
        <v>3124</v>
      </c>
      <c r="L846" t="s">
        <v>3123</v>
      </c>
      <c r="M846" t="s">
        <v>493</v>
      </c>
      <c r="N846">
        <v>3</v>
      </c>
      <c r="O846" t="s">
        <v>3586</v>
      </c>
      <c r="P846" t="s">
        <v>3585</v>
      </c>
      <c r="Q846" t="s">
        <v>3584</v>
      </c>
      <c r="R846" s="7">
        <v>33970</v>
      </c>
      <c r="S846" s="8">
        <f t="shared" si="104"/>
        <v>1993</v>
      </c>
      <c r="T846" s="8">
        <v>1993</v>
      </c>
      <c r="U846" s="8">
        <f t="shared" si="105"/>
        <v>29</v>
      </c>
      <c r="V846" s="7" t="s">
        <v>3286</v>
      </c>
      <c r="W846" s="11" t="s">
        <v>2393</v>
      </c>
      <c r="X846" s="2">
        <v>2.383</v>
      </c>
      <c r="Y846" s="6">
        <f t="shared" si="110"/>
        <v>6.3612824003630442E-2</v>
      </c>
      <c r="AA846" t="s">
        <v>2392</v>
      </c>
      <c r="AB846">
        <v>101151</v>
      </c>
      <c r="AD846" t="s">
        <v>5</v>
      </c>
      <c r="AE846">
        <v>140</v>
      </c>
      <c r="AF846">
        <v>2</v>
      </c>
      <c r="AH846" t="s">
        <v>3583</v>
      </c>
      <c r="AI846" t="s">
        <v>3582</v>
      </c>
      <c r="AK846" t="s">
        <v>3581</v>
      </c>
      <c r="AL846">
        <v>11</v>
      </c>
      <c r="AM846" s="5">
        <f t="shared" si="106"/>
        <v>0.37931034482758619</v>
      </c>
      <c r="AN846" s="4">
        <f t="shared" si="111"/>
        <v>5.7449503192364435E-4</v>
      </c>
      <c r="AO846" s="3"/>
      <c r="AP846">
        <v>0</v>
      </c>
      <c r="AR846" t="s">
        <v>1</v>
      </c>
      <c r="AT846" s="2" t="s">
        <v>0</v>
      </c>
      <c r="AU846" s="1">
        <f t="shared" si="107"/>
        <v>4.4701325312118403</v>
      </c>
      <c r="AV846" s="1">
        <f t="shared" si="108"/>
        <v>3.2093659517777038</v>
      </c>
      <c r="AW846" s="1">
        <f t="shared" si="109"/>
        <v>1.9485993723435684</v>
      </c>
    </row>
    <row r="847" spans="1:49" x14ac:dyDescent="0.2">
      <c r="A847">
        <v>845</v>
      </c>
      <c r="B847" t="s">
        <v>3580</v>
      </c>
      <c r="C847" t="s">
        <v>3579</v>
      </c>
      <c r="F847" t="s">
        <v>3578</v>
      </c>
      <c r="G847" t="s">
        <v>15</v>
      </c>
      <c r="H847" t="s">
        <v>14</v>
      </c>
      <c r="I847" t="s">
        <v>3577</v>
      </c>
      <c r="J847">
        <v>60068535</v>
      </c>
      <c r="K847" t="s">
        <v>1452</v>
      </c>
      <c r="L847" t="s">
        <v>1451</v>
      </c>
      <c r="M847" t="s">
        <v>1450</v>
      </c>
      <c r="N847">
        <v>3</v>
      </c>
      <c r="O847" t="s">
        <v>3576</v>
      </c>
      <c r="P847" t="s">
        <v>3575</v>
      </c>
      <c r="Q847" t="s">
        <v>3574</v>
      </c>
      <c r="R847" s="7">
        <v>33970</v>
      </c>
      <c r="S847" s="8">
        <f t="shared" si="104"/>
        <v>1993</v>
      </c>
      <c r="T847" s="8">
        <v>1993</v>
      </c>
      <c r="U847" s="8">
        <f t="shared" si="105"/>
        <v>29</v>
      </c>
      <c r="V847" s="7">
        <v>33970</v>
      </c>
      <c r="W847" t="s">
        <v>1446</v>
      </c>
      <c r="X847" s="2">
        <v>0.22500000000000001</v>
      </c>
      <c r="Y847" s="6">
        <f t="shared" si="110"/>
        <v>6.0062464963562111E-3</v>
      </c>
      <c r="AA847">
        <v>2726343</v>
      </c>
      <c r="AB847">
        <v>16128</v>
      </c>
      <c r="AC847" t="s">
        <v>1445</v>
      </c>
      <c r="AD847" t="s">
        <v>5</v>
      </c>
      <c r="AE847">
        <v>13</v>
      </c>
      <c r="AF847">
        <v>2</v>
      </c>
      <c r="AH847" t="s">
        <v>3573</v>
      </c>
      <c r="AI847" t="s">
        <v>3572</v>
      </c>
      <c r="AK847" t="s">
        <v>3571</v>
      </c>
      <c r="AL847">
        <v>1</v>
      </c>
      <c r="AM847" s="5">
        <f t="shared" si="106"/>
        <v>3.4482758620689655E-2</v>
      </c>
      <c r="AN847" s="4">
        <f t="shared" si="111"/>
        <v>5.2226821083967674E-5</v>
      </c>
      <c r="AO847" s="3"/>
      <c r="AP847">
        <v>0</v>
      </c>
      <c r="AR847" t="s">
        <v>1</v>
      </c>
      <c r="AT847" s="2">
        <v>1.099</v>
      </c>
      <c r="AU847" s="1">
        <f t="shared" si="107"/>
        <v>0.42200405937745378</v>
      </c>
      <c r="AV847" s="1">
        <f t="shared" si="108"/>
        <v>0.30292366587200897</v>
      </c>
      <c r="AW847" s="1">
        <f t="shared" si="109"/>
        <v>0.18384327236656409</v>
      </c>
    </row>
    <row r="848" spans="1:49" x14ac:dyDescent="0.2">
      <c r="A848">
        <v>846</v>
      </c>
      <c r="B848" t="s">
        <v>3570</v>
      </c>
      <c r="C848" t="s">
        <v>3569</v>
      </c>
      <c r="F848" t="s">
        <v>3568</v>
      </c>
      <c r="G848" t="s">
        <v>15</v>
      </c>
      <c r="H848" t="s">
        <v>14</v>
      </c>
      <c r="I848" t="s">
        <v>3567</v>
      </c>
      <c r="J848" t="s">
        <v>3566</v>
      </c>
      <c r="K848" t="s">
        <v>3565</v>
      </c>
      <c r="L848" t="s">
        <v>3564</v>
      </c>
      <c r="M848" t="s">
        <v>3563</v>
      </c>
      <c r="N848">
        <v>4</v>
      </c>
      <c r="O848" t="s">
        <v>3562</v>
      </c>
      <c r="P848" t="s">
        <v>3561</v>
      </c>
      <c r="Q848" t="s">
        <v>3560</v>
      </c>
      <c r="R848" s="7">
        <v>33970</v>
      </c>
      <c r="S848" s="8">
        <f t="shared" si="104"/>
        <v>1993</v>
      </c>
      <c r="T848" s="8">
        <v>1993</v>
      </c>
      <c r="U848" s="8">
        <f t="shared" si="105"/>
        <v>29</v>
      </c>
      <c r="V848" s="7">
        <v>34060</v>
      </c>
      <c r="W848" t="s">
        <v>2382</v>
      </c>
      <c r="X848" s="2">
        <v>0.30399999999999999</v>
      </c>
      <c r="Y848" s="6">
        <f t="shared" si="110"/>
        <v>8.115106377299057E-3</v>
      </c>
      <c r="AA848">
        <v>8952477</v>
      </c>
      <c r="AB848">
        <v>12250</v>
      </c>
      <c r="AC848">
        <v>10982760</v>
      </c>
      <c r="AD848" t="s">
        <v>5</v>
      </c>
      <c r="AE848">
        <v>6</v>
      </c>
      <c r="AF848">
        <v>5</v>
      </c>
      <c r="AH848" t="s">
        <v>3559</v>
      </c>
      <c r="AI848" t="s">
        <v>3558</v>
      </c>
      <c r="AJ848" t="s">
        <v>3557</v>
      </c>
      <c r="AK848" t="s">
        <v>3556</v>
      </c>
      <c r="AL848">
        <v>1</v>
      </c>
      <c r="AM848" s="5">
        <f t="shared" si="106"/>
        <v>3.4482758620689655E-2</v>
      </c>
      <c r="AN848" s="4">
        <f t="shared" si="111"/>
        <v>5.2226821083967674E-5</v>
      </c>
      <c r="AO848" s="3"/>
      <c r="AP848">
        <v>0</v>
      </c>
      <c r="AR848" t="s">
        <v>1</v>
      </c>
      <c r="AT848" s="2" t="s">
        <v>0</v>
      </c>
      <c r="AU848" s="1">
        <f t="shared" si="107"/>
        <v>0.56962425104345293</v>
      </c>
      <c r="AV848" s="1">
        <f t="shared" si="108"/>
        <v>0.40836665991915122</v>
      </c>
      <c r="AW848" s="1">
        <f t="shared" si="109"/>
        <v>0.24710906879484945</v>
      </c>
    </row>
    <row r="849" spans="1:49" x14ac:dyDescent="0.2">
      <c r="A849">
        <v>847</v>
      </c>
      <c r="B849" t="s">
        <v>3555</v>
      </c>
      <c r="C849" t="s">
        <v>3554</v>
      </c>
      <c r="F849" t="s">
        <v>3553</v>
      </c>
      <c r="G849" t="s">
        <v>15</v>
      </c>
      <c r="H849" t="s">
        <v>14</v>
      </c>
      <c r="I849" t="s">
        <v>3552</v>
      </c>
      <c r="J849" t="s">
        <v>3551</v>
      </c>
      <c r="K849" t="s">
        <v>3550</v>
      </c>
      <c r="L849" t="s">
        <v>3549</v>
      </c>
      <c r="M849" t="s">
        <v>104</v>
      </c>
      <c r="N849">
        <v>6</v>
      </c>
      <c r="O849" t="s">
        <v>3548</v>
      </c>
      <c r="P849" t="s">
        <v>3547</v>
      </c>
      <c r="Q849" t="s">
        <v>3546</v>
      </c>
      <c r="R849" s="7">
        <v>33970</v>
      </c>
      <c r="S849" s="8">
        <f t="shared" si="104"/>
        <v>1993</v>
      </c>
      <c r="T849" s="8">
        <v>1993</v>
      </c>
      <c r="U849" s="8">
        <f t="shared" si="105"/>
        <v>29</v>
      </c>
      <c r="V849" s="7">
        <v>34060</v>
      </c>
      <c r="W849" t="s">
        <v>548</v>
      </c>
      <c r="X849" s="2">
        <v>1.3720000000000001</v>
      </c>
      <c r="Y849" s="6">
        <f t="shared" si="110"/>
        <v>3.662475641333654E-2</v>
      </c>
      <c r="AA849">
        <v>189480</v>
      </c>
      <c r="AB849">
        <v>17366</v>
      </c>
      <c r="AC849">
        <v>15579670</v>
      </c>
      <c r="AD849" t="s">
        <v>5</v>
      </c>
      <c r="AE849">
        <v>41</v>
      </c>
      <c r="AF849">
        <v>4</v>
      </c>
      <c r="AH849" t="s">
        <v>3545</v>
      </c>
      <c r="AI849" t="s">
        <v>3544</v>
      </c>
      <c r="AK849" t="s">
        <v>3543</v>
      </c>
      <c r="AL849">
        <v>2</v>
      </c>
      <c r="AM849" s="5">
        <f t="shared" si="106"/>
        <v>6.8965517241379309E-2</v>
      </c>
      <c r="AN849" s="4">
        <f t="shared" si="111"/>
        <v>1.0445364216793535E-4</v>
      </c>
      <c r="AO849" s="3"/>
      <c r="AP849">
        <v>0</v>
      </c>
      <c r="AQ849" t="s">
        <v>3542</v>
      </c>
      <c r="AR849" t="s">
        <v>3541</v>
      </c>
      <c r="AS849" t="s">
        <v>3540</v>
      </c>
      <c r="AT849" s="2" t="s">
        <v>0</v>
      </c>
      <c r="AU849" s="1">
        <f t="shared" si="107"/>
        <v>2.5668665581985954</v>
      </c>
      <c r="AV849" s="1">
        <f t="shared" si="108"/>
        <v>1.8364605027752237</v>
      </c>
      <c r="AW849" s="1">
        <f t="shared" si="109"/>
        <v>1.1060544473518517</v>
      </c>
    </row>
    <row r="850" spans="1:49" x14ac:dyDescent="0.2">
      <c r="A850">
        <v>848</v>
      </c>
      <c r="B850" t="s">
        <v>3539</v>
      </c>
      <c r="C850" t="s">
        <v>3538</v>
      </c>
      <c r="F850" t="s">
        <v>3537</v>
      </c>
      <c r="G850" t="s">
        <v>15</v>
      </c>
      <c r="H850" t="s">
        <v>14</v>
      </c>
      <c r="I850" t="s">
        <v>3536</v>
      </c>
      <c r="J850">
        <v>60026242</v>
      </c>
      <c r="K850" t="s">
        <v>2607</v>
      </c>
      <c r="L850" t="s">
        <v>2606</v>
      </c>
      <c r="M850" t="s">
        <v>493</v>
      </c>
      <c r="N850">
        <v>1</v>
      </c>
      <c r="O850" t="s">
        <v>3535</v>
      </c>
      <c r="P850">
        <v>7404022793</v>
      </c>
      <c r="Q850">
        <v>60026242</v>
      </c>
      <c r="R850" s="7">
        <v>33970</v>
      </c>
      <c r="S850" s="8">
        <f t="shared" si="104"/>
        <v>1993</v>
      </c>
      <c r="T850" s="8">
        <v>1993</v>
      </c>
      <c r="U850" s="8">
        <f t="shared" si="105"/>
        <v>29</v>
      </c>
      <c r="V850" s="7" t="s">
        <v>3286</v>
      </c>
      <c r="W850" s="11" t="s">
        <v>2393</v>
      </c>
      <c r="X850" s="2">
        <v>2.383</v>
      </c>
      <c r="Y850" s="6">
        <f t="shared" si="110"/>
        <v>6.3612824003630442E-2</v>
      </c>
      <c r="AA850" t="s">
        <v>2392</v>
      </c>
      <c r="AB850">
        <v>101151</v>
      </c>
      <c r="AD850" t="s">
        <v>5</v>
      </c>
      <c r="AE850">
        <v>140</v>
      </c>
      <c r="AF850">
        <v>2</v>
      </c>
      <c r="AH850" t="s">
        <v>3534</v>
      </c>
      <c r="AI850" t="s">
        <v>3533</v>
      </c>
      <c r="AK850" t="s">
        <v>3532</v>
      </c>
      <c r="AL850">
        <v>11</v>
      </c>
      <c r="AM850" s="5">
        <f t="shared" si="106"/>
        <v>0.37931034482758619</v>
      </c>
      <c r="AN850" s="4">
        <f t="shared" si="111"/>
        <v>5.7449503192364435E-4</v>
      </c>
      <c r="AO850" s="3"/>
      <c r="AP850">
        <v>0</v>
      </c>
      <c r="AR850" t="s">
        <v>1</v>
      </c>
      <c r="AT850" s="2" t="s">
        <v>0</v>
      </c>
      <c r="AU850" s="1">
        <f t="shared" si="107"/>
        <v>4.4701325312118403</v>
      </c>
      <c r="AV850" s="1">
        <f t="shared" si="108"/>
        <v>3.2093659517777038</v>
      </c>
      <c r="AW850" s="1">
        <f t="shared" si="109"/>
        <v>1.9485993723435684</v>
      </c>
    </row>
    <row r="851" spans="1:49" x14ac:dyDescent="0.2">
      <c r="A851">
        <v>849</v>
      </c>
      <c r="B851" t="s">
        <v>3531</v>
      </c>
      <c r="C851" t="s">
        <v>3530</v>
      </c>
      <c r="F851" t="s">
        <v>3529</v>
      </c>
      <c r="G851" t="s">
        <v>15</v>
      </c>
      <c r="H851" t="s">
        <v>14</v>
      </c>
      <c r="I851" t="s">
        <v>3528</v>
      </c>
      <c r="J851">
        <v>60000009</v>
      </c>
      <c r="K851" t="s">
        <v>3527</v>
      </c>
      <c r="L851" t="s">
        <v>3526</v>
      </c>
      <c r="M851" t="s">
        <v>10</v>
      </c>
      <c r="N851">
        <v>1</v>
      </c>
      <c r="O851" t="s">
        <v>3525</v>
      </c>
      <c r="P851">
        <v>35242065300</v>
      </c>
      <c r="Q851">
        <v>60000009</v>
      </c>
      <c r="R851" s="7">
        <v>33970</v>
      </c>
      <c r="S851" s="8">
        <f t="shared" si="104"/>
        <v>1993</v>
      </c>
      <c r="T851" s="8">
        <v>1993</v>
      </c>
      <c r="U851" s="8">
        <f t="shared" si="105"/>
        <v>29</v>
      </c>
      <c r="V851" s="7">
        <v>34060</v>
      </c>
      <c r="W851" t="s">
        <v>814</v>
      </c>
      <c r="X851" s="2">
        <v>1.6519999999999999</v>
      </c>
      <c r="Y851" s="6">
        <f t="shared" si="110"/>
        <v>4.409919649769093E-2</v>
      </c>
      <c r="AA851" t="s">
        <v>813</v>
      </c>
      <c r="AB851">
        <v>17337</v>
      </c>
      <c r="AC851">
        <v>15582221</v>
      </c>
      <c r="AD851" t="s">
        <v>5</v>
      </c>
      <c r="AE851">
        <v>41</v>
      </c>
      <c r="AF851">
        <v>4</v>
      </c>
      <c r="AH851" t="s">
        <v>3524</v>
      </c>
      <c r="AI851" t="s">
        <v>3523</v>
      </c>
      <c r="AK851" t="s">
        <v>3522</v>
      </c>
      <c r="AL851">
        <v>13</v>
      </c>
      <c r="AM851" s="5">
        <f t="shared" si="106"/>
        <v>0.44827586206896552</v>
      </c>
      <c r="AN851" s="4">
        <f t="shared" si="111"/>
        <v>6.7894867409157972E-4</v>
      </c>
      <c r="AO851" s="3"/>
      <c r="AP851">
        <v>0</v>
      </c>
      <c r="AR851" t="s">
        <v>1</v>
      </c>
      <c r="AT851" s="2" t="s">
        <v>0</v>
      </c>
      <c r="AU851" s="1">
        <f t="shared" si="107"/>
        <v>3.1073122150611128</v>
      </c>
      <c r="AV851" s="1">
        <f t="shared" si="108"/>
        <v>2.2389072585891254</v>
      </c>
      <c r="AW851" s="1">
        <f t="shared" si="109"/>
        <v>1.3705023021171385</v>
      </c>
    </row>
    <row r="852" spans="1:49" x14ac:dyDescent="0.2">
      <c r="A852">
        <v>850</v>
      </c>
      <c r="B852" t="s">
        <v>3521</v>
      </c>
      <c r="C852" t="s">
        <v>3520</v>
      </c>
      <c r="F852" t="s">
        <v>3519</v>
      </c>
      <c r="G852" t="s">
        <v>15</v>
      </c>
      <c r="H852" t="s">
        <v>14</v>
      </c>
      <c r="I852" t="s">
        <v>3518</v>
      </c>
      <c r="J852">
        <v>60029241</v>
      </c>
      <c r="K852" t="s">
        <v>3517</v>
      </c>
      <c r="L852" t="s">
        <v>3516</v>
      </c>
      <c r="M852" t="s">
        <v>10</v>
      </c>
      <c r="N852">
        <v>2</v>
      </c>
      <c r="O852" t="s">
        <v>3515</v>
      </c>
      <c r="P852" t="s">
        <v>3514</v>
      </c>
      <c r="Q852" t="s">
        <v>3513</v>
      </c>
      <c r="R852" s="7">
        <v>33970</v>
      </c>
      <c r="S852" s="8">
        <f t="shared" si="104"/>
        <v>1993</v>
      </c>
      <c r="T852" s="8">
        <v>1993</v>
      </c>
      <c r="U852" s="8">
        <f t="shared" si="105"/>
        <v>29</v>
      </c>
      <c r="V852" s="7">
        <v>34060</v>
      </c>
      <c r="W852" t="s">
        <v>1272</v>
      </c>
      <c r="X852" s="2">
        <v>0.94</v>
      </c>
      <c r="Y852" s="6">
        <f t="shared" si="110"/>
        <v>2.5092763140332611E-2</v>
      </c>
      <c r="AA852">
        <v>10518207</v>
      </c>
      <c r="AB852">
        <v>63372</v>
      </c>
      <c r="AD852" t="s">
        <v>5</v>
      </c>
      <c r="AE852">
        <v>3</v>
      </c>
      <c r="AF852">
        <v>4</v>
      </c>
      <c r="AH852" t="s">
        <v>3512</v>
      </c>
      <c r="AI852" t="s">
        <v>3511</v>
      </c>
      <c r="AK852" t="s">
        <v>3510</v>
      </c>
      <c r="AL852">
        <v>14</v>
      </c>
      <c r="AM852" s="5">
        <f t="shared" si="106"/>
        <v>0.48275862068965519</v>
      </c>
      <c r="AN852" s="4">
        <f t="shared" si="111"/>
        <v>7.3117549517554741E-4</v>
      </c>
      <c r="AO852" s="3"/>
      <c r="AP852">
        <v>0</v>
      </c>
      <c r="AR852" t="s">
        <v>1</v>
      </c>
      <c r="AT852" s="2" t="s">
        <v>0</v>
      </c>
      <c r="AU852" s="1">
        <f t="shared" si="107"/>
        <v>1.7784286846785493</v>
      </c>
      <c r="AV852" s="1">
        <f t="shared" si="108"/>
        <v>1.291196931775408</v>
      </c>
      <c r="AW852" s="1">
        <f t="shared" si="109"/>
        <v>0.80396517887226659</v>
      </c>
    </row>
    <row r="853" spans="1:49" x14ac:dyDescent="0.2">
      <c r="A853">
        <v>851</v>
      </c>
      <c r="B853" t="s">
        <v>3509</v>
      </c>
      <c r="C853" t="s">
        <v>3508</v>
      </c>
      <c r="F853" t="s">
        <v>3507</v>
      </c>
      <c r="G853" t="s">
        <v>15</v>
      </c>
      <c r="H853" t="s">
        <v>14</v>
      </c>
      <c r="I853" t="s">
        <v>3506</v>
      </c>
      <c r="J853">
        <v>60021902</v>
      </c>
      <c r="K853" t="s">
        <v>2373</v>
      </c>
      <c r="L853" t="s">
        <v>2372</v>
      </c>
      <c r="M853" t="s">
        <v>2371</v>
      </c>
      <c r="N853">
        <v>2</v>
      </c>
      <c r="O853" t="s">
        <v>3505</v>
      </c>
      <c r="P853" t="s">
        <v>3504</v>
      </c>
      <c r="Q853" t="s">
        <v>2368</v>
      </c>
      <c r="R853" s="7">
        <v>33970</v>
      </c>
      <c r="S853" s="8">
        <f t="shared" si="104"/>
        <v>1993</v>
      </c>
      <c r="T853" s="8">
        <v>1993</v>
      </c>
      <c r="U853" s="8">
        <f t="shared" si="105"/>
        <v>29</v>
      </c>
      <c r="V853" s="7">
        <v>34060</v>
      </c>
      <c r="W853" t="s">
        <v>2382</v>
      </c>
      <c r="X853" s="2">
        <v>0.30399999999999999</v>
      </c>
      <c r="Y853" s="6">
        <f t="shared" si="110"/>
        <v>8.115106377299057E-3</v>
      </c>
      <c r="AA853">
        <v>8952477</v>
      </c>
      <c r="AB853">
        <v>12250</v>
      </c>
      <c r="AC853">
        <v>10982760</v>
      </c>
      <c r="AD853" t="s">
        <v>5</v>
      </c>
      <c r="AE853">
        <v>6</v>
      </c>
      <c r="AF853">
        <v>5</v>
      </c>
      <c r="AH853" t="s">
        <v>3503</v>
      </c>
      <c r="AI853" t="s">
        <v>3502</v>
      </c>
      <c r="AJ853" t="s">
        <v>3501</v>
      </c>
      <c r="AK853" t="s">
        <v>3500</v>
      </c>
      <c r="AL853">
        <v>3</v>
      </c>
      <c r="AM853" s="5">
        <f t="shared" si="106"/>
        <v>0.10344827586206896</v>
      </c>
      <c r="AN853" s="4">
        <f t="shared" si="111"/>
        <v>1.5668046325190301E-4</v>
      </c>
      <c r="AO853" s="3"/>
      <c r="AP853">
        <v>0</v>
      </c>
      <c r="AR853" t="s">
        <v>1</v>
      </c>
      <c r="AT853" s="2" t="s">
        <v>0</v>
      </c>
      <c r="AU853" s="1">
        <f t="shared" si="107"/>
        <v>0.57275786030849107</v>
      </c>
      <c r="AV853" s="1">
        <f t="shared" si="108"/>
        <v>0.41358934202754799</v>
      </c>
      <c r="AW853" s="1">
        <f t="shared" si="109"/>
        <v>0.25442082374660496</v>
      </c>
    </row>
    <row r="854" spans="1:49" x14ac:dyDescent="0.2">
      <c r="A854">
        <v>852</v>
      </c>
      <c r="B854" t="s">
        <v>3499</v>
      </c>
      <c r="C854" t="s">
        <v>3498</v>
      </c>
      <c r="F854" t="s">
        <v>3497</v>
      </c>
      <c r="G854" t="s">
        <v>15</v>
      </c>
      <c r="H854" t="s">
        <v>14</v>
      </c>
      <c r="I854" t="s">
        <v>3496</v>
      </c>
      <c r="J854">
        <v>60030821</v>
      </c>
      <c r="K854" t="s">
        <v>3495</v>
      </c>
      <c r="L854" t="s">
        <v>3494</v>
      </c>
      <c r="M854" t="s">
        <v>10</v>
      </c>
      <c r="N854">
        <v>1</v>
      </c>
      <c r="O854" t="s">
        <v>3493</v>
      </c>
      <c r="P854">
        <v>7005870523</v>
      </c>
      <c r="Q854">
        <v>60030821</v>
      </c>
      <c r="R854" s="7">
        <v>33970</v>
      </c>
      <c r="S854" s="8">
        <f t="shared" si="104"/>
        <v>1993</v>
      </c>
      <c r="T854" s="8">
        <v>1993</v>
      </c>
      <c r="U854" s="8">
        <f t="shared" si="105"/>
        <v>29</v>
      </c>
      <c r="V854" s="7">
        <v>34060</v>
      </c>
      <c r="W854" t="s">
        <v>814</v>
      </c>
      <c r="X854" s="2">
        <v>1.6519999999999999</v>
      </c>
      <c r="Y854" s="6">
        <f t="shared" si="110"/>
        <v>4.409919649769093E-2</v>
      </c>
      <c r="AA854" t="s">
        <v>813</v>
      </c>
      <c r="AB854">
        <v>17337</v>
      </c>
      <c r="AC854">
        <v>15582221</v>
      </c>
      <c r="AD854" t="s">
        <v>5</v>
      </c>
      <c r="AE854">
        <v>41</v>
      </c>
      <c r="AF854">
        <v>4</v>
      </c>
      <c r="AH854" t="s">
        <v>3492</v>
      </c>
      <c r="AI854" t="s">
        <v>3491</v>
      </c>
      <c r="AK854" t="s">
        <v>3490</v>
      </c>
      <c r="AL854">
        <v>3</v>
      </c>
      <c r="AM854" s="5">
        <f t="shared" si="106"/>
        <v>0.10344827586206896</v>
      </c>
      <c r="AN854" s="4">
        <f t="shared" si="111"/>
        <v>1.5668046325190301E-4</v>
      </c>
      <c r="AO854" s="3"/>
      <c r="AP854">
        <v>0</v>
      </c>
      <c r="AR854" t="s">
        <v>1</v>
      </c>
      <c r="AT854" s="2" t="s">
        <v>0</v>
      </c>
      <c r="AU854" s="1">
        <f t="shared" si="107"/>
        <v>3.0916441687359222</v>
      </c>
      <c r="AV854" s="1">
        <f t="shared" si="108"/>
        <v>2.2127938480471414</v>
      </c>
      <c r="AW854" s="1">
        <f t="shared" si="109"/>
        <v>1.3339435273583611</v>
      </c>
    </row>
    <row r="855" spans="1:49" x14ac:dyDescent="0.2">
      <c r="A855">
        <v>853</v>
      </c>
      <c r="B855" t="s">
        <v>3489</v>
      </c>
      <c r="C855" t="s">
        <v>3488</v>
      </c>
      <c r="F855" t="s">
        <v>3487</v>
      </c>
      <c r="G855" t="s">
        <v>15</v>
      </c>
      <c r="H855" t="s">
        <v>14</v>
      </c>
      <c r="I855" t="s">
        <v>2710</v>
      </c>
      <c r="J855">
        <v>60108318</v>
      </c>
      <c r="K855" t="s">
        <v>2709</v>
      </c>
      <c r="L855" t="s">
        <v>997</v>
      </c>
      <c r="M855" t="s">
        <v>10</v>
      </c>
      <c r="N855">
        <v>2</v>
      </c>
      <c r="O855" t="s">
        <v>3486</v>
      </c>
      <c r="P855" t="s">
        <v>3485</v>
      </c>
      <c r="Q855" t="s">
        <v>2706</v>
      </c>
      <c r="R855" s="7">
        <v>33970</v>
      </c>
      <c r="S855" s="8">
        <f t="shared" si="104"/>
        <v>1993</v>
      </c>
      <c r="T855" s="8">
        <v>1993</v>
      </c>
      <c r="U855" s="8">
        <f t="shared" si="105"/>
        <v>29</v>
      </c>
      <c r="V855" s="7">
        <v>34060</v>
      </c>
      <c r="W855" t="s">
        <v>814</v>
      </c>
      <c r="X855" s="2">
        <v>1.6519999999999999</v>
      </c>
      <c r="Y855" s="6">
        <f t="shared" si="110"/>
        <v>4.409919649769093E-2</v>
      </c>
      <c r="AA855" t="s">
        <v>813</v>
      </c>
      <c r="AB855">
        <v>17337</v>
      </c>
      <c r="AC855">
        <v>15582221</v>
      </c>
      <c r="AD855" t="s">
        <v>5</v>
      </c>
      <c r="AE855">
        <v>41</v>
      </c>
      <c r="AF855">
        <v>4</v>
      </c>
      <c r="AH855" t="s">
        <v>3484</v>
      </c>
      <c r="AI855" t="s">
        <v>3483</v>
      </c>
      <c r="AK855" t="s">
        <v>3482</v>
      </c>
      <c r="AL855">
        <v>71</v>
      </c>
      <c r="AM855" s="5">
        <f t="shared" si="106"/>
        <v>2.4482758620689653</v>
      </c>
      <c r="AN855" s="4">
        <f t="shared" si="111"/>
        <v>3.7081042969617042E-3</v>
      </c>
      <c r="AO855" s="3"/>
      <c r="AP855">
        <v>0</v>
      </c>
      <c r="AR855" t="s">
        <v>3481</v>
      </c>
      <c r="AT855" s="2" t="s">
        <v>0</v>
      </c>
      <c r="AU855" s="1">
        <f t="shared" si="107"/>
        <v>3.1981868837472165</v>
      </c>
      <c r="AV855" s="1">
        <f t="shared" si="108"/>
        <v>2.3903650397326315</v>
      </c>
      <c r="AW855" s="1">
        <f t="shared" si="109"/>
        <v>1.5825431957180471</v>
      </c>
    </row>
    <row r="856" spans="1:49" x14ac:dyDescent="0.2">
      <c r="A856">
        <v>854</v>
      </c>
      <c r="B856" t="s">
        <v>3480</v>
      </c>
      <c r="C856" t="s">
        <v>3479</v>
      </c>
      <c r="F856" t="s">
        <v>3478</v>
      </c>
      <c r="G856" t="s">
        <v>15</v>
      </c>
      <c r="H856" t="s">
        <v>14</v>
      </c>
      <c r="I856" t="s">
        <v>3477</v>
      </c>
      <c r="J856">
        <v>60031004</v>
      </c>
      <c r="K856" t="s">
        <v>2997</v>
      </c>
      <c r="L856" t="s">
        <v>819</v>
      </c>
      <c r="M856" t="s">
        <v>818</v>
      </c>
      <c r="N856">
        <v>2</v>
      </c>
      <c r="O856" t="s">
        <v>3476</v>
      </c>
      <c r="P856" t="s">
        <v>3475</v>
      </c>
      <c r="Q856" t="s">
        <v>3474</v>
      </c>
      <c r="R856" s="7">
        <v>33970</v>
      </c>
      <c r="S856" s="8">
        <f t="shared" si="104"/>
        <v>1993</v>
      </c>
      <c r="T856" s="8">
        <v>1993</v>
      </c>
      <c r="U856" s="8">
        <f t="shared" si="105"/>
        <v>29</v>
      </c>
      <c r="V856" s="7">
        <v>34060</v>
      </c>
      <c r="W856" t="s">
        <v>2382</v>
      </c>
      <c r="X856" s="2">
        <v>0.30399999999999999</v>
      </c>
      <c r="Y856" s="6">
        <f t="shared" si="110"/>
        <v>8.115106377299057E-3</v>
      </c>
      <c r="AA856">
        <v>8952477</v>
      </c>
      <c r="AB856">
        <v>12250</v>
      </c>
      <c r="AC856">
        <v>10982760</v>
      </c>
      <c r="AD856" t="s">
        <v>5</v>
      </c>
      <c r="AE856">
        <v>6</v>
      </c>
      <c r="AF856">
        <v>5</v>
      </c>
      <c r="AH856" t="s">
        <v>3473</v>
      </c>
      <c r="AI856" t="s">
        <v>3472</v>
      </c>
      <c r="AJ856" t="s">
        <v>3471</v>
      </c>
      <c r="AK856" t="s">
        <v>3470</v>
      </c>
      <c r="AL856">
        <v>16</v>
      </c>
      <c r="AM856" s="5">
        <f t="shared" si="106"/>
        <v>0.55172413793103448</v>
      </c>
      <c r="AN856" s="4">
        <f t="shared" si="111"/>
        <v>8.3562913734348278E-4</v>
      </c>
      <c r="AO856" s="3"/>
      <c r="AP856">
        <v>0</v>
      </c>
      <c r="AR856" t="s">
        <v>1</v>
      </c>
      <c r="AT856" s="2" t="s">
        <v>0</v>
      </c>
      <c r="AU856" s="1">
        <f t="shared" si="107"/>
        <v>0.59312632053123848</v>
      </c>
      <c r="AV856" s="1">
        <f t="shared" si="108"/>
        <v>0.44753677573212702</v>
      </c>
      <c r="AW856" s="1">
        <f t="shared" si="109"/>
        <v>0.30194723093301551</v>
      </c>
    </row>
    <row r="857" spans="1:49" x14ac:dyDescent="0.2">
      <c r="A857">
        <v>855</v>
      </c>
      <c r="B857" t="s">
        <v>3469</v>
      </c>
      <c r="C857" t="s">
        <v>3468</v>
      </c>
      <c r="F857" t="s">
        <v>3467</v>
      </c>
      <c r="G857" t="s">
        <v>15</v>
      </c>
      <c r="H857" t="s">
        <v>14</v>
      </c>
      <c r="I857" t="s">
        <v>3466</v>
      </c>
      <c r="J857">
        <v>60027550</v>
      </c>
      <c r="K857" t="s">
        <v>1833</v>
      </c>
      <c r="L857" t="s">
        <v>1832</v>
      </c>
      <c r="M857" t="s">
        <v>10</v>
      </c>
      <c r="N857">
        <v>2</v>
      </c>
      <c r="O857" t="s">
        <v>3465</v>
      </c>
      <c r="P857" t="s">
        <v>3464</v>
      </c>
      <c r="Q857" t="s">
        <v>3332</v>
      </c>
      <c r="R857" s="7">
        <v>33970</v>
      </c>
      <c r="S857" s="8">
        <f t="shared" si="104"/>
        <v>1993</v>
      </c>
      <c r="T857" s="8">
        <v>1993</v>
      </c>
      <c r="U857" s="8">
        <f t="shared" si="105"/>
        <v>29</v>
      </c>
      <c r="V857" s="7">
        <v>34060</v>
      </c>
      <c r="W857" t="s">
        <v>548</v>
      </c>
      <c r="X857" s="2">
        <v>1.3720000000000001</v>
      </c>
      <c r="Y857" s="6">
        <f t="shared" si="110"/>
        <v>3.662475641333654E-2</v>
      </c>
      <c r="AA857">
        <v>189480</v>
      </c>
      <c r="AB857">
        <v>17366</v>
      </c>
      <c r="AC857">
        <v>15579670</v>
      </c>
      <c r="AD857" t="s">
        <v>5</v>
      </c>
      <c r="AE857">
        <v>41</v>
      </c>
      <c r="AF857">
        <v>4</v>
      </c>
      <c r="AH857" t="s">
        <v>3463</v>
      </c>
      <c r="AI857" t="s">
        <v>3462</v>
      </c>
      <c r="AK857" t="s">
        <v>3461</v>
      </c>
      <c r="AL857">
        <v>5</v>
      </c>
      <c r="AM857" s="5">
        <f t="shared" si="106"/>
        <v>0.17241379310344829</v>
      </c>
      <c r="AN857" s="4">
        <f t="shared" si="111"/>
        <v>2.6113410541983838E-4</v>
      </c>
      <c r="AO857" s="3"/>
      <c r="AP857">
        <v>0</v>
      </c>
      <c r="AQ857" t="s">
        <v>2475</v>
      </c>
      <c r="AR857" t="s">
        <v>3460</v>
      </c>
      <c r="AS857" t="s">
        <v>2473</v>
      </c>
      <c r="AT857" s="2" t="s">
        <v>0</v>
      </c>
      <c r="AU857" s="1">
        <f t="shared" si="107"/>
        <v>2.5715669720961527</v>
      </c>
      <c r="AV857" s="1">
        <f t="shared" si="108"/>
        <v>1.8442945259378187</v>
      </c>
      <c r="AW857" s="1">
        <f t="shared" si="109"/>
        <v>1.117022079779485</v>
      </c>
    </row>
    <row r="858" spans="1:49" x14ac:dyDescent="0.2">
      <c r="A858">
        <v>856</v>
      </c>
      <c r="B858" t="s">
        <v>3459</v>
      </c>
      <c r="C858" t="s">
        <v>3458</v>
      </c>
      <c r="F858" t="s">
        <v>3457</v>
      </c>
      <c r="G858" t="s">
        <v>15</v>
      </c>
      <c r="H858" t="s">
        <v>14</v>
      </c>
      <c r="I858" t="s">
        <v>3456</v>
      </c>
      <c r="J858">
        <v>60009415</v>
      </c>
      <c r="K858" t="s">
        <v>3455</v>
      </c>
      <c r="L858" t="s">
        <v>3454</v>
      </c>
      <c r="M858" t="s">
        <v>10</v>
      </c>
      <c r="N858">
        <v>1</v>
      </c>
      <c r="O858" t="s">
        <v>3453</v>
      </c>
      <c r="P858">
        <v>7004273844</v>
      </c>
      <c r="Q858">
        <v>60009415</v>
      </c>
      <c r="R858" s="7">
        <v>33970</v>
      </c>
      <c r="S858" s="8">
        <f t="shared" si="104"/>
        <v>1993</v>
      </c>
      <c r="T858" s="8">
        <v>1993</v>
      </c>
      <c r="U858" s="8">
        <f t="shared" si="105"/>
        <v>29</v>
      </c>
      <c r="V858" s="7">
        <v>34060</v>
      </c>
      <c r="W858" t="s">
        <v>616</v>
      </c>
      <c r="X858" s="2">
        <v>1.6379999999999999</v>
      </c>
      <c r="Y858" s="6">
        <f t="shared" si="110"/>
        <v>4.3725474493473214E-2</v>
      </c>
      <c r="AA858" t="s">
        <v>615</v>
      </c>
      <c r="AB858">
        <v>17391</v>
      </c>
      <c r="AC858">
        <v>19410476</v>
      </c>
      <c r="AD858" t="s">
        <v>5</v>
      </c>
      <c r="AE858">
        <v>41</v>
      </c>
      <c r="AF858">
        <v>4</v>
      </c>
      <c r="AH858" t="s">
        <v>3452</v>
      </c>
      <c r="AI858" t="s">
        <v>3451</v>
      </c>
      <c r="AK858" t="s">
        <v>3450</v>
      </c>
      <c r="AL858">
        <v>12</v>
      </c>
      <c r="AM858" s="5">
        <f t="shared" si="106"/>
        <v>0.41379310344827586</v>
      </c>
      <c r="AN858" s="4">
        <f t="shared" si="111"/>
        <v>6.2672185300761203E-4</v>
      </c>
      <c r="AO858" s="3"/>
      <c r="AP858">
        <v>0</v>
      </c>
      <c r="AR858" t="s">
        <v>1</v>
      </c>
      <c r="AT858" s="2">
        <v>4.931</v>
      </c>
      <c r="AU858" s="1">
        <f t="shared" si="107"/>
        <v>3.0795848701333535</v>
      </c>
      <c r="AV858" s="1">
        <f t="shared" si="108"/>
        <v>2.2176098173240413</v>
      </c>
      <c r="AW858" s="1">
        <f t="shared" si="109"/>
        <v>1.3556347645147293</v>
      </c>
    </row>
    <row r="859" spans="1:49" x14ac:dyDescent="0.2">
      <c r="A859">
        <v>857</v>
      </c>
      <c r="B859" t="s">
        <v>3449</v>
      </c>
      <c r="C859" t="s">
        <v>3448</v>
      </c>
      <c r="F859" t="s">
        <v>3447</v>
      </c>
      <c r="G859" t="s">
        <v>15</v>
      </c>
      <c r="H859" t="s">
        <v>14</v>
      </c>
      <c r="I859" t="s">
        <v>3446</v>
      </c>
      <c r="J859">
        <v>60009037</v>
      </c>
      <c r="K859" t="s">
        <v>647</v>
      </c>
      <c r="L859" t="s">
        <v>646</v>
      </c>
      <c r="M859" t="s">
        <v>10</v>
      </c>
      <c r="N859">
        <v>1</v>
      </c>
      <c r="O859" t="s">
        <v>3445</v>
      </c>
      <c r="P859">
        <v>6507119413</v>
      </c>
      <c r="Q859">
        <v>60009037</v>
      </c>
      <c r="R859" s="7">
        <v>33970</v>
      </c>
      <c r="S859" s="8">
        <f t="shared" si="104"/>
        <v>1993</v>
      </c>
      <c r="T859" s="8">
        <v>1993</v>
      </c>
      <c r="U859" s="8">
        <f t="shared" si="105"/>
        <v>29</v>
      </c>
      <c r="V859" s="7">
        <v>34060</v>
      </c>
      <c r="W859" t="s">
        <v>3444</v>
      </c>
      <c r="X859" s="2">
        <v>0.22500000000000001</v>
      </c>
      <c r="Y859" s="6">
        <f t="shared" si="110"/>
        <v>6.0062464963562111E-3</v>
      </c>
      <c r="AA859">
        <v>189235</v>
      </c>
      <c r="AB859">
        <v>17318</v>
      </c>
      <c r="AD859" t="s">
        <v>5</v>
      </c>
      <c r="AE859">
        <v>30</v>
      </c>
      <c r="AF859">
        <v>4</v>
      </c>
      <c r="AH859" t="s">
        <v>3443</v>
      </c>
      <c r="AL859">
        <v>2</v>
      </c>
      <c r="AM859" s="5">
        <f t="shared" si="106"/>
        <v>6.8965517241379309E-2</v>
      </c>
      <c r="AN859" s="4">
        <f t="shared" si="111"/>
        <v>1.0445364216793535E-4</v>
      </c>
      <c r="AO859" s="3"/>
      <c r="AP859">
        <v>0</v>
      </c>
      <c r="AQ859" t="s">
        <v>3442</v>
      </c>
      <c r="AR859" t="s">
        <v>1</v>
      </c>
      <c r="AS859" t="s">
        <v>3441</v>
      </c>
      <c r="AT859" s="2">
        <v>2.875</v>
      </c>
      <c r="AU859" s="1">
        <f t="shared" si="107"/>
        <v>0.42357086400997279</v>
      </c>
      <c r="AV859" s="1">
        <f t="shared" si="108"/>
        <v>0.30553500692620733</v>
      </c>
      <c r="AW859" s="1">
        <f t="shared" si="109"/>
        <v>0.18749914984244179</v>
      </c>
    </row>
    <row r="860" spans="1:49" x14ac:dyDescent="0.2">
      <c r="A860">
        <v>858</v>
      </c>
      <c r="B860" t="s">
        <v>3440</v>
      </c>
      <c r="C860" t="s">
        <v>3439</v>
      </c>
      <c r="F860" t="s">
        <v>3438</v>
      </c>
      <c r="G860" t="s">
        <v>15</v>
      </c>
      <c r="H860" t="s">
        <v>14</v>
      </c>
      <c r="I860" t="s">
        <v>3437</v>
      </c>
      <c r="J860">
        <v>60017161</v>
      </c>
      <c r="K860" t="s">
        <v>2398</v>
      </c>
      <c r="L860" t="s">
        <v>1461</v>
      </c>
      <c r="M860" t="s">
        <v>1460</v>
      </c>
      <c r="N860">
        <v>3</v>
      </c>
      <c r="O860" t="s">
        <v>3436</v>
      </c>
      <c r="P860" t="s">
        <v>3435</v>
      </c>
      <c r="Q860" t="s">
        <v>3434</v>
      </c>
      <c r="R860" s="7">
        <v>33970</v>
      </c>
      <c r="S860" s="8">
        <f t="shared" si="104"/>
        <v>1993</v>
      </c>
      <c r="T860" s="8">
        <v>1993</v>
      </c>
      <c r="U860" s="8">
        <f t="shared" si="105"/>
        <v>29</v>
      </c>
      <c r="V860" s="7">
        <v>34060</v>
      </c>
      <c r="W860" t="s">
        <v>2382</v>
      </c>
      <c r="X860" s="2">
        <v>0.30399999999999999</v>
      </c>
      <c r="Y860" s="6">
        <f t="shared" si="110"/>
        <v>8.115106377299057E-3</v>
      </c>
      <c r="AA860">
        <v>8952477</v>
      </c>
      <c r="AB860">
        <v>12250</v>
      </c>
      <c r="AC860">
        <v>10982760</v>
      </c>
      <c r="AD860" t="s">
        <v>5</v>
      </c>
      <c r="AE860">
        <v>6</v>
      </c>
      <c r="AF860">
        <v>5</v>
      </c>
      <c r="AH860" t="s">
        <v>488</v>
      </c>
      <c r="AI860" t="s">
        <v>3433</v>
      </c>
      <c r="AJ860" t="s">
        <v>3432</v>
      </c>
      <c r="AK860" t="s">
        <v>3431</v>
      </c>
      <c r="AL860">
        <v>10</v>
      </c>
      <c r="AM860" s="5">
        <f t="shared" si="106"/>
        <v>0.34482758620689657</v>
      </c>
      <c r="AN860" s="4">
        <f t="shared" si="111"/>
        <v>5.2226821083967677E-4</v>
      </c>
      <c r="AO860" s="3"/>
      <c r="AP860">
        <v>0</v>
      </c>
      <c r="AR860" t="s">
        <v>1</v>
      </c>
      <c r="AT860" s="2" t="s">
        <v>0</v>
      </c>
      <c r="AU860" s="1">
        <f t="shared" si="107"/>
        <v>0.58372549273612429</v>
      </c>
      <c r="AV860" s="1">
        <f t="shared" si="108"/>
        <v>0.43186872940693666</v>
      </c>
      <c r="AW860" s="1">
        <f t="shared" si="109"/>
        <v>0.28001196607774909</v>
      </c>
    </row>
    <row r="861" spans="1:49" x14ac:dyDescent="0.2">
      <c r="A861">
        <v>859</v>
      </c>
      <c r="B861" t="s">
        <v>3430</v>
      </c>
      <c r="C861" t="s">
        <v>3429</v>
      </c>
      <c r="F861" t="s">
        <v>3428</v>
      </c>
      <c r="G861" t="s">
        <v>15</v>
      </c>
      <c r="H861" t="s">
        <v>14</v>
      </c>
      <c r="I861" t="s">
        <v>3427</v>
      </c>
      <c r="J861">
        <v>60030000</v>
      </c>
      <c r="K861" t="s">
        <v>3426</v>
      </c>
      <c r="L861" t="s">
        <v>3425</v>
      </c>
      <c r="M861" t="s">
        <v>818</v>
      </c>
      <c r="N861">
        <v>1</v>
      </c>
      <c r="O861" t="s">
        <v>3424</v>
      </c>
      <c r="P861">
        <v>7202832083</v>
      </c>
      <c r="Q861">
        <v>60030000</v>
      </c>
      <c r="R861" s="7">
        <v>33970</v>
      </c>
      <c r="S861" s="8">
        <f t="shared" si="104"/>
        <v>1993</v>
      </c>
      <c r="T861" s="8">
        <v>1993</v>
      </c>
      <c r="U861" s="8">
        <f t="shared" si="105"/>
        <v>29</v>
      </c>
      <c r="V861" s="7">
        <v>34060</v>
      </c>
      <c r="W861" t="s">
        <v>299</v>
      </c>
      <c r="X861" s="2">
        <v>0.88100000000000001</v>
      </c>
      <c r="Y861" s="6">
        <f t="shared" si="110"/>
        <v>2.3517791836843653E-2</v>
      </c>
      <c r="AA861">
        <v>10459243</v>
      </c>
      <c r="AB861">
        <v>17248</v>
      </c>
      <c r="AD861" t="s">
        <v>5</v>
      </c>
      <c r="AE861">
        <v>35</v>
      </c>
      <c r="AF861">
        <v>2</v>
      </c>
      <c r="AH861" t="s">
        <v>3423</v>
      </c>
      <c r="AL861">
        <v>1</v>
      </c>
      <c r="AM861" s="5">
        <f t="shared" si="106"/>
        <v>3.4482758620689655E-2</v>
      </c>
      <c r="AN861" s="4">
        <f t="shared" si="111"/>
        <v>5.2226821083967674E-5</v>
      </c>
      <c r="AO861" s="3"/>
      <c r="AP861">
        <v>0</v>
      </c>
      <c r="AR861" t="s">
        <v>1</v>
      </c>
      <c r="AT861" s="2" t="s">
        <v>0</v>
      </c>
      <c r="AU861" s="1">
        <f t="shared" si="107"/>
        <v>1.6478122332115746</v>
      </c>
      <c r="AV861" s="1">
        <f t="shared" si="108"/>
        <v>1.1785009328963809</v>
      </c>
      <c r="AW861" s="1">
        <f t="shared" si="109"/>
        <v>0.70918963258118728</v>
      </c>
    </row>
    <row r="862" spans="1:49" x14ac:dyDescent="0.2">
      <c r="A862">
        <v>860</v>
      </c>
      <c r="B862" t="s">
        <v>3422</v>
      </c>
      <c r="C862" t="s">
        <v>3421</v>
      </c>
      <c r="F862" t="s">
        <v>3420</v>
      </c>
      <c r="G862" t="s">
        <v>15</v>
      </c>
      <c r="H862" t="s">
        <v>14</v>
      </c>
      <c r="I862" t="s">
        <v>3419</v>
      </c>
      <c r="J862" t="s">
        <v>3418</v>
      </c>
      <c r="K862" t="s">
        <v>3417</v>
      </c>
      <c r="L862" t="s">
        <v>3416</v>
      </c>
      <c r="M862" t="s">
        <v>3415</v>
      </c>
      <c r="N862">
        <v>3</v>
      </c>
      <c r="O862" t="s">
        <v>3414</v>
      </c>
      <c r="P862" t="s">
        <v>3413</v>
      </c>
      <c r="Q862" t="s">
        <v>3412</v>
      </c>
      <c r="R862" s="7">
        <v>33970</v>
      </c>
      <c r="S862" s="8">
        <f t="shared" si="104"/>
        <v>1993</v>
      </c>
      <c r="T862" s="8">
        <v>1993</v>
      </c>
      <c r="U862" s="8">
        <f t="shared" si="105"/>
        <v>29</v>
      </c>
      <c r="V862" s="7">
        <v>34060</v>
      </c>
      <c r="W862" t="s">
        <v>814</v>
      </c>
      <c r="X862" s="2">
        <v>1.6519999999999999</v>
      </c>
      <c r="Y862" s="6">
        <f t="shared" si="110"/>
        <v>4.409919649769093E-2</v>
      </c>
      <c r="AA862" t="s">
        <v>813</v>
      </c>
      <c r="AB862">
        <v>17337</v>
      </c>
      <c r="AC862">
        <v>15582221</v>
      </c>
      <c r="AD862" t="s">
        <v>5</v>
      </c>
      <c r="AE862">
        <v>41</v>
      </c>
      <c r="AF862">
        <v>4</v>
      </c>
      <c r="AH862" t="s">
        <v>3411</v>
      </c>
      <c r="AI862" t="s">
        <v>3410</v>
      </c>
      <c r="AK862" t="s">
        <v>3409</v>
      </c>
      <c r="AL862">
        <v>15</v>
      </c>
      <c r="AM862" s="5">
        <f t="shared" si="106"/>
        <v>0.51724137931034486</v>
      </c>
      <c r="AN862" s="4">
        <f t="shared" si="111"/>
        <v>7.834023162595151E-4</v>
      </c>
      <c r="AO862" s="3"/>
      <c r="AP862">
        <v>0</v>
      </c>
      <c r="AR862" t="s">
        <v>1</v>
      </c>
      <c r="AT862" s="2" t="s">
        <v>0</v>
      </c>
      <c r="AU862" s="1">
        <f t="shared" si="107"/>
        <v>3.1104458243261508</v>
      </c>
      <c r="AV862" s="1">
        <f t="shared" si="108"/>
        <v>2.2441299406975221</v>
      </c>
      <c r="AW862" s="1">
        <f t="shared" si="109"/>
        <v>1.3778140570688939</v>
      </c>
    </row>
    <row r="863" spans="1:49" x14ac:dyDescent="0.2">
      <c r="A863">
        <v>861</v>
      </c>
      <c r="B863" t="s">
        <v>3408</v>
      </c>
      <c r="C863" t="s">
        <v>3407</v>
      </c>
      <c r="F863" t="s">
        <v>3406</v>
      </c>
      <c r="G863" t="s">
        <v>15</v>
      </c>
      <c r="H863" t="s">
        <v>14</v>
      </c>
      <c r="I863" t="s">
        <v>3405</v>
      </c>
      <c r="J863">
        <v>60025778</v>
      </c>
      <c r="K863" t="s">
        <v>3404</v>
      </c>
      <c r="L863" t="s">
        <v>1317</v>
      </c>
      <c r="M863" t="s">
        <v>10</v>
      </c>
      <c r="N863">
        <v>3</v>
      </c>
      <c r="O863" t="s">
        <v>3403</v>
      </c>
      <c r="P863" t="s">
        <v>3402</v>
      </c>
      <c r="Q863" t="s">
        <v>3401</v>
      </c>
      <c r="R863" s="7">
        <v>33970</v>
      </c>
      <c r="S863" s="8">
        <f t="shared" si="104"/>
        <v>1993</v>
      </c>
      <c r="T863" s="8">
        <v>1993</v>
      </c>
      <c r="U863" s="8">
        <f t="shared" si="105"/>
        <v>29</v>
      </c>
      <c r="V863" s="7">
        <v>34060</v>
      </c>
      <c r="W863" t="s">
        <v>814</v>
      </c>
      <c r="X863" s="2">
        <v>1.6519999999999999</v>
      </c>
      <c r="Y863" s="6">
        <f t="shared" si="110"/>
        <v>4.409919649769093E-2</v>
      </c>
      <c r="AA863" t="s">
        <v>813</v>
      </c>
      <c r="AB863">
        <v>17337</v>
      </c>
      <c r="AC863">
        <v>15582221</v>
      </c>
      <c r="AD863" t="s">
        <v>5</v>
      </c>
      <c r="AE863">
        <v>41</v>
      </c>
      <c r="AF863">
        <v>4</v>
      </c>
      <c r="AH863" t="s">
        <v>3400</v>
      </c>
      <c r="AI863" t="s">
        <v>3399</v>
      </c>
      <c r="AK863" t="s">
        <v>3398</v>
      </c>
      <c r="AL863">
        <v>26</v>
      </c>
      <c r="AM863" s="5">
        <f t="shared" si="106"/>
        <v>0.89655172413793105</v>
      </c>
      <c r="AN863" s="4">
        <f t="shared" si="111"/>
        <v>1.3578973481831594E-3</v>
      </c>
      <c r="AO863" s="3"/>
      <c r="AP863">
        <v>0</v>
      </c>
      <c r="AR863" t="s">
        <v>1</v>
      </c>
      <c r="AT863" s="2" t="s">
        <v>0</v>
      </c>
      <c r="AU863" s="1">
        <f t="shared" si="107"/>
        <v>3.1276806752838602</v>
      </c>
      <c r="AV863" s="1">
        <f t="shared" si="108"/>
        <v>2.2728546922937043</v>
      </c>
      <c r="AW863" s="1">
        <f t="shared" si="109"/>
        <v>1.4180287093035489</v>
      </c>
    </row>
    <row r="864" spans="1:49" x14ac:dyDescent="0.2">
      <c r="A864">
        <v>862</v>
      </c>
      <c r="B864" t="s">
        <v>3397</v>
      </c>
      <c r="C864" t="s">
        <v>3396</v>
      </c>
      <c r="F864" t="s">
        <v>3395</v>
      </c>
      <c r="G864" t="s">
        <v>15</v>
      </c>
      <c r="H864" t="s">
        <v>14</v>
      </c>
      <c r="I864" t="s">
        <v>3394</v>
      </c>
      <c r="J864">
        <v>60024594</v>
      </c>
      <c r="K864" t="s">
        <v>3393</v>
      </c>
      <c r="L864" t="s">
        <v>3392</v>
      </c>
      <c r="M864" t="s">
        <v>3391</v>
      </c>
      <c r="N864">
        <v>3</v>
      </c>
      <c r="O864" t="s">
        <v>3390</v>
      </c>
      <c r="P864" t="s">
        <v>3389</v>
      </c>
      <c r="Q864" t="s">
        <v>3388</v>
      </c>
      <c r="R864" s="7">
        <v>33970</v>
      </c>
      <c r="S864" s="8">
        <f t="shared" si="104"/>
        <v>1993</v>
      </c>
      <c r="T864" s="8">
        <v>1993</v>
      </c>
      <c r="U864" s="8">
        <f t="shared" si="105"/>
        <v>29</v>
      </c>
      <c r="V864" s="7" t="s">
        <v>3286</v>
      </c>
      <c r="W864" s="11" t="s">
        <v>2393</v>
      </c>
      <c r="X864" s="2">
        <v>2.383</v>
      </c>
      <c r="Y864" s="6">
        <f t="shared" si="110"/>
        <v>6.3612824003630442E-2</v>
      </c>
      <c r="AA864" t="s">
        <v>2392</v>
      </c>
      <c r="AB864">
        <v>101151</v>
      </c>
      <c r="AD864" t="s">
        <v>5</v>
      </c>
      <c r="AE864">
        <v>140</v>
      </c>
      <c r="AF864">
        <v>2</v>
      </c>
      <c r="AH864" t="s">
        <v>3387</v>
      </c>
      <c r="AI864" t="s">
        <v>3386</v>
      </c>
      <c r="AK864" t="s">
        <v>3385</v>
      </c>
      <c r="AL864">
        <v>10</v>
      </c>
      <c r="AM864" s="5">
        <f t="shared" si="106"/>
        <v>0.34482758620689657</v>
      </c>
      <c r="AN864" s="4">
        <f t="shared" si="111"/>
        <v>5.2226821083967677E-4</v>
      </c>
      <c r="AO864" s="3"/>
      <c r="AP864">
        <v>0</v>
      </c>
      <c r="AR864" t="s">
        <v>1</v>
      </c>
      <c r="AT864" s="2" t="s">
        <v>0</v>
      </c>
      <c r="AU864" s="1">
        <f t="shared" si="107"/>
        <v>4.4685657265793211</v>
      </c>
      <c r="AV864" s="1">
        <f t="shared" si="108"/>
        <v>3.2067546107235056</v>
      </c>
      <c r="AW864" s="1">
        <f t="shared" si="109"/>
        <v>1.9449434948676907</v>
      </c>
    </row>
    <row r="865" spans="1:49" x14ac:dyDescent="0.2">
      <c r="A865">
        <v>863</v>
      </c>
      <c r="B865" t="s">
        <v>3384</v>
      </c>
      <c r="C865" t="s">
        <v>3383</v>
      </c>
      <c r="F865" t="s">
        <v>3382</v>
      </c>
      <c r="G865" t="s">
        <v>15</v>
      </c>
      <c r="H865" t="s">
        <v>14</v>
      </c>
      <c r="I865" t="s">
        <v>3381</v>
      </c>
      <c r="J865">
        <v>60020825</v>
      </c>
      <c r="K865" t="s">
        <v>3380</v>
      </c>
      <c r="L865" t="s">
        <v>577</v>
      </c>
      <c r="M865" t="s">
        <v>576</v>
      </c>
      <c r="N865">
        <v>1</v>
      </c>
      <c r="O865" t="s">
        <v>3379</v>
      </c>
      <c r="P865">
        <v>7006117337</v>
      </c>
      <c r="Q865">
        <v>60020825</v>
      </c>
      <c r="R865" s="7">
        <v>33970</v>
      </c>
      <c r="S865" s="8">
        <f t="shared" si="104"/>
        <v>1993</v>
      </c>
      <c r="T865" s="8">
        <v>1993</v>
      </c>
      <c r="U865" s="8">
        <f t="shared" si="105"/>
        <v>29</v>
      </c>
      <c r="V865" s="7">
        <v>34060</v>
      </c>
      <c r="W865" t="s">
        <v>2382</v>
      </c>
      <c r="X865" s="2">
        <v>0.30399999999999999</v>
      </c>
      <c r="Y865" s="6">
        <f t="shared" si="110"/>
        <v>8.115106377299057E-3</v>
      </c>
      <c r="AA865">
        <v>8952477</v>
      </c>
      <c r="AB865">
        <v>12250</v>
      </c>
      <c r="AC865">
        <v>10982760</v>
      </c>
      <c r="AD865" t="s">
        <v>5</v>
      </c>
      <c r="AE865">
        <v>6</v>
      </c>
      <c r="AF865">
        <v>5</v>
      </c>
      <c r="AH865" t="s">
        <v>3378</v>
      </c>
      <c r="AI865" t="s">
        <v>3377</v>
      </c>
      <c r="AJ865" t="s">
        <v>3376</v>
      </c>
      <c r="AK865" t="s">
        <v>3375</v>
      </c>
      <c r="AL865">
        <v>4</v>
      </c>
      <c r="AM865" s="5">
        <f t="shared" si="106"/>
        <v>0.13793103448275862</v>
      </c>
      <c r="AN865" s="4">
        <f t="shared" si="111"/>
        <v>2.089072843358707E-4</v>
      </c>
      <c r="AO865" s="3"/>
      <c r="AP865">
        <v>0</v>
      </c>
      <c r="AR865" t="s">
        <v>1</v>
      </c>
      <c r="AT865" s="2" t="s">
        <v>0</v>
      </c>
      <c r="AU865" s="1">
        <f t="shared" si="107"/>
        <v>0.57432466494101009</v>
      </c>
      <c r="AV865" s="1">
        <f t="shared" si="108"/>
        <v>0.41620068308174635</v>
      </c>
      <c r="AW865" s="1">
        <f t="shared" si="109"/>
        <v>0.25807670122248266</v>
      </c>
    </row>
    <row r="866" spans="1:49" x14ac:dyDescent="0.2">
      <c r="A866">
        <v>864</v>
      </c>
      <c r="B866" t="s">
        <v>3374</v>
      </c>
      <c r="C866" t="s">
        <v>3373</v>
      </c>
      <c r="F866" t="s">
        <v>3372</v>
      </c>
      <c r="G866" t="s">
        <v>15</v>
      </c>
      <c r="H866" t="s">
        <v>14</v>
      </c>
      <c r="I866" t="s">
        <v>3371</v>
      </c>
      <c r="J866" t="s">
        <v>3366</v>
      </c>
      <c r="K866" t="s">
        <v>3370</v>
      </c>
      <c r="L866" t="s">
        <v>3369</v>
      </c>
      <c r="M866" t="s">
        <v>235</v>
      </c>
      <c r="N866">
        <v>2</v>
      </c>
      <c r="O866" t="s">
        <v>3368</v>
      </c>
      <c r="P866" t="s">
        <v>3367</v>
      </c>
      <c r="Q866" t="s">
        <v>3366</v>
      </c>
      <c r="R866" s="7">
        <v>33970</v>
      </c>
      <c r="S866" s="8">
        <f t="shared" si="104"/>
        <v>1993</v>
      </c>
      <c r="T866" s="8">
        <v>1993</v>
      </c>
      <c r="U866" s="8">
        <f t="shared" si="105"/>
        <v>29</v>
      </c>
      <c r="V866" s="7">
        <v>34060</v>
      </c>
      <c r="W866" t="s">
        <v>814</v>
      </c>
      <c r="X866" s="2">
        <v>1.6519999999999999</v>
      </c>
      <c r="Y866" s="6">
        <f t="shared" si="110"/>
        <v>4.409919649769093E-2</v>
      </c>
      <c r="AA866" t="s">
        <v>813</v>
      </c>
      <c r="AB866">
        <v>17337</v>
      </c>
      <c r="AC866">
        <v>15582221</v>
      </c>
      <c r="AD866" t="s">
        <v>5</v>
      </c>
      <c r="AE866">
        <v>41</v>
      </c>
      <c r="AF866">
        <v>4</v>
      </c>
      <c r="AH866" t="s">
        <v>3365</v>
      </c>
      <c r="AI866" t="s">
        <v>3364</v>
      </c>
      <c r="AK866" t="s">
        <v>3363</v>
      </c>
      <c r="AL866">
        <v>55</v>
      </c>
      <c r="AM866" s="5">
        <f t="shared" si="106"/>
        <v>1.896551724137931</v>
      </c>
      <c r="AN866" s="4">
        <f t="shared" si="111"/>
        <v>2.8724751596182221E-3</v>
      </c>
      <c r="AO866" s="3"/>
      <c r="AP866">
        <v>0</v>
      </c>
      <c r="AQ866" t="s">
        <v>639</v>
      </c>
      <c r="AR866" t="s">
        <v>1</v>
      </c>
      <c r="AS866" t="s">
        <v>638</v>
      </c>
      <c r="AT866" s="2" t="s">
        <v>0</v>
      </c>
      <c r="AU866" s="1">
        <f t="shared" si="107"/>
        <v>3.1731180096269114</v>
      </c>
      <c r="AV866" s="1">
        <f t="shared" si="108"/>
        <v>2.3485835828654578</v>
      </c>
      <c r="AW866" s="1">
        <f t="shared" si="109"/>
        <v>1.5240491561040035</v>
      </c>
    </row>
    <row r="867" spans="1:49" x14ac:dyDescent="0.2">
      <c r="A867">
        <v>865</v>
      </c>
      <c r="B867" t="s">
        <v>3362</v>
      </c>
      <c r="C867" t="s">
        <v>3361</v>
      </c>
      <c r="F867" t="s">
        <v>3360</v>
      </c>
      <c r="G867" t="s">
        <v>15</v>
      </c>
      <c r="H867" t="s">
        <v>14</v>
      </c>
      <c r="I867" t="s">
        <v>3359</v>
      </c>
      <c r="J867">
        <v>60005429</v>
      </c>
      <c r="K867" t="s">
        <v>2412</v>
      </c>
      <c r="L867" t="s">
        <v>2411</v>
      </c>
      <c r="M867" t="s">
        <v>1909</v>
      </c>
      <c r="N867">
        <v>3</v>
      </c>
      <c r="O867" t="s">
        <v>3358</v>
      </c>
      <c r="P867" t="s">
        <v>3357</v>
      </c>
      <c r="Q867" t="s">
        <v>2408</v>
      </c>
      <c r="R867" s="7">
        <v>33970</v>
      </c>
      <c r="S867" s="8">
        <f t="shared" si="104"/>
        <v>1993</v>
      </c>
      <c r="T867" s="8">
        <v>1993</v>
      </c>
      <c r="U867" s="8">
        <f t="shared" si="105"/>
        <v>29</v>
      </c>
      <c r="V867" s="7">
        <v>34060</v>
      </c>
      <c r="W867" t="s">
        <v>814</v>
      </c>
      <c r="X867" s="2">
        <v>1.6519999999999999</v>
      </c>
      <c r="Y867" s="6">
        <f t="shared" si="110"/>
        <v>4.409919649769093E-2</v>
      </c>
      <c r="AA867" t="s">
        <v>813</v>
      </c>
      <c r="AB867">
        <v>17337</v>
      </c>
      <c r="AC867">
        <v>15582221</v>
      </c>
      <c r="AD867" t="s">
        <v>5</v>
      </c>
      <c r="AE867">
        <v>41</v>
      </c>
      <c r="AF867">
        <v>4</v>
      </c>
      <c r="AH867" t="s">
        <v>3356</v>
      </c>
      <c r="AI867" t="s">
        <v>3355</v>
      </c>
      <c r="AK867" t="s">
        <v>3354</v>
      </c>
      <c r="AL867">
        <v>1</v>
      </c>
      <c r="AM867" s="5">
        <f t="shared" si="106"/>
        <v>3.4482758620689655E-2</v>
      </c>
      <c r="AN867" s="4">
        <f t="shared" si="111"/>
        <v>5.2226821083967674E-5</v>
      </c>
      <c r="AO867" s="3"/>
      <c r="AP867">
        <v>0</v>
      </c>
      <c r="AR867" t="s">
        <v>3353</v>
      </c>
      <c r="AT867" s="2" t="s">
        <v>0</v>
      </c>
      <c r="AU867" s="1">
        <f t="shared" si="107"/>
        <v>3.0885105594708842</v>
      </c>
      <c r="AV867" s="1">
        <f t="shared" si="108"/>
        <v>2.2075711659387447</v>
      </c>
      <c r="AW867" s="1">
        <f t="shared" si="109"/>
        <v>1.3266317724066055</v>
      </c>
    </row>
    <row r="868" spans="1:49" x14ac:dyDescent="0.2">
      <c r="A868">
        <v>866</v>
      </c>
      <c r="B868" t="s">
        <v>3352</v>
      </c>
      <c r="C868" t="s">
        <v>3351</v>
      </c>
      <c r="F868" t="s">
        <v>3350</v>
      </c>
      <c r="G868" t="s">
        <v>15</v>
      </c>
      <c r="H868" t="s">
        <v>14</v>
      </c>
      <c r="I868" t="s">
        <v>3349</v>
      </c>
      <c r="J868" t="s">
        <v>3348</v>
      </c>
      <c r="K868" t="s">
        <v>3347</v>
      </c>
      <c r="L868" t="s">
        <v>3346</v>
      </c>
      <c r="M868" t="s">
        <v>235</v>
      </c>
      <c r="N868">
        <v>2</v>
      </c>
      <c r="O868" t="s">
        <v>3345</v>
      </c>
      <c r="P868" t="s">
        <v>3344</v>
      </c>
      <c r="Q868" t="s">
        <v>3343</v>
      </c>
      <c r="R868" s="7">
        <v>33970</v>
      </c>
      <c r="S868" s="8">
        <f t="shared" si="104"/>
        <v>1993</v>
      </c>
      <c r="T868" s="8">
        <v>1993</v>
      </c>
      <c r="U868" s="8">
        <f t="shared" si="105"/>
        <v>29</v>
      </c>
      <c r="V868" s="7">
        <v>34060</v>
      </c>
      <c r="W868" t="s">
        <v>2382</v>
      </c>
      <c r="X868" s="2">
        <v>0.30399999999999999</v>
      </c>
      <c r="Y868" s="6">
        <f t="shared" si="110"/>
        <v>8.115106377299057E-3</v>
      </c>
      <c r="AA868">
        <v>8952477</v>
      </c>
      <c r="AB868">
        <v>12250</v>
      </c>
      <c r="AC868">
        <v>10982760</v>
      </c>
      <c r="AD868" t="s">
        <v>5</v>
      </c>
      <c r="AE868">
        <v>6</v>
      </c>
      <c r="AF868">
        <v>5</v>
      </c>
      <c r="AH868" t="s">
        <v>3342</v>
      </c>
      <c r="AI868" t="s">
        <v>3341</v>
      </c>
      <c r="AJ868" t="s">
        <v>3340</v>
      </c>
      <c r="AK868" t="s">
        <v>3339</v>
      </c>
      <c r="AL868">
        <v>5</v>
      </c>
      <c r="AM868" s="5">
        <f t="shared" si="106"/>
        <v>0.17241379310344829</v>
      </c>
      <c r="AN868" s="4">
        <f t="shared" si="111"/>
        <v>2.6113410541983838E-4</v>
      </c>
      <c r="AO868" s="3"/>
      <c r="AP868">
        <v>0</v>
      </c>
      <c r="AR868" t="s">
        <v>1</v>
      </c>
      <c r="AT868" s="2" t="s">
        <v>0</v>
      </c>
      <c r="AU868" s="1">
        <f t="shared" si="107"/>
        <v>0.5758914695735291</v>
      </c>
      <c r="AV868" s="1">
        <f t="shared" si="108"/>
        <v>0.41881202413594482</v>
      </c>
      <c r="AW868" s="1">
        <f t="shared" si="109"/>
        <v>0.26173257869836042</v>
      </c>
    </row>
    <row r="869" spans="1:49" x14ac:dyDescent="0.2">
      <c r="A869">
        <v>867</v>
      </c>
      <c r="B869" t="s">
        <v>3338</v>
      </c>
      <c r="C869" t="s">
        <v>3337</v>
      </c>
      <c r="F869" t="s">
        <v>3336</v>
      </c>
      <c r="G869" t="s">
        <v>15</v>
      </c>
      <c r="H869" t="s">
        <v>14</v>
      </c>
      <c r="I869" t="s">
        <v>3335</v>
      </c>
      <c r="J869">
        <v>60027550</v>
      </c>
      <c r="K869" t="s">
        <v>1833</v>
      </c>
      <c r="L869" t="s">
        <v>1832</v>
      </c>
      <c r="M869" t="s">
        <v>10</v>
      </c>
      <c r="N869">
        <v>2</v>
      </c>
      <c r="O869" t="s">
        <v>3334</v>
      </c>
      <c r="P869" t="s">
        <v>3333</v>
      </c>
      <c r="Q869" t="s">
        <v>3332</v>
      </c>
      <c r="R869" s="7">
        <v>33970</v>
      </c>
      <c r="S869" s="8">
        <f t="shared" si="104"/>
        <v>1993</v>
      </c>
      <c r="T869" s="8">
        <v>1993</v>
      </c>
      <c r="U869" s="8">
        <f t="shared" si="105"/>
        <v>29</v>
      </c>
      <c r="V869" s="7">
        <v>34060</v>
      </c>
      <c r="W869" t="s">
        <v>814</v>
      </c>
      <c r="X869" s="2">
        <v>1.6519999999999999</v>
      </c>
      <c r="Y869" s="6">
        <f t="shared" si="110"/>
        <v>4.409919649769093E-2</v>
      </c>
      <c r="AA869" t="s">
        <v>813</v>
      </c>
      <c r="AB869">
        <v>17337</v>
      </c>
      <c r="AC869">
        <v>15582221</v>
      </c>
      <c r="AD869" t="s">
        <v>5</v>
      </c>
      <c r="AE869">
        <v>41</v>
      </c>
      <c r="AF869">
        <v>4</v>
      </c>
      <c r="AH869" t="s">
        <v>3331</v>
      </c>
      <c r="AI869" t="s">
        <v>3330</v>
      </c>
      <c r="AK869" t="s">
        <v>3329</v>
      </c>
      <c r="AL869">
        <v>6</v>
      </c>
      <c r="AM869" s="5">
        <f t="shared" si="106"/>
        <v>0.20689655172413793</v>
      </c>
      <c r="AN869" s="4">
        <f t="shared" si="111"/>
        <v>3.1336092650380602E-4</v>
      </c>
      <c r="AO869" s="3"/>
      <c r="AP869">
        <v>0</v>
      </c>
      <c r="AR869" t="s">
        <v>1</v>
      </c>
      <c r="AT869" s="2" t="s">
        <v>0</v>
      </c>
      <c r="AU869" s="1">
        <f t="shared" si="107"/>
        <v>3.096344582633479</v>
      </c>
      <c r="AV869" s="1">
        <f t="shared" si="108"/>
        <v>2.2206278712097367</v>
      </c>
      <c r="AW869" s="1">
        <f t="shared" si="109"/>
        <v>1.3449111597859942</v>
      </c>
    </row>
    <row r="870" spans="1:49" x14ac:dyDescent="0.2">
      <c r="A870">
        <v>868</v>
      </c>
      <c r="B870" t="s">
        <v>3328</v>
      </c>
      <c r="C870" t="s">
        <v>3327</v>
      </c>
      <c r="F870" t="s">
        <v>3326</v>
      </c>
      <c r="G870" t="s">
        <v>15</v>
      </c>
      <c r="H870" t="s">
        <v>14</v>
      </c>
      <c r="I870" t="s">
        <v>3325</v>
      </c>
      <c r="J870">
        <v>60009037</v>
      </c>
      <c r="K870" t="s">
        <v>647</v>
      </c>
      <c r="L870" t="s">
        <v>646</v>
      </c>
      <c r="M870" t="s">
        <v>10</v>
      </c>
      <c r="N870">
        <v>5</v>
      </c>
      <c r="O870" t="s">
        <v>3324</v>
      </c>
      <c r="P870" t="s">
        <v>3323</v>
      </c>
      <c r="Q870" t="s">
        <v>3322</v>
      </c>
      <c r="R870" s="7">
        <v>33970</v>
      </c>
      <c r="S870" s="8">
        <f t="shared" si="104"/>
        <v>1993</v>
      </c>
      <c r="T870" s="8">
        <v>1993</v>
      </c>
      <c r="U870" s="8">
        <f t="shared" si="105"/>
        <v>29</v>
      </c>
      <c r="V870" s="7">
        <v>34060</v>
      </c>
      <c r="W870" t="s">
        <v>548</v>
      </c>
      <c r="X870" s="2">
        <v>1.3720000000000001</v>
      </c>
      <c r="Y870" s="6">
        <f t="shared" si="110"/>
        <v>3.662475641333654E-2</v>
      </c>
      <c r="AA870">
        <v>189480</v>
      </c>
      <c r="AB870">
        <v>17366</v>
      </c>
      <c r="AC870">
        <v>15579670</v>
      </c>
      <c r="AD870" t="s">
        <v>5</v>
      </c>
      <c r="AE870">
        <v>41</v>
      </c>
      <c r="AF870">
        <v>4</v>
      </c>
      <c r="AH870" t="s">
        <v>3321</v>
      </c>
      <c r="AI870" t="s">
        <v>3320</v>
      </c>
      <c r="AK870" t="s">
        <v>3319</v>
      </c>
      <c r="AL870">
        <v>12</v>
      </c>
      <c r="AM870" s="5">
        <f t="shared" si="106"/>
        <v>0.41379310344827586</v>
      </c>
      <c r="AN870" s="4">
        <f t="shared" si="111"/>
        <v>6.2672185300761203E-4</v>
      </c>
      <c r="AO870" s="3"/>
      <c r="AP870">
        <v>0</v>
      </c>
      <c r="AR870" t="s">
        <v>1</v>
      </c>
      <c r="AT870" s="2" t="s">
        <v>0</v>
      </c>
      <c r="AU870" s="1">
        <f t="shared" si="107"/>
        <v>2.582534604523786</v>
      </c>
      <c r="AV870" s="1">
        <f t="shared" si="108"/>
        <v>1.8625739133172077</v>
      </c>
      <c r="AW870" s="1">
        <f t="shared" si="109"/>
        <v>1.1426132221106291</v>
      </c>
    </row>
    <row r="871" spans="1:49" x14ac:dyDescent="0.2">
      <c r="A871">
        <v>869</v>
      </c>
      <c r="B871" t="s">
        <v>3318</v>
      </c>
      <c r="C871" t="s">
        <v>3317</v>
      </c>
      <c r="F871" t="s">
        <v>3316</v>
      </c>
      <c r="G871" t="s">
        <v>15</v>
      </c>
      <c r="H871" t="s">
        <v>14</v>
      </c>
      <c r="I871" t="s">
        <v>3315</v>
      </c>
      <c r="J871" t="s">
        <v>3310</v>
      </c>
      <c r="K871" t="s">
        <v>3314</v>
      </c>
      <c r="L871" t="s">
        <v>3313</v>
      </c>
      <c r="M871" t="s">
        <v>219</v>
      </c>
      <c r="N871">
        <v>3</v>
      </c>
      <c r="O871" t="s">
        <v>3312</v>
      </c>
      <c r="P871" t="s">
        <v>3311</v>
      </c>
      <c r="Q871" t="s">
        <v>3310</v>
      </c>
      <c r="R871" s="7">
        <v>33970</v>
      </c>
      <c r="S871" s="8">
        <f t="shared" si="104"/>
        <v>1993</v>
      </c>
      <c r="T871" s="8">
        <v>1993</v>
      </c>
      <c r="U871" s="8">
        <f t="shared" si="105"/>
        <v>29</v>
      </c>
      <c r="V871" s="7">
        <v>34060</v>
      </c>
      <c r="W871" t="s">
        <v>1284</v>
      </c>
      <c r="X871" s="2">
        <v>0.33500000000000002</v>
      </c>
      <c r="Y871" s="6">
        <f t="shared" si="110"/>
        <v>8.94263367235258E-3</v>
      </c>
      <c r="AA871">
        <v>10501827</v>
      </c>
      <c r="AB871">
        <v>78233</v>
      </c>
      <c r="AC871">
        <v>15226301</v>
      </c>
      <c r="AD871" t="s">
        <v>5</v>
      </c>
      <c r="AE871">
        <v>3</v>
      </c>
      <c r="AF871">
        <v>2</v>
      </c>
      <c r="AH871" t="s">
        <v>3309</v>
      </c>
      <c r="AI871" t="s">
        <v>3308</v>
      </c>
      <c r="AK871" t="s">
        <v>3307</v>
      </c>
      <c r="AL871">
        <v>2</v>
      </c>
      <c r="AM871" s="5">
        <f t="shared" si="106"/>
        <v>6.8965517241379309E-2</v>
      </c>
      <c r="AN871" s="4">
        <f t="shared" si="111"/>
        <v>1.0445364216793535E-4</v>
      </c>
      <c r="AO871" s="3"/>
      <c r="AP871">
        <v>0</v>
      </c>
      <c r="AR871" t="s">
        <v>1</v>
      </c>
      <c r="AT871" s="2" t="s">
        <v>0</v>
      </c>
      <c r="AU871" s="1">
        <f t="shared" si="107"/>
        <v>0.62911796632971861</v>
      </c>
      <c r="AV871" s="1">
        <f t="shared" si="108"/>
        <v>0.45235436572602583</v>
      </c>
      <c r="AW871" s="1">
        <f t="shared" si="109"/>
        <v>0.27559076512233288</v>
      </c>
    </row>
    <row r="872" spans="1:49" x14ac:dyDescent="0.2">
      <c r="A872">
        <v>870</v>
      </c>
      <c r="B872" t="s">
        <v>3306</v>
      </c>
      <c r="C872" t="s">
        <v>3305</v>
      </c>
      <c r="F872" t="s">
        <v>3304</v>
      </c>
      <c r="G872" t="s">
        <v>15</v>
      </c>
      <c r="H872" t="s">
        <v>14</v>
      </c>
      <c r="I872" t="s">
        <v>3303</v>
      </c>
      <c r="J872">
        <v>60101699</v>
      </c>
      <c r="K872" t="s">
        <v>3302</v>
      </c>
      <c r="L872" t="s">
        <v>151</v>
      </c>
      <c r="M872" t="s">
        <v>150</v>
      </c>
      <c r="N872">
        <v>4</v>
      </c>
      <c r="O872" t="s">
        <v>3301</v>
      </c>
      <c r="P872" t="s">
        <v>3300</v>
      </c>
      <c r="Q872" t="s">
        <v>3299</v>
      </c>
      <c r="R872" s="7">
        <v>33970</v>
      </c>
      <c r="S872" s="8">
        <f t="shared" si="104"/>
        <v>1993</v>
      </c>
      <c r="T872" s="8">
        <v>1993</v>
      </c>
      <c r="U872" s="8">
        <f t="shared" si="105"/>
        <v>29</v>
      </c>
      <c r="V872" s="7" t="s">
        <v>3286</v>
      </c>
      <c r="W872" s="11" t="s">
        <v>2393</v>
      </c>
      <c r="X872" s="2">
        <v>2.383</v>
      </c>
      <c r="Y872" s="6">
        <f t="shared" si="110"/>
        <v>6.3612824003630442E-2</v>
      </c>
      <c r="AA872" t="s">
        <v>2392</v>
      </c>
      <c r="AB872">
        <v>101151</v>
      </c>
      <c r="AD872" t="s">
        <v>5</v>
      </c>
      <c r="AE872">
        <v>140</v>
      </c>
      <c r="AF872">
        <v>2</v>
      </c>
      <c r="AH872" t="s">
        <v>3298</v>
      </c>
      <c r="AI872" t="s">
        <v>3297</v>
      </c>
      <c r="AK872" t="s">
        <v>3296</v>
      </c>
      <c r="AL872">
        <v>14</v>
      </c>
      <c r="AM872" s="5">
        <f t="shared" si="106"/>
        <v>0.48275862068965519</v>
      </c>
      <c r="AN872" s="4">
        <f t="shared" si="111"/>
        <v>7.3117549517554741E-4</v>
      </c>
      <c r="AO872" s="3"/>
      <c r="AP872">
        <v>0</v>
      </c>
      <c r="AR872" t="s">
        <v>1</v>
      </c>
      <c r="AT872" s="2" t="s">
        <v>0</v>
      </c>
      <c r="AU872" s="1">
        <f t="shared" si="107"/>
        <v>4.4748329451093971</v>
      </c>
      <c r="AV872" s="1">
        <f t="shared" si="108"/>
        <v>3.2171999749403</v>
      </c>
      <c r="AW872" s="1">
        <f t="shared" si="109"/>
        <v>1.9595670047712015</v>
      </c>
    </row>
    <row r="873" spans="1:49" x14ac:dyDescent="0.2">
      <c r="A873">
        <v>871</v>
      </c>
      <c r="B873" t="s">
        <v>3295</v>
      </c>
      <c r="C873" t="s">
        <v>3294</v>
      </c>
      <c r="F873" t="s">
        <v>3293</v>
      </c>
      <c r="G873" t="s">
        <v>15</v>
      </c>
      <c r="H873" t="s">
        <v>14</v>
      </c>
      <c r="I873" t="s">
        <v>3292</v>
      </c>
      <c r="J873">
        <v>60004750</v>
      </c>
      <c r="K873" t="s">
        <v>3291</v>
      </c>
      <c r="L873" t="s">
        <v>3290</v>
      </c>
      <c r="M873" t="s">
        <v>576</v>
      </c>
      <c r="N873">
        <v>3</v>
      </c>
      <c r="O873" t="s">
        <v>3289</v>
      </c>
      <c r="P873" t="s">
        <v>3288</v>
      </c>
      <c r="Q873" t="s">
        <v>3287</v>
      </c>
      <c r="R873" s="7">
        <v>33970</v>
      </c>
      <c r="S873" s="8">
        <f t="shared" si="104"/>
        <v>1993</v>
      </c>
      <c r="T873" s="8">
        <v>1993</v>
      </c>
      <c r="U873" s="8">
        <f t="shared" si="105"/>
        <v>29</v>
      </c>
      <c r="V873" s="7" t="s">
        <v>3286</v>
      </c>
      <c r="W873" s="11" t="s">
        <v>2393</v>
      </c>
      <c r="X873" s="2">
        <v>2.383</v>
      </c>
      <c r="Y873" s="6">
        <f t="shared" si="110"/>
        <v>6.3612824003630442E-2</v>
      </c>
      <c r="AA873" t="s">
        <v>2392</v>
      </c>
      <c r="AB873">
        <v>101151</v>
      </c>
      <c r="AD873" t="s">
        <v>5</v>
      </c>
      <c r="AE873">
        <v>140</v>
      </c>
      <c r="AF873">
        <v>2</v>
      </c>
      <c r="AH873" t="s">
        <v>3285</v>
      </c>
      <c r="AI873" t="s">
        <v>3284</v>
      </c>
      <c r="AK873" t="s">
        <v>3283</v>
      </c>
      <c r="AL873">
        <v>12</v>
      </c>
      <c r="AM873" s="5">
        <f t="shared" si="106"/>
        <v>0.41379310344827586</v>
      </c>
      <c r="AN873" s="4">
        <f t="shared" si="111"/>
        <v>6.2672185300761203E-4</v>
      </c>
      <c r="AO873" s="3"/>
      <c r="AP873">
        <v>0</v>
      </c>
      <c r="AR873" t="s">
        <v>1</v>
      </c>
      <c r="AT873" s="2" t="s">
        <v>0</v>
      </c>
      <c r="AU873" s="1">
        <f t="shared" si="107"/>
        <v>4.4716993358443595</v>
      </c>
      <c r="AV873" s="1">
        <f t="shared" si="108"/>
        <v>3.2119772928319024</v>
      </c>
      <c r="AW873" s="1">
        <f t="shared" si="109"/>
        <v>1.9522552498194461</v>
      </c>
    </row>
    <row r="874" spans="1:49" x14ac:dyDescent="0.2">
      <c r="A874">
        <v>872</v>
      </c>
      <c r="B874" t="s">
        <v>3282</v>
      </c>
      <c r="C874" t="s">
        <v>3281</v>
      </c>
      <c r="F874" t="s">
        <v>3280</v>
      </c>
      <c r="G874" t="s">
        <v>15</v>
      </c>
      <c r="H874" t="s">
        <v>14</v>
      </c>
      <c r="I874" t="s">
        <v>3279</v>
      </c>
      <c r="J874">
        <v>100352200</v>
      </c>
      <c r="K874" t="s">
        <v>3278</v>
      </c>
      <c r="L874" t="s">
        <v>3277</v>
      </c>
      <c r="M874" t="s">
        <v>10</v>
      </c>
      <c r="N874">
        <v>1</v>
      </c>
      <c r="O874" t="s">
        <v>3276</v>
      </c>
      <c r="P874">
        <v>7402429405</v>
      </c>
      <c r="Q874">
        <v>100352200</v>
      </c>
      <c r="R874" s="7">
        <v>33970</v>
      </c>
      <c r="S874" s="8">
        <f t="shared" si="104"/>
        <v>1993</v>
      </c>
      <c r="T874" s="8">
        <v>1993</v>
      </c>
      <c r="U874" s="8">
        <f t="shared" si="105"/>
        <v>29</v>
      </c>
      <c r="V874" s="7">
        <v>34060</v>
      </c>
      <c r="W874" t="s">
        <v>1246</v>
      </c>
      <c r="X874" s="2">
        <v>0.39600000000000002</v>
      </c>
      <c r="Y874" s="6">
        <f t="shared" si="110"/>
        <v>1.0570993833586931E-2</v>
      </c>
      <c r="AA874">
        <v>8858985</v>
      </c>
      <c r="AB874">
        <v>25993</v>
      </c>
      <c r="AD874" t="s">
        <v>5</v>
      </c>
      <c r="AE874">
        <v>8</v>
      </c>
      <c r="AF874">
        <v>4</v>
      </c>
      <c r="AH874" s="10">
        <v>42064</v>
      </c>
      <c r="AI874" t="s">
        <v>3275</v>
      </c>
      <c r="AK874" t="s">
        <v>3274</v>
      </c>
      <c r="AL874">
        <v>14</v>
      </c>
      <c r="AM874" s="5">
        <f t="shared" si="106"/>
        <v>0.48275862068965519</v>
      </c>
      <c r="AN874" s="4">
        <f t="shared" si="111"/>
        <v>7.3117549517554741E-4</v>
      </c>
      <c r="AO874" s="3"/>
      <c r="AP874">
        <v>0</v>
      </c>
      <c r="AR874" t="s">
        <v>1</v>
      </c>
      <c r="AT874" s="2" t="s">
        <v>0</v>
      </c>
      <c r="AU874" s="1">
        <f t="shared" si="107"/>
        <v>0.76190483320635161</v>
      </c>
      <c r="AV874" s="1">
        <f t="shared" si="108"/>
        <v>0.56510846643812396</v>
      </c>
      <c r="AW874" s="1">
        <f t="shared" si="109"/>
        <v>0.36831209966989625</v>
      </c>
    </row>
    <row r="875" spans="1:49" x14ac:dyDescent="0.2">
      <c r="A875">
        <v>873</v>
      </c>
      <c r="B875" t="s">
        <v>3273</v>
      </c>
      <c r="C875" t="s">
        <v>3272</v>
      </c>
      <c r="F875" t="s">
        <v>3271</v>
      </c>
      <c r="G875" t="s">
        <v>15</v>
      </c>
      <c r="H875" t="s">
        <v>14</v>
      </c>
      <c r="I875" t="s">
        <v>2756</v>
      </c>
      <c r="J875" t="s">
        <v>3270</v>
      </c>
      <c r="K875" t="s">
        <v>3269</v>
      </c>
      <c r="L875" t="s">
        <v>3268</v>
      </c>
      <c r="M875" t="s">
        <v>1148</v>
      </c>
      <c r="N875">
        <v>3</v>
      </c>
      <c r="O875" t="s">
        <v>3267</v>
      </c>
      <c r="P875" t="s">
        <v>3266</v>
      </c>
      <c r="Q875" t="s">
        <v>3265</v>
      </c>
      <c r="R875" s="7">
        <v>33970</v>
      </c>
      <c r="S875" s="8">
        <f t="shared" si="104"/>
        <v>1993</v>
      </c>
      <c r="T875" s="8">
        <v>1993</v>
      </c>
      <c r="U875" s="8">
        <f t="shared" si="105"/>
        <v>29</v>
      </c>
      <c r="V875" s="7">
        <v>34060</v>
      </c>
      <c r="W875" t="s">
        <v>814</v>
      </c>
      <c r="X875" s="2">
        <v>1.6519999999999999</v>
      </c>
      <c r="Y875" s="6">
        <f t="shared" si="110"/>
        <v>4.409919649769093E-2</v>
      </c>
      <c r="AA875" t="s">
        <v>813</v>
      </c>
      <c r="AB875">
        <v>17337</v>
      </c>
      <c r="AC875">
        <v>15582221</v>
      </c>
      <c r="AD875" t="s">
        <v>5</v>
      </c>
      <c r="AE875">
        <v>41</v>
      </c>
      <c r="AF875">
        <v>4</v>
      </c>
      <c r="AH875" t="s">
        <v>3264</v>
      </c>
      <c r="AI875" t="s">
        <v>3263</v>
      </c>
      <c r="AK875" t="s">
        <v>3262</v>
      </c>
      <c r="AL875">
        <v>38</v>
      </c>
      <c r="AM875" s="5">
        <f t="shared" si="106"/>
        <v>1.3103448275862069</v>
      </c>
      <c r="AN875" s="4">
        <f t="shared" si="111"/>
        <v>1.9846192011907715E-3</v>
      </c>
      <c r="AO875" s="3"/>
      <c r="AP875">
        <v>0</v>
      </c>
      <c r="AR875" t="s">
        <v>1</v>
      </c>
      <c r="AT875" s="2" t="s">
        <v>0</v>
      </c>
      <c r="AU875" s="1">
        <f t="shared" si="107"/>
        <v>3.1464823308740884</v>
      </c>
      <c r="AV875" s="1">
        <f t="shared" si="108"/>
        <v>2.304190784944085</v>
      </c>
      <c r="AW875" s="1">
        <f t="shared" si="109"/>
        <v>1.4618992390140817</v>
      </c>
    </row>
    <row r="876" spans="1:49" x14ac:dyDescent="0.2">
      <c r="A876">
        <v>874</v>
      </c>
      <c r="B876" t="s">
        <v>3261</v>
      </c>
      <c r="C876" t="s">
        <v>3260</v>
      </c>
      <c r="F876" t="s">
        <v>3259</v>
      </c>
      <c r="G876" t="s">
        <v>15</v>
      </c>
      <c r="H876" t="s">
        <v>14</v>
      </c>
      <c r="I876" t="s">
        <v>3258</v>
      </c>
      <c r="J876" t="s">
        <v>3257</v>
      </c>
      <c r="K876" t="s">
        <v>3256</v>
      </c>
      <c r="L876" t="s">
        <v>3255</v>
      </c>
      <c r="M876" t="s">
        <v>235</v>
      </c>
      <c r="N876">
        <v>2</v>
      </c>
      <c r="O876" t="s">
        <v>3254</v>
      </c>
      <c r="P876" t="s">
        <v>3253</v>
      </c>
      <c r="Q876" t="s">
        <v>3252</v>
      </c>
      <c r="R876" s="7">
        <v>33970</v>
      </c>
      <c r="S876" s="8">
        <f t="shared" si="104"/>
        <v>1993</v>
      </c>
      <c r="T876" s="8">
        <v>1993</v>
      </c>
      <c r="U876" s="8">
        <f t="shared" si="105"/>
        <v>29</v>
      </c>
      <c r="V876" s="7">
        <v>34060</v>
      </c>
      <c r="W876" t="s">
        <v>548</v>
      </c>
      <c r="X876" s="2">
        <v>1.3720000000000001</v>
      </c>
      <c r="Y876" s="6">
        <f t="shared" si="110"/>
        <v>3.662475641333654E-2</v>
      </c>
      <c r="AA876">
        <v>189480</v>
      </c>
      <c r="AB876">
        <v>17366</v>
      </c>
      <c r="AC876">
        <v>15579670</v>
      </c>
      <c r="AD876" t="s">
        <v>5</v>
      </c>
      <c r="AE876">
        <v>41</v>
      </c>
      <c r="AF876">
        <v>4</v>
      </c>
      <c r="AH876" t="s">
        <v>3251</v>
      </c>
      <c r="AI876" t="s">
        <v>3250</v>
      </c>
      <c r="AK876" t="s">
        <v>3249</v>
      </c>
      <c r="AL876">
        <v>38</v>
      </c>
      <c r="AM876" s="5">
        <f t="shared" si="106"/>
        <v>1.3103448275862069</v>
      </c>
      <c r="AN876" s="4">
        <f t="shared" si="111"/>
        <v>1.9846192011907715E-3</v>
      </c>
      <c r="AO876" s="3"/>
      <c r="AP876">
        <v>0</v>
      </c>
      <c r="AR876" t="s">
        <v>1</v>
      </c>
      <c r="AT876" s="2" t="s">
        <v>0</v>
      </c>
      <c r="AU876" s="1">
        <f t="shared" si="107"/>
        <v>2.6232715249692808</v>
      </c>
      <c r="AV876" s="1">
        <f t="shared" si="108"/>
        <v>1.9304687807263656</v>
      </c>
      <c r="AW876" s="1">
        <f t="shared" si="109"/>
        <v>1.2376660364834502</v>
      </c>
    </row>
    <row r="877" spans="1:49" x14ac:dyDescent="0.2">
      <c r="A877">
        <v>875</v>
      </c>
      <c r="B877" t="s">
        <v>3248</v>
      </c>
      <c r="C877" t="s">
        <v>3247</v>
      </c>
      <c r="F877" t="s">
        <v>3246</v>
      </c>
      <c r="G877" t="s">
        <v>15</v>
      </c>
      <c r="H877" t="s">
        <v>14</v>
      </c>
      <c r="I877" t="s">
        <v>3245</v>
      </c>
      <c r="J877">
        <v>60068535</v>
      </c>
      <c r="K877" t="s">
        <v>1452</v>
      </c>
      <c r="L877" t="s">
        <v>1451</v>
      </c>
      <c r="M877" t="s">
        <v>1450</v>
      </c>
      <c r="N877">
        <v>2</v>
      </c>
      <c r="O877" t="s">
        <v>3244</v>
      </c>
      <c r="P877" t="s">
        <v>3243</v>
      </c>
      <c r="Q877" t="s">
        <v>1447</v>
      </c>
      <c r="R877" s="7">
        <v>33970</v>
      </c>
      <c r="S877" s="8">
        <f t="shared" si="104"/>
        <v>1993</v>
      </c>
      <c r="T877" s="8">
        <v>1993</v>
      </c>
      <c r="U877" s="8">
        <f t="shared" si="105"/>
        <v>29</v>
      </c>
      <c r="V877" s="7">
        <v>33970</v>
      </c>
      <c r="W877" t="s">
        <v>1446</v>
      </c>
      <c r="X877" s="2">
        <v>0.22500000000000001</v>
      </c>
      <c r="Y877" s="6">
        <f t="shared" si="110"/>
        <v>6.0062464963562111E-3</v>
      </c>
      <c r="AA877">
        <v>2726343</v>
      </c>
      <c r="AB877">
        <v>16128</v>
      </c>
      <c r="AC877" t="s">
        <v>1445</v>
      </c>
      <c r="AD877" t="s">
        <v>5</v>
      </c>
      <c r="AE877">
        <v>13</v>
      </c>
      <c r="AF877">
        <v>2</v>
      </c>
      <c r="AH877" t="s">
        <v>3242</v>
      </c>
      <c r="AI877" t="s">
        <v>3241</v>
      </c>
      <c r="AK877" t="s">
        <v>3240</v>
      </c>
      <c r="AL877">
        <v>0</v>
      </c>
      <c r="AM877" s="5">
        <f t="shared" si="106"/>
        <v>0</v>
      </c>
      <c r="AN877" s="4">
        <f t="shared" si="111"/>
        <v>0</v>
      </c>
      <c r="AO877" s="3"/>
      <c r="AP877">
        <v>0</v>
      </c>
      <c r="AR877" t="s">
        <v>1</v>
      </c>
      <c r="AT877" s="2">
        <v>1.099</v>
      </c>
      <c r="AU877" s="1">
        <f t="shared" si="107"/>
        <v>0.42043725474493476</v>
      </c>
      <c r="AV877" s="1">
        <f t="shared" si="108"/>
        <v>0.30031232481781056</v>
      </c>
      <c r="AW877" s="1">
        <f t="shared" si="109"/>
        <v>0.18018739489068633</v>
      </c>
    </row>
    <row r="878" spans="1:49" x14ac:dyDescent="0.2">
      <c r="A878">
        <v>876</v>
      </c>
      <c r="B878" t="s">
        <v>3239</v>
      </c>
      <c r="C878" t="s">
        <v>3238</v>
      </c>
      <c r="F878" t="s">
        <v>3237</v>
      </c>
      <c r="G878" t="s">
        <v>15</v>
      </c>
      <c r="H878" t="s">
        <v>14</v>
      </c>
      <c r="I878" t="s">
        <v>3236</v>
      </c>
      <c r="J878">
        <v>60013965</v>
      </c>
      <c r="K878" t="s">
        <v>3235</v>
      </c>
      <c r="L878" t="s">
        <v>3234</v>
      </c>
      <c r="M878" t="s">
        <v>10</v>
      </c>
      <c r="N878">
        <v>1</v>
      </c>
      <c r="O878" t="s">
        <v>3233</v>
      </c>
      <c r="P878">
        <v>7202507940</v>
      </c>
      <c r="Q878">
        <v>60013965</v>
      </c>
      <c r="R878" s="7">
        <v>33970</v>
      </c>
      <c r="S878" s="8">
        <f t="shared" si="104"/>
        <v>1993</v>
      </c>
      <c r="T878" s="8">
        <v>1993</v>
      </c>
      <c r="U878" s="8">
        <f t="shared" si="105"/>
        <v>29</v>
      </c>
      <c r="V878" s="7">
        <v>34060</v>
      </c>
      <c r="W878" t="s">
        <v>587</v>
      </c>
      <c r="X878" s="2">
        <v>1.137</v>
      </c>
      <c r="Y878" s="6">
        <f t="shared" si="110"/>
        <v>3.0351565628253384E-2</v>
      </c>
      <c r="AA878">
        <v>189251</v>
      </c>
      <c r="AB878">
        <v>17336</v>
      </c>
      <c r="AD878" t="s">
        <v>5</v>
      </c>
      <c r="AE878">
        <v>29</v>
      </c>
      <c r="AF878">
        <v>2</v>
      </c>
      <c r="AH878" t="s">
        <v>3232</v>
      </c>
      <c r="AI878" t="s">
        <v>3231</v>
      </c>
      <c r="AK878" t="s">
        <v>3230</v>
      </c>
      <c r="AL878">
        <v>14</v>
      </c>
      <c r="AM878" s="5">
        <f t="shared" si="106"/>
        <v>0.48275862068965519</v>
      </c>
      <c r="AN878" s="4">
        <f t="shared" si="111"/>
        <v>7.3117549517554741E-4</v>
      </c>
      <c r="AO878" s="3"/>
      <c r="AP878">
        <v>0</v>
      </c>
      <c r="AR878" t="s">
        <v>1</v>
      </c>
      <c r="AT878" s="2" t="s">
        <v>0</v>
      </c>
      <c r="AU878" s="1">
        <f t="shared" si="107"/>
        <v>2.1465448588330034</v>
      </c>
      <c r="AV878" s="1">
        <f t="shared" si="108"/>
        <v>1.5541370561714465</v>
      </c>
      <c r="AW878" s="1">
        <f t="shared" si="109"/>
        <v>0.96172925350988991</v>
      </c>
    </row>
    <row r="879" spans="1:49" x14ac:dyDescent="0.2">
      <c r="A879">
        <v>877</v>
      </c>
      <c r="B879" t="s">
        <v>3229</v>
      </c>
      <c r="C879" t="s">
        <v>3228</v>
      </c>
      <c r="F879" t="s">
        <v>3227</v>
      </c>
      <c r="G879" t="s">
        <v>15</v>
      </c>
      <c r="H879" t="s">
        <v>14</v>
      </c>
      <c r="I879" t="s">
        <v>3226</v>
      </c>
      <c r="J879">
        <v>60029738</v>
      </c>
      <c r="K879" t="s">
        <v>3225</v>
      </c>
      <c r="L879" t="s">
        <v>3224</v>
      </c>
      <c r="M879" t="s">
        <v>493</v>
      </c>
      <c r="N879">
        <v>2</v>
      </c>
      <c r="O879" t="s">
        <v>3223</v>
      </c>
      <c r="P879" t="s">
        <v>3222</v>
      </c>
      <c r="Q879" t="s">
        <v>3221</v>
      </c>
      <c r="R879" s="7">
        <v>33970</v>
      </c>
      <c r="S879" s="8">
        <f t="shared" si="104"/>
        <v>1993</v>
      </c>
      <c r="T879" s="8">
        <v>1993</v>
      </c>
      <c r="U879" s="8">
        <f t="shared" si="105"/>
        <v>29</v>
      </c>
      <c r="V879" s="7">
        <v>34060</v>
      </c>
      <c r="W879" t="s">
        <v>2382</v>
      </c>
      <c r="X879" s="2">
        <v>0.30399999999999999</v>
      </c>
      <c r="Y879" s="6">
        <f t="shared" si="110"/>
        <v>8.115106377299057E-3</v>
      </c>
      <c r="AA879">
        <v>8952477</v>
      </c>
      <c r="AB879">
        <v>12250</v>
      </c>
      <c r="AC879">
        <v>10982760</v>
      </c>
      <c r="AD879" t="s">
        <v>5</v>
      </c>
      <c r="AE879">
        <v>6</v>
      </c>
      <c r="AF879">
        <v>5</v>
      </c>
      <c r="AH879" t="s">
        <v>3220</v>
      </c>
      <c r="AI879" t="s">
        <v>3219</v>
      </c>
      <c r="AJ879" t="s">
        <v>3218</v>
      </c>
      <c r="AK879" t="s">
        <v>3217</v>
      </c>
      <c r="AL879">
        <v>3</v>
      </c>
      <c r="AM879" s="5">
        <f t="shared" si="106"/>
        <v>0.10344827586206896</v>
      </c>
      <c r="AN879" s="4">
        <f t="shared" si="111"/>
        <v>1.5668046325190301E-4</v>
      </c>
      <c r="AO879" s="3"/>
      <c r="AP879">
        <v>0</v>
      </c>
      <c r="AR879" t="s">
        <v>1</v>
      </c>
      <c r="AT879" s="2" t="s">
        <v>0</v>
      </c>
      <c r="AU879" s="1">
        <f t="shared" si="107"/>
        <v>0.57275786030849107</v>
      </c>
      <c r="AV879" s="1">
        <f t="shared" si="108"/>
        <v>0.41358934202754799</v>
      </c>
      <c r="AW879" s="1">
        <f t="shared" si="109"/>
        <v>0.25442082374660496</v>
      </c>
    </row>
    <row r="880" spans="1:49" x14ac:dyDescent="0.2">
      <c r="A880">
        <v>878</v>
      </c>
      <c r="B880" t="s">
        <v>3216</v>
      </c>
      <c r="C880" t="s">
        <v>3215</v>
      </c>
      <c r="F880" t="s">
        <v>3214</v>
      </c>
      <c r="G880" t="s">
        <v>15</v>
      </c>
      <c r="H880" t="s">
        <v>14</v>
      </c>
      <c r="I880" t="s">
        <v>3213</v>
      </c>
      <c r="J880">
        <v>60005465</v>
      </c>
      <c r="K880" t="s">
        <v>3212</v>
      </c>
      <c r="L880" t="s">
        <v>3211</v>
      </c>
      <c r="M880" t="s">
        <v>463</v>
      </c>
      <c r="N880">
        <v>2</v>
      </c>
      <c r="O880" t="s">
        <v>3210</v>
      </c>
      <c r="P880" t="s">
        <v>3209</v>
      </c>
      <c r="Q880" t="s">
        <v>3208</v>
      </c>
      <c r="R880" s="7">
        <v>33970</v>
      </c>
      <c r="S880" s="8">
        <f t="shared" si="104"/>
        <v>1993</v>
      </c>
      <c r="T880" s="8">
        <v>1993</v>
      </c>
      <c r="U880" s="8">
        <f t="shared" si="105"/>
        <v>29</v>
      </c>
      <c r="V880" s="7">
        <v>34029</v>
      </c>
      <c r="W880" t="s">
        <v>868</v>
      </c>
      <c r="X880" s="2">
        <v>0.375</v>
      </c>
      <c r="Y880" s="6">
        <f t="shared" si="110"/>
        <v>1.0010410827260351E-2</v>
      </c>
      <c r="AA880">
        <v>135194</v>
      </c>
      <c r="AB880">
        <v>24918</v>
      </c>
      <c r="AD880" t="s">
        <v>5</v>
      </c>
      <c r="AE880">
        <v>29</v>
      </c>
      <c r="AF880">
        <v>6</v>
      </c>
      <c r="AH880" t="s">
        <v>3207</v>
      </c>
      <c r="AI880" t="s">
        <v>3206</v>
      </c>
      <c r="AJ880" t="s">
        <v>3205</v>
      </c>
      <c r="AK880" t="s">
        <v>3204</v>
      </c>
      <c r="AL880">
        <v>4</v>
      </c>
      <c r="AM880" s="5">
        <f t="shared" si="106"/>
        <v>0.13793103448275862</v>
      </c>
      <c r="AN880" s="4">
        <f t="shared" si="111"/>
        <v>2.089072843358707E-4</v>
      </c>
      <c r="AO880" s="3"/>
      <c r="AP880">
        <v>0</v>
      </c>
      <c r="AR880" t="s">
        <v>1</v>
      </c>
      <c r="AT880" s="2">
        <v>1.3140000000000001</v>
      </c>
      <c r="AU880" s="1">
        <f t="shared" si="107"/>
        <v>0.7069959764383007</v>
      </c>
      <c r="AV880" s="1">
        <f t="shared" si="108"/>
        <v>0.51096590557981103</v>
      </c>
      <c r="AW880" s="1">
        <f t="shared" si="109"/>
        <v>0.31493583472132147</v>
      </c>
    </row>
    <row r="881" spans="1:49" x14ac:dyDescent="0.2">
      <c r="A881">
        <v>879</v>
      </c>
      <c r="B881" t="s">
        <v>3203</v>
      </c>
      <c r="C881" t="s">
        <v>3202</v>
      </c>
      <c r="F881" t="s">
        <v>3201</v>
      </c>
      <c r="G881" t="s">
        <v>15</v>
      </c>
      <c r="H881" t="s">
        <v>14</v>
      </c>
      <c r="I881" t="s">
        <v>3200</v>
      </c>
      <c r="J881">
        <v>60020547</v>
      </c>
      <c r="K881" t="s">
        <v>3199</v>
      </c>
      <c r="L881" t="s">
        <v>3198</v>
      </c>
      <c r="M881" t="s">
        <v>10</v>
      </c>
      <c r="N881">
        <v>3</v>
      </c>
      <c r="O881" t="s">
        <v>3197</v>
      </c>
      <c r="P881" t="s">
        <v>3196</v>
      </c>
      <c r="Q881" t="s">
        <v>3195</v>
      </c>
      <c r="R881" s="7">
        <v>33970</v>
      </c>
      <c r="S881" s="8">
        <f t="shared" si="104"/>
        <v>1993</v>
      </c>
      <c r="T881" s="8">
        <v>1993</v>
      </c>
      <c r="U881" s="8">
        <f t="shared" si="105"/>
        <v>29</v>
      </c>
      <c r="V881" s="7">
        <v>34029</v>
      </c>
      <c r="W881" t="s">
        <v>868</v>
      </c>
      <c r="X881" s="2">
        <v>0.375</v>
      </c>
      <c r="Y881" s="6">
        <f t="shared" si="110"/>
        <v>1.0010410827260351E-2</v>
      </c>
      <c r="AA881">
        <v>135194</v>
      </c>
      <c r="AB881">
        <v>24918</v>
      </c>
      <c r="AD881" t="s">
        <v>5</v>
      </c>
      <c r="AE881">
        <v>29</v>
      </c>
      <c r="AF881">
        <v>6</v>
      </c>
      <c r="AH881" t="s">
        <v>3194</v>
      </c>
      <c r="AI881" t="s">
        <v>3193</v>
      </c>
      <c r="AJ881" t="s">
        <v>3192</v>
      </c>
      <c r="AK881" t="s">
        <v>3191</v>
      </c>
      <c r="AL881">
        <v>9</v>
      </c>
      <c r="AM881" s="5">
        <f t="shared" si="106"/>
        <v>0.31034482758620691</v>
      </c>
      <c r="AN881" s="4">
        <f t="shared" si="111"/>
        <v>4.7004138975570908E-4</v>
      </c>
      <c r="AO881" s="3"/>
      <c r="AP881">
        <v>0</v>
      </c>
      <c r="AR881" t="s">
        <v>1</v>
      </c>
      <c r="AT881" s="2">
        <v>1.3140000000000001</v>
      </c>
      <c r="AU881" s="1">
        <f t="shared" si="107"/>
        <v>0.71482999960089588</v>
      </c>
      <c r="AV881" s="1">
        <f t="shared" si="108"/>
        <v>0.52402261085080304</v>
      </c>
      <c r="AW881" s="1">
        <f t="shared" si="109"/>
        <v>0.33321522210071014</v>
      </c>
    </row>
    <row r="882" spans="1:49" x14ac:dyDescent="0.2">
      <c r="A882">
        <v>880</v>
      </c>
      <c r="B882" t="s">
        <v>3190</v>
      </c>
      <c r="C882" t="s">
        <v>3189</v>
      </c>
      <c r="F882" t="s">
        <v>3188</v>
      </c>
      <c r="G882" t="s">
        <v>15</v>
      </c>
      <c r="H882" t="s">
        <v>14</v>
      </c>
      <c r="I882" t="s">
        <v>3187</v>
      </c>
      <c r="J882" t="s">
        <v>3186</v>
      </c>
      <c r="K882" t="s">
        <v>3185</v>
      </c>
      <c r="L882" t="s">
        <v>3184</v>
      </c>
      <c r="M882" t="s">
        <v>3183</v>
      </c>
      <c r="N882">
        <v>4</v>
      </c>
      <c r="O882" t="s">
        <v>3182</v>
      </c>
      <c r="P882" t="s">
        <v>3181</v>
      </c>
      <c r="Q882" t="s">
        <v>3180</v>
      </c>
      <c r="R882" s="7">
        <v>33970</v>
      </c>
      <c r="S882" s="8">
        <f t="shared" si="104"/>
        <v>1993</v>
      </c>
      <c r="T882" s="8">
        <v>1993</v>
      </c>
      <c r="U882" s="8">
        <f t="shared" si="105"/>
        <v>29</v>
      </c>
      <c r="V882" s="7">
        <v>34029</v>
      </c>
      <c r="W882" t="s">
        <v>868</v>
      </c>
      <c r="X882" s="2">
        <v>0.375</v>
      </c>
      <c r="Y882" s="6">
        <f t="shared" si="110"/>
        <v>1.0010410827260351E-2</v>
      </c>
      <c r="AA882">
        <v>135194</v>
      </c>
      <c r="AB882">
        <v>24918</v>
      </c>
      <c r="AD882" t="s">
        <v>5</v>
      </c>
      <c r="AE882">
        <v>29</v>
      </c>
      <c r="AF882">
        <v>6</v>
      </c>
      <c r="AH882" t="s">
        <v>3179</v>
      </c>
      <c r="AI882" t="s">
        <v>3178</v>
      </c>
      <c r="AJ882" t="s">
        <v>3177</v>
      </c>
      <c r="AK882" t="s">
        <v>3176</v>
      </c>
      <c r="AL882">
        <v>2</v>
      </c>
      <c r="AM882" s="5">
        <f t="shared" si="106"/>
        <v>6.8965517241379309E-2</v>
      </c>
      <c r="AN882" s="4">
        <f t="shared" si="111"/>
        <v>1.0445364216793535E-4</v>
      </c>
      <c r="AO882" s="3"/>
      <c r="AP882">
        <v>0</v>
      </c>
      <c r="AR882" t="s">
        <v>1</v>
      </c>
      <c r="AT882" s="2">
        <v>1.3140000000000001</v>
      </c>
      <c r="AU882" s="1">
        <f t="shared" si="107"/>
        <v>0.70386236717326256</v>
      </c>
      <c r="AV882" s="1">
        <f t="shared" si="108"/>
        <v>0.50574322347141432</v>
      </c>
      <c r="AW882" s="1">
        <f t="shared" si="109"/>
        <v>0.30762407976956602</v>
      </c>
    </row>
    <row r="883" spans="1:49" x14ac:dyDescent="0.2">
      <c r="A883">
        <v>881</v>
      </c>
      <c r="B883" t="s">
        <v>3175</v>
      </c>
      <c r="C883" t="s">
        <v>3174</v>
      </c>
      <c r="F883" t="s">
        <v>3173</v>
      </c>
      <c r="G883" t="s">
        <v>15</v>
      </c>
      <c r="H883" t="s">
        <v>14</v>
      </c>
      <c r="I883" t="s">
        <v>3172</v>
      </c>
      <c r="J883" t="s">
        <v>3167</v>
      </c>
      <c r="K883" t="s">
        <v>3171</v>
      </c>
      <c r="L883" t="s">
        <v>3170</v>
      </c>
      <c r="M883" t="s">
        <v>235</v>
      </c>
      <c r="N883">
        <v>2</v>
      </c>
      <c r="O883" t="s">
        <v>3169</v>
      </c>
      <c r="P883" t="s">
        <v>3168</v>
      </c>
      <c r="Q883" t="s">
        <v>3167</v>
      </c>
      <c r="R883" s="7">
        <v>33970</v>
      </c>
      <c r="S883" s="8">
        <f t="shared" si="104"/>
        <v>1993</v>
      </c>
      <c r="T883" s="8">
        <v>1993</v>
      </c>
      <c r="U883" s="8">
        <f t="shared" si="105"/>
        <v>29</v>
      </c>
      <c r="V883" s="7">
        <v>34029</v>
      </c>
      <c r="W883" t="s">
        <v>548</v>
      </c>
      <c r="X883" s="2">
        <v>1.3720000000000001</v>
      </c>
      <c r="Y883" s="6">
        <f t="shared" si="110"/>
        <v>3.662475641333654E-2</v>
      </c>
      <c r="AA883">
        <v>189480</v>
      </c>
      <c r="AB883">
        <v>17366</v>
      </c>
      <c r="AC883">
        <v>15579670</v>
      </c>
      <c r="AD883" t="s">
        <v>5</v>
      </c>
      <c r="AE883">
        <v>41</v>
      </c>
      <c r="AF883">
        <v>3</v>
      </c>
      <c r="AH883" t="s">
        <v>3166</v>
      </c>
      <c r="AI883" t="s">
        <v>3165</v>
      </c>
      <c r="AK883" t="s">
        <v>3164</v>
      </c>
      <c r="AL883">
        <v>29</v>
      </c>
      <c r="AM883" s="5">
        <f t="shared" si="106"/>
        <v>1</v>
      </c>
      <c r="AN883" s="4">
        <f t="shared" si="111"/>
        <v>1.5145778114350624E-3</v>
      </c>
      <c r="AO883" s="3"/>
      <c r="AP883">
        <v>0</v>
      </c>
      <c r="AR883" t="s">
        <v>1</v>
      </c>
      <c r="AT883" s="2" t="s">
        <v>0</v>
      </c>
      <c r="AU883" s="1">
        <f t="shared" si="107"/>
        <v>2.6091702832766095</v>
      </c>
      <c r="AV883" s="1">
        <f t="shared" si="108"/>
        <v>1.90696671123858</v>
      </c>
      <c r="AW883" s="1">
        <f t="shared" si="109"/>
        <v>1.2047631392005507</v>
      </c>
    </row>
    <row r="884" spans="1:49" x14ac:dyDescent="0.2">
      <c r="A884">
        <v>882</v>
      </c>
      <c r="B884" t="s">
        <v>3163</v>
      </c>
      <c r="C884" t="s">
        <v>3162</v>
      </c>
      <c r="F884" t="s">
        <v>3161</v>
      </c>
      <c r="G884" t="s">
        <v>15</v>
      </c>
      <c r="H884" t="s">
        <v>14</v>
      </c>
      <c r="I884" t="s">
        <v>3160</v>
      </c>
      <c r="J884">
        <v>60032350</v>
      </c>
      <c r="K884" t="s">
        <v>3159</v>
      </c>
      <c r="L884" t="s">
        <v>3158</v>
      </c>
      <c r="M884" t="s">
        <v>2423</v>
      </c>
      <c r="N884">
        <v>1</v>
      </c>
      <c r="O884" t="s">
        <v>3157</v>
      </c>
      <c r="P884">
        <v>7004398705</v>
      </c>
      <c r="Q884">
        <v>60032350</v>
      </c>
      <c r="R884" s="7">
        <v>33970</v>
      </c>
      <c r="S884" s="8">
        <f t="shared" si="104"/>
        <v>1993</v>
      </c>
      <c r="T884" s="8">
        <v>1993</v>
      </c>
      <c r="U884" s="8">
        <f t="shared" si="105"/>
        <v>29</v>
      </c>
      <c r="V884" s="7">
        <v>34048</v>
      </c>
      <c r="W884" t="s">
        <v>2382</v>
      </c>
      <c r="X884" s="2">
        <v>0.30399999999999999</v>
      </c>
      <c r="Y884" s="6">
        <f t="shared" si="110"/>
        <v>8.115106377299057E-3</v>
      </c>
      <c r="AA884">
        <v>8952477</v>
      </c>
      <c r="AB884">
        <v>12250</v>
      </c>
      <c r="AC884">
        <v>10982760</v>
      </c>
      <c r="AD884" t="s">
        <v>5</v>
      </c>
      <c r="AE884">
        <v>6</v>
      </c>
      <c r="AF884">
        <v>4</v>
      </c>
      <c r="AH884" t="s">
        <v>3156</v>
      </c>
      <c r="AI884" t="s">
        <v>3155</v>
      </c>
      <c r="AJ884" t="s">
        <v>3154</v>
      </c>
      <c r="AK884" t="s">
        <v>3153</v>
      </c>
      <c r="AL884">
        <v>2</v>
      </c>
      <c r="AM884" s="5">
        <f t="shared" si="106"/>
        <v>6.8965517241379309E-2</v>
      </c>
      <c r="AN884" s="4">
        <f t="shared" si="111"/>
        <v>1.0445364216793535E-4</v>
      </c>
      <c r="AO884" s="3"/>
      <c r="AP884">
        <v>0</v>
      </c>
      <c r="AR884" t="s">
        <v>1</v>
      </c>
      <c r="AT884" s="2" t="s">
        <v>0</v>
      </c>
      <c r="AU884" s="1">
        <f t="shared" si="107"/>
        <v>0.57119105567597195</v>
      </c>
      <c r="AV884" s="1">
        <f t="shared" si="108"/>
        <v>0.41097800097334963</v>
      </c>
      <c r="AW884" s="1">
        <f t="shared" si="109"/>
        <v>0.25076494627072721</v>
      </c>
    </row>
    <row r="885" spans="1:49" x14ac:dyDescent="0.2">
      <c r="A885">
        <v>883</v>
      </c>
      <c r="B885" t="s">
        <v>3152</v>
      </c>
      <c r="C885" t="s">
        <v>3151</v>
      </c>
      <c r="F885" t="s">
        <v>3150</v>
      </c>
      <c r="G885" t="s">
        <v>15</v>
      </c>
      <c r="H885" t="s">
        <v>14</v>
      </c>
      <c r="I885" t="s">
        <v>3149</v>
      </c>
      <c r="J885">
        <v>60018394</v>
      </c>
      <c r="K885" t="s">
        <v>3148</v>
      </c>
      <c r="L885" t="s">
        <v>3147</v>
      </c>
      <c r="M885" t="s">
        <v>10</v>
      </c>
      <c r="N885">
        <v>1</v>
      </c>
      <c r="O885" t="s">
        <v>3146</v>
      </c>
      <c r="P885">
        <v>57213119762</v>
      </c>
      <c r="Q885">
        <v>60018394</v>
      </c>
      <c r="R885" s="7">
        <v>33970</v>
      </c>
      <c r="S885" s="8">
        <f t="shared" si="104"/>
        <v>1993</v>
      </c>
      <c r="T885" s="8">
        <v>1993</v>
      </c>
      <c r="U885" s="8">
        <f t="shared" si="105"/>
        <v>29</v>
      </c>
      <c r="V885" s="7">
        <v>34029</v>
      </c>
      <c r="W885" t="s">
        <v>1424</v>
      </c>
      <c r="X885" s="2">
        <v>0.62</v>
      </c>
      <c r="Y885" s="6">
        <f t="shared" si="110"/>
        <v>1.6550545901070447E-2</v>
      </c>
      <c r="AA885">
        <v>189464</v>
      </c>
      <c r="AB885">
        <v>17364</v>
      </c>
      <c r="AC885">
        <v>19410069</v>
      </c>
      <c r="AD885" t="s">
        <v>5</v>
      </c>
      <c r="AE885">
        <v>29</v>
      </c>
      <c r="AF885">
        <v>2</v>
      </c>
      <c r="AH885" t="s">
        <v>3145</v>
      </c>
      <c r="AI885" t="s">
        <v>3144</v>
      </c>
      <c r="AK885" t="s">
        <v>3143</v>
      </c>
      <c r="AL885">
        <v>0</v>
      </c>
      <c r="AM885" s="5">
        <f t="shared" si="106"/>
        <v>0</v>
      </c>
      <c r="AN885" s="4">
        <f t="shared" si="111"/>
        <v>0</v>
      </c>
      <c r="AO885" s="3"/>
      <c r="AP885">
        <v>0</v>
      </c>
      <c r="AR885" t="s">
        <v>1</v>
      </c>
      <c r="AT885" s="2">
        <v>1.7</v>
      </c>
      <c r="AU885" s="1">
        <f t="shared" si="107"/>
        <v>1.1585382130749313</v>
      </c>
      <c r="AV885" s="1">
        <f t="shared" si="108"/>
        <v>0.8275272950535224</v>
      </c>
      <c r="AW885" s="1">
        <f t="shared" si="109"/>
        <v>0.49651637703211338</v>
      </c>
    </row>
    <row r="886" spans="1:49" x14ac:dyDescent="0.2">
      <c r="A886">
        <v>884</v>
      </c>
      <c r="B886" t="s">
        <v>3142</v>
      </c>
      <c r="C886" t="s">
        <v>3141</v>
      </c>
      <c r="F886" t="s">
        <v>3140</v>
      </c>
      <c r="G886" t="s">
        <v>15</v>
      </c>
      <c r="H886" t="s">
        <v>14</v>
      </c>
      <c r="I886" t="s">
        <v>3139</v>
      </c>
      <c r="J886" t="s">
        <v>3138</v>
      </c>
      <c r="K886" t="s">
        <v>3137</v>
      </c>
      <c r="L886" t="s">
        <v>3136</v>
      </c>
      <c r="M886" t="s">
        <v>235</v>
      </c>
      <c r="N886">
        <v>3</v>
      </c>
      <c r="O886" t="s">
        <v>3135</v>
      </c>
      <c r="P886" t="s">
        <v>3134</v>
      </c>
      <c r="Q886" t="s">
        <v>3133</v>
      </c>
      <c r="R886" s="7">
        <v>33970</v>
      </c>
      <c r="S886" s="8">
        <f t="shared" si="104"/>
        <v>1993</v>
      </c>
      <c r="T886" s="8">
        <v>1993</v>
      </c>
      <c r="U886" s="8">
        <f t="shared" si="105"/>
        <v>29</v>
      </c>
      <c r="V886" s="7">
        <v>34029</v>
      </c>
      <c r="W886" t="s">
        <v>800</v>
      </c>
      <c r="X886" s="2">
        <v>1.468</v>
      </c>
      <c r="Y886" s="6">
        <f t="shared" si="110"/>
        <v>3.9187421585115186E-2</v>
      </c>
      <c r="AA886">
        <v>906778</v>
      </c>
      <c r="AB886">
        <v>18931</v>
      </c>
      <c r="AD886" t="s">
        <v>5</v>
      </c>
      <c r="AE886">
        <v>41</v>
      </c>
      <c r="AF886">
        <v>3</v>
      </c>
      <c r="AH886" t="s">
        <v>3132</v>
      </c>
      <c r="AI886" t="s">
        <v>3131</v>
      </c>
      <c r="AK886" t="s">
        <v>3130</v>
      </c>
      <c r="AL886">
        <v>92</v>
      </c>
      <c r="AM886" s="5">
        <f t="shared" si="106"/>
        <v>3.1724137931034484</v>
      </c>
      <c r="AN886" s="4">
        <f t="shared" si="111"/>
        <v>4.8048675397250259E-3</v>
      </c>
      <c r="AO886" s="3"/>
      <c r="AP886">
        <v>0</v>
      </c>
      <c r="AQ886" t="s">
        <v>1358</v>
      </c>
      <c r="AR886" t="s">
        <v>3129</v>
      </c>
      <c r="AS886" t="s">
        <v>1356</v>
      </c>
      <c r="AT886" s="2">
        <v>5.0830000000000002</v>
      </c>
      <c r="AU886" s="1">
        <f t="shared" si="107"/>
        <v>2.8872655371498137</v>
      </c>
      <c r="AV886" s="1">
        <f t="shared" si="108"/>
        <v>2.1996144562420108</v>
      </c>
      <c r="AW886" s="1">
        <f t="shared" si="109"/>
        <v>1.5119633753342072</v>
      </c>
    </row>
    <row r="887" spans="1:49" x14ac:dyDescent="0.2">
      <c r="A887">
        <v>885</v>
      </c>
      <c r="B887" t="s">
        <v>3128</v>
      </c>
      <c r="C887" t="s">
        <v>3127</v>
      </c>
      <c r="F887" t="s">
        <v>3126</v>
      </c>
      <c r="G887" t="s">
        <v>15</v>
      </c>
      <c r="H887" t="s">
        <v>14</v>
      </c>
      <c r="I887" t="s">
        <v>3125</v>
      </c>
      <c r="J887">
        <v>60008524</v>
      </c>
      <c r="K887" t="s">
        <v>3124</v>
      </c>
      <c r="L887" t="s">
        <v>3123</v>
      </c>
      <c r="M887" t="s">
        <v>493</v>
      </c>
      <c r="N887">
        <v>2</v>
      </c>
      <c r="O887" t="s">
        <v>3122</v>
      </c>
      <c r="P887" t="s">
        <v>3121</v>
      </c>
      <c r="Q887" t="s">
        <v>3120</v>
      </c>
      <c r="R887" s="7">
        <v>33970</v>
      </c>
      <c r="S887" s="8">
        <f t="shared" si="104"/>
        <v>1993</v>
      </c>
      <c r="T887" s="8">
        <v>1993</v>
      </c>
      <c r="U887" s="8">
        <f t="shared" si="105"/>
        <v>29</v>
      </c>
      <c r="V887" s="7" t="s">
        <v>3029</v>
      </c>
      <c r="W887" t="s">
        <v>906</v>
      </c>
      <c r="X887" s="2">
        <v>0.33800000000000002</v>
      </c>
      <c r="Y887" s="6">
        <f t="shared" si="110"/>
        <v>9.0227169589706634E-3</v>
      </c>
      <c r="AA887">
        <v>7372884</v>
      </c>
      <c r="AB887">
        <v>70506</v>
      </c>
      <c r="AC887">
        <v>10991247</v>
      </c>
      <c r="AD887" t="s">
        <v>5</v>
      </c>
      <c r="AE887">
        <v>11</v>
      </c>
      <c r="AF887">
        <v>2</v>
      </c>
      <c r="AH887" t="s">
        <v>3119</v>
      </c>
      <c r="AI887" t="s">
        <v>3118</v>
      </c>
      <c r="AJ887" t="s">
        <v>3117</v>
      </c>
      <c r="AK887" t="s">
        <v>3116</v>
      </c>
      <c r="AL887">
        <v>16</v>
      </c>
      <c r="AM887" s="5">
        <f t="shared" si="106"/>
        <v>0.55172413793103448</v>
      </c>
      <c r="AN887" s="4">
        <f t="shared" si="111"/>
        <v>8.3562913734348278E-4</v>
      </c>
      <c r="AO887" s="3"/>
      <c r="AP887">
        <v>0</v>
      </c>
      <c r="AR887" t="s">
        <v>1</v>
      </c>
      <c r="AT887" s="2" t="s">
        <v>0</v>
      </c>
      <c r="AU887" s="1">
        <f t="shared" si="107"/>
        <v>0.65665906124825091</v>
      </c>
      <c r="AV887" s="1">
        <f t="shared" si="108"/>
        <v>0.49291730481570734</v>
      </c>
      <c r="AW887" s="1">
        <f t="shared" si="109"/>
        <v>0.32917554838316365</v>
      </c>
    </row>
    <row r="888" spans="1:49" x14ac:dyDescent="0.2">
      <c r="A888">
        <v>886</v>
      </c>
      <c r="B888" t="s">
        <v>3115</v>
      </c>
      <c r="C888" t="s">
        <v>3114</v>
      </c>
      <c r="F888" t="s">
        <v>3113</v>
      </c>
      <c r="G888" t="s">
        <v>15</v>
      </c>
      <c r="H888" t="s">
        <v>14</v>
      </c>
      <c r="I888" t="s">
        <v>3112</v>
      </c>
      <c r="J888">
        <v>60028552</v>
      </c>
      <c r="K888" t="s">
        <v>3111</v>
      </c>
      <c r="L888" t="s">
        <v>3110</v>
      </c>
      <c r="M888" t="s">
        <v>10</v>
      </c>
      <c r="N888">
        <v>2</v>
      </c>
      <c r="O888" t="s">
        <v>3109</v>
      </c>
      <c r="P888" t="s">
        <v>3108</v>
      </c>
      <c r="Q888" t="s">
        <v>3107</v>
      </c>
      <c r="R888" s="7">
        <v>33970</v>
      </c>
      <c r="S888" s="8">
        <f t="shared" si="104"/>
        <v>1993</v>
      </c>
      <c r="T888" s="8">
        <v>1993</v>
      </c>
      <c r="U888" s="8">
        <f t="shared" si="105"/>
        <v>29</v>
      </c>
      <c r="V888" s="7" t="s">
        <v>2928</v>
      </c>
      <c r="W888" t="s">
        <v>642</v>
      </c>
      <c r="X888" s="2">
        <v>1.573</v>
      </c>
      <c r="Y888" s="6">
        <f t="shared" si="110"/>
        <v>4.1990336616748086E-2</v>
      </c>
      <c r="AA888">
        <v>7315090</v>
      </c>
      <c r="AB888">
        <v>29586</v>
      </c>
      <c r="AD888" t="s">
        <v>5</v>
      </c>
      <c r="AE888">
        <v>16</v>
      </c>
      <c r="AF888">
        <v>2</v>
      </c>
      <c r="AH888" t="s">
        <v>3106</v>
      </c>
      <c r="AI888" t="s">
        <v>3105</v>
      </c>
      <c r="AK888" t="s">
        <v>3104</v>
      </c>
      <c r="AL888">
        <v>4</v>
      </c>
      <c r="AM888" s="5">
        <f t="shared" si="106"/>
        <v>0.13793103448275862</v>
      </c>
      <c r="AN888" s="4">
        <f t="shared" si="111"/>
        <v>2.089072843358707E-4</v>
      </c>
      <c r="AO888" s="3"/>
      <c r="AP888">
        <v>0</v>
      </c>
      <c r="AR888" t="s">
        <v>1</v>
      </c>
      <c r="AT888" s="2" t="s">
        <v>0</v>
      </c>
      <c r="AU888" s="1">
        <f t="shared" si="107"/>
        <v>2.945590781702442</v>
      </c>
      <c r="AV888" s="1">
        <f t="shared" si="108"/>
        <v>2.1099621950541976</v>
      </c>
      <c r="AW888" s="1">
        <f t="shared" si="109"/>
        <v>1.2743336084059536</v>
      </c>
    </row>
    <row r="889" spans="1:49" x14ac:dyDescent="0.2">
      <c r="A889">
        <v>887</v>
      </c>
      <c r="B889" t="s">
        <v>3103</v>
      </c>
      <c r="C889" t="s">
        <v>3102</v>
      </c>
      <c r="F889" t="s">
        <v>3101</v>
      </c>
      <c r="G889" t="s">
        <v>15</v>
      </c>
      <c r="H889" t="s">
        <v>14</v>
      </c>
      <c r="I889" t="s">
        <v>3100</v>
      </c>
      <c r="J889" t="s">
        <v>3099</v>
      </c>
      <c r="K889" t="s">
        <v>3098</v>
      </c>
      <c r="L889" t="s">
        <v>3097</v>
      </c>
      <c r="M889" t="s">
        <v>235</v>
      </c>
      <c r="N889">
        <v>4</v>
      </c>
      <c r="O889" t="s">
        <v>3096</v>
      </c>
      <c r="P889" t="s">
        <v>3095</v>
      </c>
      <c r="Q889" t="s">
        <v>3094</v>
      </c>
      <c r="R889" s="7">
        <v>33970</v>
      </c>
      <c r="S889" s="8">
        <f t="shared" si="104"/>
        <v>1993</v>
      </c>
      <c r="T889" s="8">
        <v>1993</v>
      </c>
      <c r="U889" s="8">
        <f t="shared" si="105"/>
        <v>29</v>
      </c>
      <c r="V889" s="7">
        <v>34048</v>
      </c>
      <c r="W889" t="s">
        <v>2382</v>
      </c>
      <c r="X889" s="2">
        <v>0.30399999999999999</v>
      </c>
      <c r="Y889" s="6">
        <f t="shared" si="110"/>
        <v>8.115106377299057E-3</v>
      </c>
      <c r="AA889">
        <v>8952477</v>
      </c>
      <c r="AB889">
        <v>12250</v>
      </c>
      <c r="AC889">
        <v>10982760</v>
      </c>
      <c r="AD889" t="s">
        <v>5</v>
      </c>
      <c r="AE889">
        <v>6</v>
      </c>
      <c r="AF889">
        <v>4</v>
      </c>
      <c r="AH889" t="s">
        <v>3093</v>
      </c>
      <c r="AI889" t="s">
        <v>3092</v>
      </c>
      <c r="AJ889" t="s">
        <v>3091</v>
      </c>
      <c r="AK889" t="s">
        <v>3090</v>
      </c>
      <c r="AL889">
        <v>0</v>
      </c>
      <c r="AM889" s="5">
        <f t="shared" si="106"/>
        <v>0</v>
      </c>
      <c r="AN889" s="4">
        <f t="shared" si="111"/>
        <v>0</v>
      </c>
      <c r="AO889" s="3"/>
      <c r="AP889">
        <v>0</v>
      </c>
      <c r="AR889" t="s">
        <v>1</v>
      </c>
      <c r="AT889" s="2" t="s">
        <v>0</v>
      </c>
      <c r="AU889" s="1">
        <f t="shared" si="107"/>
        <v>0.56805744641093392</v>
      </c>
      <c r="AV889" s="1">
        <f t="shared" si="108"/>
        <v>0.40575531886495286</v>
      </c>
      <c r="AW889" s="1">
        <f t="shared" si="109"/>
        <v>0.24345319131897172</v>
      </c>
    </row>
    <row r="890" spans="1:49" x14ac:dyDescent="0.2">
      <c r="A890">
        <v>888</v>
      </c>
      <c r="B890" t="s">
        <v>3089</v>
      </c>
      <c r="C890" t="s">
        <v>3088</v>
      </c>
      <c r="F890" t="s">
        <v>3087</v>
      </c>
      <c r="G890" t="s">
        <v>15</v>
      </c>
      <c r="H890" t="s">
        <v>14</v>
      </c>
      <c r="I890" t="s">
        <v>3086</v>
      </c>
      <c r="J890">
        <v>60031101</v>
      </c>
      <c r="K890" t="s">
        <v>495</v>
      </c>
      <c r="L890" t="s">
        <v>494</v>
      </c>
      <c r="M890" t="s">
        <v>493</v>
      </c>
      <c r="N890">
        <v>2</v>
      </c>
      <c r="O890" t="s">
        <v>3085</v>
      </c>
      <c r="P890" t="s">
        <v>3084</v>
      </c>
      <c r="Q890" t="s">
        <v>490</v>
      </c>
      <c r="R890" s="7">
        <v>33970</v>
      </c>
      <c r="S890" s="8">
        <f t="shared" si="104"/>
        <v>1993</v>
      </c>
      <c r="T890" s="8">
        <v>1993</v>
      </c>
      <c r="U890" s="8">
        <f t="shared" si="105"/>
        <v>29</v>
      </c>
      <c r="V890" s="7">
        <v>34029</v>
      </c>
      <c r="W890" t="s">
        <v>1424</v>
      </c>
      <c r="X890" s="2">
        <v>0.62</v>
      </c>
      <c r="Y890" s="6">
        <f t="shared" si="110"/>
        <v>1.6550545901070447E-2</v>
      </c>
      <c r="AA890">
        <v>189464</v>
      </c>
      <c r="AB890">
        <v>17364</v>
      </c>
      <c r="AC890">
        <v>19410069</v>
      </c>
      <c r="AD890" t="s">
        <v>5</v>
      </c>
      <c r="AE890">
        <v>29</v>
      </c>
      <c r="AF890">
        <v>2</v>
      </c>
      <c r="AH890" t="s">
        <v>3083</v>
      </c>
      <c r="AI890" t="s">
        <v>3082</v>
      </c>
      <c r="AK890" t="s">
        <v>3081</v>
      </c>
      <c r="AL890">
        <v>4</v>
      </c>
      <c r="AM890" s="5">
        <f t="shared" si="106"/>
        <v>0.13793103448275862</v>
      </c>
      <c r="AN890" s="4">
        <f t="shared" si="111"/>
        <v>2.089072843358707E-4</v>
      </c>
      <c r="AO890" s="3"/>
      <c r="AP890">
        <v>0</v>
      </c>
      <c r="AR890" t="s">
        <v>1</v>
      </c>
      <c r="AT890" s="2">
        <v>1.7</v>
      </c>
      <c r="AU890" s="1">
        <f t="shared" si="107"/>
        <v>1.1648054316050074</v>
      </c>
      <c r="AV890" s="1">
        <f t="shared" si="108"/>
        <v>0.83797265927031594</v>
      </c>
      <c r="AW890" s="1">
        <f t="shared" si="109"/>
        <v>0.5111398869356244</v>
      </c>
    </row>
    <row r="891" spans="1:49" x14ac:dyDescent="0.2">
      <c r="A891">
        <v>889</v>
      </c>
      <c r="B891" t="s">
        <v>3080</v>
      </c>
      <c r="C891" t="s">
        <v>3079</v>
      </c>
      <c r="F891" t="s">
        <v>3078</v>
      </c>
      <c r="G891" t="s">
        <v>15</v>
      </c>
      <c r="H891" t="s">
        <v>14</v>
      </c>
      <c r="I891" t="s">
        <v>3077</v>
      </c>
      <c r="J891" t="s">
        <v>3076</v>
      </c>
      <c r="K891" t="s">
        <v>3075</v>
      </c>
      <c r="L891" t="s">
        <v>3074</v>
      </c>
      <c r="M891" t="s">
        <v>3073</v>
      </c>
      <c r="N891">
        <v>3</v>
      </c>
      <c r="O891" t="s">
        <v>3072</v>
      </c>
      <c r="P891" t="s">
        <v>3071</v>
      </c>
      <c r="Q891" t="s">
        <v>3070</v>
      </c>
      <c r="R891" s="7">
        <v>33970</v>
      </c>
      <c r="S891" s="8">
        <f t="shared" si="104"/>
        <v>1993</v>
      </c>
      <c r="T891" s="8">
        <v>1993</v>
      </c>
      <c r="U891" s="8">
        <f t="shared" si="105"/>
        <v>29</v>
      </c>
      <c r="V891" s="7">
        <v>34029</v>
      </c>
      <c r="W891" t="s">
        <v>642</v>
      </c>
      <c r="X891" s="2">
        <v>1.573</v>
      </c>
      <c r="Y891" s="6">
        <f t="shared" si="110"/>
        <v>4.1990336616748086E-2</v>
      </c>
      <c r="AA891">
        <v>7315090</v>
      </c>
      <c r="AB891">
        <v>29586</v>
      </c>
      <c r="AD891" t="s">
        <v>5</v>
      </c>
      <c r="AE891">
        <v>16</v>
      </c>
      <c r="AF891">
        <v>2</v>
      </c>
      <c r="AH891" t="s">
        <v>3069</v>
      </c>
      <c r="AI891" t="s">
        <v>3068</v>
      </c>
      <c r="AK891" t="s">
        <v>3067</v>
      </c>
      <c r="AL891">
        <v>16</v>
      </c>
      <c r="AM891" s="5">
        <f t="shared" si="106"/>
        <v>0.55172413793103448</v>
      </c>
      <c r="AN891" s="4">
        <f t="shared" si="111"/>
        <v>8.3562913734348278E-4</v>
      </c>
      <c r="AO891" s="3"/>
      <c r="AP891">
        <v>0</v>
      </c>
      <c r="AQ891" t="s">
        <v>3066</v>
      </c>
      <c r="AR891" t="s">
        <v>1</v>
      </c>
      <c r="AS891" t="s">
        <v>3065</v>
      </c>
      <c r="AT891" s="2" t="s">
        <v>0</v>
      </c>
      <c r="AU891" s="1">
        <f t="shared" si="107"/>
        <v>2.9643924372926707</v>
      </c>
      <c r="AV891" s="1">
        <f t="shared" si="108"/>
        <v>2.1412982877045783</v>
      </c>
      <c r="AW891" s="1">
        <f t="shared" si="109"/>
        <v>1.3182041381164862</v>
      </c>
    </row>
    <row r="892" spans="1:49" x14ac:dyDescent="0.2">
      <c r="A892">
        <v>890</v>
      </c>
      <c r="B892" t="s">
        <v>3064</v>
      </c>
      <c r="C892" t="s">
        <v>3063</v>
      </c>
      <c r="F892" t="s">
        <v>3062</v>
      </c>
      <c r="G892" t="s">
        <v>15</v>
      </c>
      <c r="H892" t="s">
        <v>14</v>
      </c>
      <c r="I892" t="s">
        <v>3061</v>
      </c>
      <c r="N892">
        <v>2</v>
      </c>
      <c r="O892" t="s">
        <v>3060</v>
      </c>
      <c r="P892" t="s">
        <v>3059</v>
      </c>
      <c r="Q892" t="s">
        <v>1557</v>
      </c>
      <c r="R892" s="7">
        <v>33970</v>
      </c>
      <c r="S892" s="8">
        <f t="shared" si="104"/>
        <v>1993</v>
      </c>
      <c r="T892" s="8">
        <v>1993</v>
      </c>
      <c r="U892" s="8">
        <f t="shared" si="105"/>
        <v>29</v>
      </c>
      <c r="V892" s="7">
        <v>34029</v>
      </c>
      <c r="W892" t="s">
        <v>800</v>
      </c>
      <c r="X892" s="2">
        <v>1.468</v>
      </c>
      <c r="Y892" s="6">
        <f t="shared" si="110"/>
        <v>3.9187421585115186E-2</v>
      </c>
      <c r="AA892">
        <v>906778</v>
      </c>
      <c r="AB892">
        <v>18931</v>
      </c>
      <c r="AD892" t="s">
        <v>5</v>
      </c>
      <c r="AE892">
        <v>41</v>
      </c>
      <c r="AF892">
        <v>3</v>
      </c>
      <c r="AH892" t="s">
        <v>3058</v>
      </c>
      <c r="AI892" t="s">
        <v>3057</v>
      </c>
      <c r="AK892" t="s">
        <v>3056</v>
      </c>
      <c r="AL892">
        <v>24</v>
      </c>
      <c r="AM892" s="5">
        <f t="shared" si="106"/>
        <v>0.82758620689655171</v>
      </c>
      <c r="AN892" s="4">
        <f t="shared" si="111"/>
        <v>1.2534437060152241E-3</v>
      </c>
      <c r="AO892" s="3"/>
      <c r="AP892">
        <v>0</v>
      </c>
      <c r="AR892" t="s">
        <v>1</v>
      </c>
      <c r="AT892" s="2">
        <v>5.0830000000000002</v>
      </c>
      <c r="AU892" s="1">
        <f t="shared" si="107"/>
        <v>2.7807228221385194</v>
      </c>
      <c r="AV892" s="1">
        <f t="shared" si="108"/>
        <v>2.0220432645565207</v>
      </c>
      <c r="AW892" s="1">
        <f t="shared" si="109"/>
        <v>1.2633637069745212</v>
      </c>
    </row>
    <row r="893" spans="1:49" x14ac:dyDescent="0.2">
      <c r="A893">
        <v>891</v>
      </c>
      <c r="B893" t="s">
        <v>3055</v>
      </c>
      <c r="C893" t="s">
        <v>3054</v>
      </c>
      <c r="F893" t="s">
        <v>3053</v>
      </c>
      <c r="G893" t="s">
        <v>15</v>
      </c>
      <c r="H893" t="s">
        <v>14</v>
      </c>
      <c r="I893" t="s">
        <v>3052</v>
      </c>
      <c r="J893">
        <v>60016418</v>
      </c>
      <c r="K893" t="s">
        <v>3051</v>
      </c>
      <c r="L893" t="s">
        <v>3050</v>
      </c>
      <c r="M893" t="s">
        <v>493</v>
      </c>
      <c r="N893">
        <v>2</v>
      </c>
      <c r="O893" t="s">
        <v>3049</v>
      </c>
      <c r="P893" t="s">
        <v>3048</v>
      </c>
      <c r="Q893" t="s">
        <v>3047</v>
      </c>
      <c r="R893" s="7">
        <v>33970</v>
      </c>
      <c r="S893" s="8">
        <f t="shared" si="104"/>
        <v>1993</v>
      </c>
      <c r="T893" s="8">
        <v>1993</v>
      </c>
      <c r="U893" s="8">
        <f t="shared" si="105"/>
        <v>29</v>
      </c>
      <c r="V893" s="7" t="s">
        <v>3046</v>
      </c>
      <c r="W893" s="11" t="s">
        <v>3045</v>
      </c>
      <c r="X893" s="2">
        <v>2.383</v>
      </c>
      <c r="Y893" s="6">
        <f t="shared" si="110"/>
        <v>6.3612824003630442E-2</v>
      </c>
      <c r="AA893" t="s">
        <v>3044</v>
      </c>
      <c r="AB893">
        <v>38794</v>
      </c>
      <c r="AD893" t="s">
        <v>5</v>
      </c>
      <c r="AE893">
        <v>140</v>
      </c>
      <c r="AF893">
        <v>2</v>
      </c>
      <c r="AH893" t="s">
        <v>3043</v>
      </c>
      <c r="AI893" t="s">
        <v>3042</v>
      </c>
      <c r="AK893" t="s">
        <v>3041</v>
      </c>
      <c r="AL893">
        <v>3</v>
      </c>
      <c r="AM893" s="5">
        <f t="shared" si="106"/>
        <v>0.10344827586206896</v>
      </c>
      <c r="AN893" s="4">
        <f t="shared" si="111"/>
        <v>1.5668046325190301E-4</v>
      </c>
      <c r="AO893" s="3"/>
      <c r="AP893">
        <v>0</v>
      </c>
      <c r="AR893" t="s">
        <v>1</v>
      </c>
      <c r="AT893" s="2" t="s">
        <v>0</v>
      </c>
      <c r="AU893" s="1">
        <f t="shared" si="107"/>
        <v>4.4575980941516882</v>
      </c>
      <c r="AV893" s="1">
        <f t="shared" si="108"/>
        <v>3.1884752233441169</v>
      </c>
      <c r="AW893" s="1">
        <f t="shared" si="109"/>
        <v>1.9193523525365463</v>
      </c>
    </row>
    <row r="894" spans="1:49" x14ac:dyDescent="0.2">
      <c r="A894">
        <v>892</v>
      </c>
      <c r="B894" t="s">
        <v>3040</v>
      </c>
      <c r="C894" t="s">
        <v>3039</v>
      </c>
      <c r="F894" t="s">
        <v>3038</v>
      </c>
      <c r="G894" t="s">
        <v>15</v>
      </c>
      <c r="H894" t="s">
        <v>14</v>
      </c>
      <c r="I894" t="s">
        <v>3037</v>
      </c>
      <c r="J894" t="s">
        <v>3036</v>
      </c>
      <c r="K894" t="s">
        <v>3035</v>
      </c>
      <c r="L894" t="s">
        <v>3034</v>
      </c>
      <c r="M894" t="s">
        <v>3033</v>
      </c>
      <c r="N894">
        <v>7</v>
      </c>
      <c r="O894" t="s">
        <v>3032</v>
      </c>
      <c r="P894" t="s">
        <v>3031</v>
      </c>
      <c r="Q894" t="s">
        <v>3030</v>
      </c>
      <c r="R894" s="7">
        <v>33970</v>
      </c>
      <c r="S894" s="8">
        <f t="shared" si="104"/>
        <v>1993</v>
      </c>
      <c r="T894" s="8">
        <v>1993</v>
      </c>
      <c r="U894" s="8">
        <f t="shared" si="105"/>
        <v>29</v>
      </c>
      <c r="V894" s="7" t="s">
        <v>3029</v>
      </c>
      <c r="W894" t="s">
        <v>906</v>
      </c>
      <c r="X894" s="2">
        <v>0.33800000000000002</v>
      </c>
      <c r="Y894" s="6">
        <f t="shared" si="110"/>
        <v>9.0227169589706634E-3</v>
      </c>
      <c r="AA894">
        <v>7372884</v>
      </c>
      <c r="AB894">
        <v>70506</v>
      </c>
      <c r="AC894">
        <v>10991247</v>
      </c>
      <c r="AD894" t="s">
        <v>5</v>
      </c>
      <c r="AE894">
        <v>11</v>
      </c>
      <c r="AF894">
        <v>2</v>
      </c>
      <c r="AH894" t="s">
        <v>3028</v>
      </c>
      <c r="AI894" t="s">
        <v>3027</v>
      </c>
      <c r="AJ894" t="s">
        <v>3026</v>
      </c>
      <c r="AK894" t="s">
        <v>3025</v>
      </c>
      <c r="AL894">
        <v>9</v>
      </c>
      <c r="AM894" s="5">
        <f t="shared" si="106"/>
        <v>0.31034482758620691</v>
      </c>
      <c r="AN894" s="4">
        <f t="shared" si="111"/>
        <v>4.7004138975570908E-4</v>
      </c>
      <c r="AO894" s="3"/>
      <c r="AP894">
        <v>0</v>
      </c>
      <c r="AR894" t="s">
        <v>1</v>
      </c>
      <c r="AT894" s="2" t="s">
        <v>0</v>
      </c>
      <c r="AU894" s="1">
        <f t="shared" si="107"/>
        <v>0.6456914288206177</v>
      </c>
      <c r="AV894" s="1">
        <f t="shared" si="108"/>
        <v>0.47463791743631867</v>
      </c>
      <c r="AW894" s="1">
        <f t="shared" si="109"/>
        <v>0.30358440605201953</v>
      </c>
    </row>
    <row r="895" spans="1:49" x14ac:dyDescent="0.2">
      <c r="A895">
        <v>893</v>
      </c>
      <c r="B895" t="s">
        <v>3024</v>
      </c>
      <c r="C895" t="s">
        <v>3023</v>
      </c>
      <c r="F895" t="s">
        <v>3022</v>
      </c>
      <c r="G895" t="s">
        <v>15</v>
      </c>
      <c r="H895" t="s">
        <v>14</v>
      </c>
      <c r="I895" t="s">
        <v>3021</v>
      </c>
      <c r="J895" t="s">
        <v>3020</v>
      </c>
      <c r="K895" t="s">
        <v>3019</v>
      </c>
      <c r="L895" t="s">
        <v>3018</v>
      </c>
      <c r="M895" t="s">
        <v>235</v>
      </c>
      <c r="N895">
        <v>2</v>
      </c>
      <c r="O895" t="s">
        <v>3017</v>
      </c>
      <c r="P895" t="s">
        <v>3016</v>
      </c>
      <c r="Q895" t="s">
        <v>3015</v>
      </c>
      <c r="R895" s="7">
        <v>33970</v>
      </c>
      <c r="S895" s="8">
        <f t="shared" si="104"/>
        <v>1993</v>
      </c>
      <c r="T895" s="8">
        <v>1993</v>
      </c>
      <c r="U895" s="8">
        <f t="shared" si="105"/>
        <v>29</v>
      </c>
      <c r="V895" s="7">
        <v>34029</v>
      </c>
      <c r="W895" t="s">
        <v>3014</v>
      </c>
      <c r="X895" s="2">
        <v>0.81</v>
      </c>
      <c r="Y895" s="6">
        <f t="shared" si="110"/>
        <v>2.1622487386882359E-2</v>
      </c>
      <c r="AA895">
        <v>10411135</v>
      </c>
      <c r="AB895">
        <v>12116</v>
      </c>
      <c r="AC895">
        <v>19410174</v>
      </c>
      <c r="AD895" t="s">
        <v>5</v>
      </c>
      <c r="AE895">
        <v>5</v>
      </c>
      <c r="AF895">
        <v>3</v>
      </c>
      <c r="AH895" t="s">
        <v>3013</v>
      </c>
      <c r="AI895" t="s">
        <v>3012</v>
      </c>
      <c r="AK895" t="s">
        <v>3011</v>
      </c>
      <c r="AL895">
        <v>48</v>
      </c>
      <c r="AM895" s="5">
        <f t="shared" si="106"/>
        <v>1.6551724137931034</v>
      </c>
      <c r="AN895" s="4">
        <f t="shared" si="111"/>
        <v>2.5068874120304481E-3</v>
      </c>
      <c r="AO895" s="3"/>
      <c r="AP895">
        <v>0</v>
      </c>
      <c r="AR895" t="s">
        <v>3010</v>
      </c>
      <c r="AS895" t="s">
        <v>2760</v>
      </c>
      <c r="AT895" s="2">
        <v>2.468</v>
      </c>
      <c r="AU895" s="1">
        <f t="shared" si="107"/>
        <v>1.5887807394426783</v>
      </c>
      <c r="AV895" s="1">
        <f t="shared" si="108"/>
        <v>1.2064687399456404</v>
      </c>
      <c r="AW895" s="1">
        <f t="shared" si="109"/>
        <v>0.8241567404486021</v>
      </c>
    </row>
    <row r="896" spans="1:49" x14ac:dyDescent="0.2">
      <c r="A896">
        <v>894</v>
      </c>
      <c r="B896" t="s">
        <v>3009</v>
      </c>
      <c r="C896" t="s">
        <v>3008</v>
      </c>
      <c r="F896" t="s">
        <v>3007</v>
      </c>
      <c r="G896" t="s">
        <v>15</v>
      </c>
      <c r="H896" t="s">
        <v>14</v>
      </c>
      <c r="I896" t="s">
        <v>3006</v>
      </c>
      <c r="J896">
        <v>60014313</v>
      </c>
      <c r="K896" t="s">
        <v>2652</v>
      </c>
      <c r="L896" t="s">
        <v>2651</v>
      </c>
      <c r="M896" t="s">
        <v>10</v>
      </c>
      <c r="N896">
        <v>1</v>
      </c>
      <c r="O896" t="s">
        <v>3005</v>
      </c>
      <c r="P896">
        <v>7006061921</v>
      </c>
      <c r="Q896">
        <v>60014313</v>
      </c>
      <c r="R896" s="7">
        <v>33970</v>
      </c>
      <c r="S896" s="8">
        <f t="shared" si="104"/>
        <v>1993</v>
      </c>
      <c r="T896" s="8">
        <v>1993</v>
      </c>
      <c r="U896" s="8">
        <f t="shared" si="105"/>
        <v>29</v>
      </c>
      <c r="V896" s="7">
        <v>34029</v>
      </c>
      <c r="W896" t="s">
        <v>1272</v>
      </c>
      <c r="X896" s="2">
        <v>0.94</v>
      </c>
      <c r="Y896" s="6">
        <f t="shared" si="110"/>
        <v>2.5092763140332611E-2</v>
      </c>
      <c r="AA896">
        <v>10518207</v>
      </c>
      <c r="AB896">
        <v>63372</v>
      </c>
      <c r="AD896" t="s">
        <v>5</v>
      </c>
      <c r="AE896">
        <v>3</v>
      </c>
      <c r="AF896">
        <v>3</v>
      </c>
      <c r="AH896" t="s">
        <v>3004</v>
      </c>
      <c r="AI896" t="s">
        <v>3003</v>
      </c>
      <c r="AK896" t="s">
        <v>3002</v>
      </c>
      <c r="AL896">
        <v>9</v>
      </c>
      <c r="AM896" s="5">
        <f t="shared" si="106"/>
        <v>0.31034482758620691</v>
      </c>
      <c r="AN896" s="4">
        <f t="shared" si="111"/>
        <v>4.7004138975570908E-4</v>
      </c>
      <c r="AO896" s="3"/>
      <c r="AP896">
        <v>0</v>
      </c>
      <c r="AR896" t="s">
        <v>1</v>
      </c>
      <c r="AT896" s="2" t="s">
        <v>0</v>
      </c>
      <c r="AU896" s="1">
        <f t="shared" si="107"/>
        <v>1.7705946615159538</v>
      </c>
      <c r="AV896" s="1">
        <f t="shared" si="108"/>
        <v>1.2781402265044159</v>
      </c>
      <c r="AW896" s="1">
        <f t="shared" si="109"/>
        <v>0.78568579149287787</v>
      </c>
    </row>
    <row r="897" spans="1:49" x14ac:dyDescent="0.2">
      <c r="A897">
        <v>895</v>
      </c>
      <c r="B897" t="s">
        <v>3001</v>
      </c>
      <c r="C897" t="s">
        <v>3000</v>
      </c>
      <c r="F897" t="s">
        <v>2999</v>
      </c>
      <c r="G897" t="s">
        <v>15</v>
      </c>
      <c r="H897" t="s">
        <v>14</v>
      </c>
      <c r="I897" t="s">
        <v>2998</v>
      </c>
      <c r="J897">
        <v>60031004</v>
      </c>
      <c r="K897" t="s">
        <v>2997</v>
      </c>
      <c r="L897" t="s">
        <v>819</v>
      </c>
      <c r="M897" t="s">
        <v>818</v>
      </c>
      <c r="N897">
        <v>3</v>
      </c>
      <c r="O897" t="s">
        <v>2996</v>
      </c>
      <c r="P897" t="s">
        <v>2995</v>
      </c>
      <c r="Q897" t="s">
        <v>2994</v>
      </c>
      <c r="R897" s="7">
        <v>33970</v>
      </c>
      <c r="S897" s="8">
        <f t="shared" ref="S897:S960" si="112">YEAR(R897)</f>
        <v>1993</v>
      </c>
      <c r="T897" s="8">
        <v>1993</v>
      </c>
      <c r="U897" s="8">
        <f t="shared" ref="U897:U960" si="113">2022-T897</f>
        <v>29</v>
      </c>
      <c r="V897" s="7">
        <v>34048</v>
      </c>
      <c r="W897" t="s">
        <v>2382</v>
      </c>
      <c r="X897" s="2">
        <v>0.30399999999999999</v>
      </c>
      <c r="Y897" s="6">
        <f t="shared" si="110"/>
        <v>8.115106377299057E-3</v>
      </c>
      <c r="AA897">
        <v>8952477</v>
      </c>
      <c r="AB897">
        <v>12250</v>
      </c>
      <c r="AC897">
        <v>10982760</v>
      </c>
      <c r="AD897" t="s">
        <v>5</v>
      </c>
      <c r="AE897">
        <v>6</v>
      </c>
      <c r="AF897">
        <v>4</v>
      </c>
      <c r="AH897" t="s">
        <v>2993</v>
      </c>
      <c r="AI897" t="s">
        <v>2992</v>
      </c>
      <c r="AJ897" t="s">
        <v>2991</v>
      </c>
      <c r="AK897" t="s">
        <v>2990</v>
      </c>
      <c r="AL897">
        <v>1</v>
      </c>
      <c r="AM897" s="5">
        <f t="shared" ref="AM897:AM960" si="114">AL897/U897</f>
        <v>3.4482758620689655E-2</v>
      </c>
      <c r="AN897" s="4">
        <f t="shared" si="111"/>
        <v>5.2226821083967674E-5</v>
      </c>
      <c r="AO897" s="3"/>
      <c r="AP897">
        <v>0</v>
      </c>
      <c r="AR897" t="s">
        <v>1</v>
      </c>
      <c r="AT897" s="2" t="s">
        <v>0</v>
      </c>
      <c r="AU897" s="1">
        <f t="shared" ref="AU897:AU960" si="115">(Y897*0.7+AN897*0.3)*100</f>
        <v>0.56962425104345293</v>
      </c>
      <c r="AV897" s="1">
        <f t="shared" ref="AV897:AV960" si="116">(Y897*0.5+AN897*0.5)*100</f>
        <v>0.40836665991915122</v>
      </c>
      <c r="AW897" s="1">
        <f t="shared" ref="AW897:AW960" si="117">(Y897*0.3+AN897*0.7)*100</f>
        <v>0.24710906879484945</v>
      </c>
    </row>
    <row r="898" spans="1:49" x14ac:dyDescent="0.2">
      <c r="A898">
        <v>896</v>
      </c>
      <c r="B898" t="s">
        <v>2989</v>
      </c>
      <c r="C898" t="s">
        <v>2988</v>
      </c>
      <c r="F898" t="s">
        <v>2987</v>
      </c>
      <c r="G898" t="s">
        <v>15</v>
      </c>
      <c r="H898" t="s">
        <v>14</v>
      </c>
      <c r="I898" t="s">
        <v>2986</v>
      </c>
      <c r="J898">
        <v>60031828</v>
      </c>
      <c r="K898" t="s">
        <v>2985</v>
      </c>
      <c r="L898" t="s">
        <v>2984</v>
      </c>
      <c r="M898" t="s">
        <v>508</v>
      </c>
      <c r="N898">
        <v>4</v>
      </c>
      <c r="O898" t="s">
        <v>2983</v>
      </c>
      <c r="P898" t="s">
        <v>2982</v>
      </c>
      <c r="Q898" t="s">
        <v>2981</v>
      </c>
      <c r="R898" s="7">
        <v>33970</v>
      </c>
      <c r="S898" s="8">
        <f t="shared" si="112"/>
        <v>1993</v>
      </c>
      <c r="T898" s="8">
        <v>1993</v>
      </c>
      <c r="U898" s="8">
        <f t="shared" si="113"/>
        <v>29</v>
      </c>
      <c r="V898" s="7">
        <v>34048</v>
      </c>
      <c r="W898" t="s">
        <v>2382</v>
      </c>
      <c r="X898" s="2">
        <v>0.30399999999999999</v>
      </c>
      <c r="Y898" s="6">
        <f t="shared" ref="Y898:Y961" si="118">(X898-$Z$4)/($Z$3-$Z$4)</f>
        <v>8.115106377299057E-3</v>
      </c>
      <c r="AA898">
        <v>8952477</v>
      </c>
      <c r="AB898">
        <v>12250</v>
      </c>
      <c r="AC898">
        <v>10982760</v>
      </c>
      <c r="AD898" t="s">
        <v>5</v>
      </c>
      <c r="AE898">
        <v>6</v>
      </c>
      <c r="AF898">
        <v>4</v>
      </c>
      <c r="AH898" t="s">
        <v>2980</v>
      </c>
      <c r="AI898" t="s">
        <v>2979</v>
      </c>
      <c r="AJ898" t="s">
        <v>2978</v>
      </c>
      <c r="AK898" t="s">
        <v>2977</v>
      </c>
      <c r="AL898">
        <v>1</v>
      </c>
      <c r="AM898" s="5">
        <f t="shared" si="114"/>
        <v>3.4482758620689655E-2</v>
      </c>
      <c r="AN898" s="4">
        <f t="shared" ref="AN898:AN961" si="119">(AM898-$AO$4)/($AO$3-$AO$4)</f>
        <v>5.2226821083967674E-5</v>
      </c>
      <c r="AO898" s="3"/>
      <c r="AP898">
        <v>0</v>
      </c>
      <c r="AR898" t="s">
        <v>1</v>
      </c>
      <c r="AT898" s="2" t="s">
        <v>0</v>
      </c>
      <c r="AU898" s="1">
        <f t="shared" si="115"/>
        <v>0.56962425104345293</v>
      </c>
      <c r="AV898" s="1">
        <f t="shared" si="116"/>
        <v>0.40836665991915122</v>
      </c>
      <c r="AW898" s="1">
        <f t="shared" si="117"/>
        <v>0.24710906879484945</v>
      </c>
    </row>
    <row r="899" spans="1:49" x14ac:dyDescent="0.2">
      <c r="A899">
        <v>897</v>
      </c>
      <c r="B899" t="s">
        <v>2976</v>
      </c>
      <c r="C899" t="s">
        <v>2975</v>
      </c>
      <c r="F899" t="s">
        <v>2974</v>
      </c>
      <c r="G899" t="s">
        <v>15</v>
      </c>
      <c r="H899" t="s">
        <v>14</v>
      </c>
      <c r="I899" t="s">
        <v>2973</v>
      </c>
      <c r="J899">
        <v>117241439</v>
      </c>
      <c r="K899" t="s">
        <v>2972</v>
      </c>
      <c r="L899" t="s">
        <v>151</v>
      </c>
      <c r="M899" t="s">
        <v>150</v>
      </c>
      <c r="N899">
        <v>4</v>
      </c>
      <c r="O899" t="s">
        <v>2971</v>
      </c>
      <c r="P899" t="s">
        <v>2970</v>
      </c>
      <c r="Q899" t="s">
        <v>2969</v>
      </c>
      <c r="R899" s="7">
        <v>33970</v>
      </c>
      <c r="S899" s="8">
        <f t="shared" si="112"/>
        <v>1993</v>
      </c>
      <c r="T899" s="8">
        <v>1993</v>
      </c>
      <c r="U899" s="8">
        <f t="shared" si="113"/>
        <v>29</v>
      </c>
      <c r="V899" s="7" t="s">
        <v>2928</v>
      </c>
      <c r="W899" t="s">
        <v>2968</v>
      </c>
      <c r="X899" s="2">
        <v>0.75800000000000001</v>
      </c>
      <c r="Y899" s="6">
        <f t="shared" si="118"/>
        <v>2.0234377085502256E-2</v>
      </c>
      <c r="AA899">
        <v>224650</v>
      </c>
      <c r="AB899">
        <v>29589</v>
      </c>
      <c r="AD899" t="s">
        <v>5</v>
      </c>
      <c r="AE899">
        <v>30</v>
      </c>
      <c r="AF899">
        <v>2</v>
      </c>
      <c r="AH899" t="s">
        <v>2967</v>
      </c>
      <c r="AI899" t="s">
        <v>2966</v>
      </c>
      <c r="AK899" t="s">
        <v>2965</v>
      </c>
      <c r="AL899">
        <v>1</v>
      </c>
      <c r="AM899" s="5">
        <f t="shared" si="114"/>
        <v>3.4482758620689655E-2</v>
      </c>
      <c r="AN899" s="4">
        <f t="shared" si="119"/>
        <v>5.2226821083967674E-5</v>
      </c>
      <c r="AO899" s="3"/>
      <c r="AP899">
        <v>0</v>
      </c>
      <c r="AR899" t="s">
        <v>1</v>
      </c>
      <c r="AT899" s="2">
        <v>1.282</v>
      </c>
      <c r="AU899" s="1">
        <f t="shared" si="115"/>
        <v>1.4179732006176768</v>
      </c>
      <c r="AV899" s="1">
        <f t="shared" si="116"/>
        <v>1.0143301953293111</v>
      </c>
      <c r="AW899" s="1">
        <f t="shared" si="117"/>
        <v>0.61068719004094529</v>
      </c>
    </row>
    <row r="900" spans="1:49" x14ac:dyDescent="0.2">
      <c r="A900">
        <v>898</v>
      </c>
      <c r="B900" t="s">
        <v>2964</v>
      </c>
      <c r="C900" t="s">
        <v>2963</v>
      </c>
      <c r="F900" t="s">
        <v>2962</v>
      </c>
      <c r="G900" t="s">
        <v>15</v>
      </c>
      <c r="H900" t="s">
        <v>14</v>
      </c>
      <c r="I900" t="s">
        <v>337</v>
      </c>
      <c r="J900">
        <v>60018308</v>
      </c>
      <c r="K900" t="s">
        <v>2961</v>
      </c>
      <c r="L900" t="s">
        <v>2960</v>
      </c>
      <c r="M900" t="s">
        <v>463</v>
      </c>
      <c r="N900">
        <v>2</v>
      </c>
      <c r="O900" t="s">
        <v>2959</v>
      </c>
      <c r="P900" t="s">
        <v>331</v>
      </c>
      <c r="Q900" t="s">
        <v>2958</v>
      </c>
      <c r="R900" s="7">
        <v>33970</v>
      </c>
      <c r="S900" s="8">
        <f t="shared" si="112"/>
        <v>1993</v>
      </c>
      <c r="T900" s="8">
        <v>1993</v>
      </c>
      <c r="U900" s="8">
        <f t="shared" si="113"/>
        <v>29</v>
      </c>
      <c r="V900" s="7">
        <v>34048</v>
      </c>
      <c r="W900" t="s">
        <v>2382</v>
      </c>
      <c r="X900" s="2">
        <v>0.30399999999999999</v>
      </c>
      <c r="Y900" s="6">
        <f t="shared" si="118"/>
        <v>8.115106377299057E-3</v>
      </c>
      <c r="AA900">
        <v>8952477</v>
      </c>
      <c r="AB900">
        <v>12250</v>
      </c>
      <c r="AC900">
        <v>10982760</v>
      </c>
      <c r="AD900" t="s">
        <v>5</v>
      </c>
      <c r="AE900">
        <v>6</v>
      </c>
      <c r="AF900">
        <v>4</v>
      </c>
      <c r="AH900" t="s">
        <v>2957</v>
      </c>
      <c r="AI900" t="s">
        <v>2956</v>
      </c>
      <c r="AJ900" t="s">
        <v>2955</v>
      </c>
      <c r="AK900" t="s">
        <v>2954</v>
      </c>
      <c r="AL900">
        <v>5</v>
      </c>
      <c r="AM900" s="5">
        <f t="shared" si="114"/>
        <v>0.17241379310344829</v>
      </c>
      <c r="AN900" s="4">
        <f t="shared" si="119"/>
        <v>2.6113410541983838E-4</v>
      </c>
      <c r="AO900" s="3"/>
      <c r="AP900">
        <v>0</v>
      </c>
      <c r="AR900" t="s">
        <v>1</v>
      </c>
      <c r="AT900" s="2" t="s">
        <v>0</v>
      </c>
      <c r="AU900" s="1">
        <f t="shared" si="115"/>
        <v>0.5758914695735291</v>
      </c>
      <c r="AV900" s="1">
        <f t="shared" si="116"/>
        <v>0.41881202413594482</v>
      </c>
      <c r="AW900" s="1">
        <f t="shared" si="117"/>
        <v>0.26173257869836042</v>
      </c>
    </row>
    <row r="901" spans="1:49" x14ac:dyDescent="0.2">
      <c r="A901">
        <v>899</v>
      </c>
      <c r="B901" t="s">
        <v>2953</v>
      </c>
      <c r="C901" t="s">
        <v>2952</v>
      </c>
      <c r="F901" t="s">
        <v>2951</v>
      </c>
      <c r="G901" t="s">
        <v>15</v>
      </c>
      <c r="H901" t="s">
        <v>14</v>
      </c>
      <c r="I901" t="s">
        <v>2950</v>
      </c>
      <c r="N901">
        <v>2</v>
      </c>
      <c r="O901" t="s">
        <v>2949</v>
      </c>
      <c r="P901" t="s">
        <v>2948</v>
      </c>
      <c r="Q901" t="s">
        <v>1557</v>
      </c>
      <c r="R901" s="7">
        <v>33970</v>
      </c>
      <c r="S901" s="8">
        <f t="shared" si="112"/>
        <v>1993</v>
      </c>
      <c r="T901" s="8">
        <v>1993</v>
      </c>
      <c r="U901" s="8">
        <f t="shared" si="113"/>
        <v>29</v>
      </c>
      <c r="V901" s="7" t="s">
        <v>2928</v>
      </c>
      <c r="W901" t="s">
        <v>1555</v>
      </c>
      <c r="X901" s="2">
        <v>0.371</v>
      </c>
      <c r="Y901" s="6">
        <f t="shared" si="118"/>
        <v>9.9036331117695747E-3</v>
      </c>
      <c r="AA901">
        <v>486604</v>
      </c>
      <c r="AB901">
        <v>28580</v>
      </c>
      <c r="AC901" t="s">
        <v>1554</v>
      </c>
      <c r="AD901" t="s">
        <v>5</v>
      </c>
      <c r="AE901">
        <v>28</v>
      </c>
      <c r="AF901">
        <v>2</v>
      </c>
      <c r="AH901" t="s">
        <v>2947</v>
      </c>
      <c r="AI901" t="s">
        <v>2946</v>
      </c>
      <c r="AK901" t="s">
        <v>2945</v>
      </c>
      <c r="AL901">
        <v>5</v>
      </c>
      <c r="AM901" s="5">
        <f t="shared" si="114"/>
        <v>0.17241379310344829</v>
      </c>
      <c r="AN901" s="4">
        <f t="shared" si="119"/>
        <v>2.6113410541983838E-4</v>
      </c>
      <c r="AO901" s="3"/>
      <c r="AP901">
        <v>0</v>
      </c>
      <c r="AR901" t="s">
        <v>1</v>
      </c>
      <c r="AT901" s="2">
        <v>1.431</v>
      </c>
      <c r="AU901" s="1">
        <f t="shared" si="115"/>
        <v>0.70108834098646533</v>
      </c>
      <c r="AV901" s="1">
        <f t="shared" si="116"/>
        <v>0.50823836085947072</v>
      </c>
      <c r="AW901" s="1">
        <f t="shared" si="117"/>
        <v>0.31538838073247594</v>
      </c>
    </row>
    <row r="902" spans="1:49" x14ac:dyDescent="0.2">
      <c r="A902">
        <v>900</v>
      </c>
      <c r="B902" t="s">
        <v>2944</v>
      </c>
      <c r="C902" t="s">
        <v>2943</v>
      </c>
      <c r="F902" t="s">
        <v>2942</v>
      </c>
      <c r="G902" t="s">
        <v>15</v>
      </c>
      <c r="H902" t="s">
        <v>14</v>
      </c>
      <c r="I902" t="s">
        <v>2941</v>
      </c>
      <c r="N902">
        <v>3</v>
      </c>
      <c r="O902" t="s">
        <v>2940</v>
      </c>
      <c r="P902" t="s">
        <v>2939</v>
      </c>
      <c r="Q902" t="s">
        <v>2929</v>
      </c>
      <c r="R902" s="7">
        <v>33970</v>
      </c>
      <c r="S902" s="8">
        <f t="shared" si="112"/>
        <v>1993</v>
      </c>
      <c r="T902" s="8">
        <v>1993</v>
      </c>
      <c r="U902" s="8">
        <f t="shared" si="113"/>
        <v>29</v>
      </c>
      <c r="V902" s="7" t="s">
        <v>2928</v>
      </c>
      <c r="W902" t="s">
        <v>1555</v>
      </c>
      <c r="X902" s="2">
        <v>0.371</v>
      </c>
      <c r="Y902" s="6">
        <f t="shared" si="118"/>
        <v>9.9036331117695747E-3</v>
      </c>
      <c r="AA902">
        <v>486604</v>
      </c>
      <c r="AB902">
        <v>28580</v>
      </c>
      <c r="AC902" t="s">
        <v>1554</v>
      </c>
      <c r="AD902" t="s">
        <v>5</v>
      </c>
      <c r="AE902">
        <v>28</v>
      </c>
      <c r="AF902">
        <v>2</v>
      </c>
      <c r="AH902" t="s">
        <v>2938</v>
      </c>
      <c r="AI902" t="s">
        <v>2937</v>
      </c>
      <c r="AK902" t="s">
        <v>2936</v>
      </c>
      <c r="AL902">
        <v>1</v>
      </c>
      <c r="AM902" s="5">
        <f t="shared" si="114"/>
        <v>3.4482758620689655E-2</v>
      </c>
      <c r="AN902" s="4">
        <f t="shared" si="119"/>
        <v>5.2226821083967674E-5</v>
      </c>
      <c r="AO902" s="3"/>
      <c r="AP902">
        <v>0</v>
      </c>
      <c r="AR902" t="s">
        <v>1</v>
      </c>
      <c r="AT902" s="2">
        <v>1.431</v>
      </c>
      <c r="AU902" s="1">
        <f t="shared" si="115"/>
        <v>0.69482112245638916</v>
      </c>
      <c r="AV902" s="1">
        <f t="shared" si="116"/>
        <v>0.49779299664267707</v>
      </c>
      <c r="AW902" s="1">
        <f t="shared" si="117"/>
        <v>0.30076487082896497</v>
      </c>
    </row>
    <row r="903" spans="1:49" x14ac:dyDescent="0.2">
      <c r="A903">
        <v>901</v>
      </c>
      <c r="B903" t="s">
        <v>2935</v>
      </c>
      <c r="C903" t="s">
        <v>2934</v>
      </c>
      <c r="F903" t="s">
        <v>2933</v>
      </c>
      <c r="G903" t="s">
        <v>15</v>
      </c>
      <c r="H903" t="s">
        <v>14</v>
      </c>
      <c r="I903" t="s">
        <v>2932</v>
      </c>
      <c r="N903">
        <v>3</v>
      </c>
      <c r="O903" t="s">
        <v>2931</v>
      </c>
      <c r="P903" t="s">
        <v>2930</v>
      </c>
      <c r="Q903" t="s">
        <v>2929</v>
      </c>
      <c r="R903" s="7">
        <v>33970</v>
      </c>
      <c r="S903" s="8">
        <f t="shared" si="112"/>
        <v>1993</v>
      </c>
      <c r="T903" s="8">
        <v>1993</v>
      </c>
      <c r="U903" s="8">
        <f t="shared" si="113"/>
        <v>29</v>
      </c>
      <c r="V903" s="7" t="s">
        <v>2928</v>
      </c>
      <c r="W903" t="s">
        <v>1555</v>
      </c>
      <c r="X903" s="2">
        <v>0.371</v>
      </c>
      <c r="Y903" s="6">
        <f t="shared" si="118"/>
        <v>9.9036331117695747E-3</v>
      </c>
      <c r="AA903">
        <v>486604</v>
      </c>
      <c r="AB903">
        <v>28580</v>
      </c>
      <c r="AC903" t="s">
        <v>1554</v>
      </c>
      <c r="AD903" t="s">
        <v>5</v>
      </c>
      <c r="AE903">
        <v>28</v>
      </c>
      <c r="AF903">
        <v>2</v>
      </c>
      <c r="AH903" t="s">
        <v>2927</v>
      </c>
      <c r="AI903" t="s">
        <v>2926</v>
      </c>
      <c r="AK903" t="s">
        <v>2925</v>
      </c>
      <c r="AL903">
        <v>2</v>
      </c>
      <c r="AM903" s="5">
        <f t="shared" si="114"/>
        <v>6.8965517241379309E-2</v>
      </c>
      <c r="AN903" s="4">
        <f t="shared" si="119"/>
        <v>1.0445364216793535E-4</v>
      </c>
      <c r="AO903" s="3"/>
      <c r="AP903">
        <v>0</v>
      </c>
      <c r="AR903" t="s">
        <v>1</v>
      </c>
      <c r="AT903" s="2">
        <v>1.431</v>
      </c>
      <c r="AU903" s="1">
        <f t="shared" si="115"/>
        <v>0.69638792708890818</v>
      </c>
      <c r="AV903" s="1">
        <f t="shared" si="116"/>
        <v>0.50040433769687553</v>
      </c>
      <c r="AW903" s="1">
        <f t="shared" si="117"/>
        <v>0.30442074830484273</v>
      </c>
    </row>
    <row r="904" spans="1:49" x14ac:dyDescent="0.2">
      <c r="A904">
        <v>902</v>
      </c>
      <c r="B904" t="s">
        <v>2924</v>
      </c>
      <c r="C904" t="s">
        <v>2923</v>
      </c>
      <c r="F904" t="s">
        <v>2922</v>
      </c>
      <c r="G904" t="s">
        <v>15</v>
      </c>
      <c r="H904" t="s">
        <v>14</v>
      </c>
      <c r="I904" t="s">
        <v>2921</v>
      </c>
      <c r="J904">
        <v>60027271</v>
      </c>
      <c r="K904" t="s">
        <v>2920</v>
      </c>
      <c r="L904" t="s">
        <v>2919</v>
      </c>
      <c r="M904" t="s">
        <v>10</v>
      </c>
      <c r="N904">
        <v>5</v>
      </c>
      <c r="O904" t="s">
        <v>2918</v>
      </c>
      <c r="P904" t="s">
        <v>2917</v>
      </c>
      <c r="Q904" t="s">
        <v>2916</v>
      </c>
      <c r="R904" s="7">
        <v>33970</v>
      </c>
      <c r="S904" s="8">
        <f t="shared" si="112"/>
        <v>1993</v>
      </c>
      <c r="T904" s="8">
        <v>1993</v>
      </c>
      <c r="U904" s="8">
        <f t="shared" si="113"/>
        <v>29</v>
      </c>
      <c r="V904" s="7">
        <v>34001</v>
      </c>
      <c r="W904" t="s">
        <v>2915</v>
      </c>
      <c r="X904" s="2">
        <v>0.61499999999999999</v>
      </c>
      <c r="Y904" s="6">
        <f t="shared" si="118"/>
        <v>1.6417073756706976E-2</v>
      </c>
      <c r="AA904">
        <v>1959271</v>
      </c>
      <c r="AB904">
        <v>12141</v>
      </c>
      <c r="AC904">
        <v>15729559</v>
      </c>
      <c r="AD904" t="s">
        <v>5</v>
      </c>
      <c r="AE904">
        <v>14</v>
      </c>
      <c r="AF904">
        <v>2</v>
      </c>
      <c r="AH904" t="s">
        <v>2914</v>
      </c>
      <c r="AI904" t="s">
        <v>2913</v>
      </c>
      <c r="AK904" t="s">
        <v>2912</v>
      </c>
      <c r="AL904">
        <v>0</v>
      </c>
      <c r="AM904" s="5">
        <f t="shared" si="114"/>
        <v>0</v>
      </c>
      <c r="AN904" s="4">
        <f t="shared" si="119"/>
        <v>0</v>
      </c>
      <c r="AO904" s="3"/>
      <c r="AP904">
        <v>0</v>
      </c>
      <c r="AR904" t="s">
        <v>1</v>
      </c>
      <c r="AT904" s="2" t="s">
        <v>0</v>
      </c>
      <c r="AU904" s="1">
        <f t="shared" si="115"/>
        <v>1.1491951629694881</v>
      </c>
      <c r="AV904" s="1">
        <f t="shared" si="116"/>
        <v>0.82085368783534873</v>
      </c>
      <c r="AW904" s="1">
        <f t="shared" si="117"/>
        <v>0.49251221270120926</v>
      </c>
    </row>
    <row r="905" spans="1:49" x14ac:dyDescent="0.2">
      <c r="A905">
        <v>903</v>
      </c>
      <c r="B905" t="s">
        <v>2911</v>
      </c>
      <c r="C905" t="s">
        <v>2910</v>
      </c>
      <c r="F905" t="s">
        <v>2909</v>
      </c>
      <c r="G905" t="s">
        <v>15</v>
      </c>
      <c r="H905" t="s">
        <v>14</v>
      </c>
      <c r="I905" t="s">
        <v>2908</v>
      </c>
      <c r="J905">
        <v>60027090</v>
      </c>
      <c r="K905" t="s">
        <v>2907</v>
      </c>
      <c r="L905" t="s">
        <v>2906</v>
      </c>
      <c r="M905" t="s">
        <v>10</v>
      </c>
      <c r="N905">
        <v>2</v>
      </c>
      <c r="O905" t="s">
        <v>2905</v>
      </c>
      <c r="P905" t="s">
        <v>2904</v>
      </c>
      <c r="Q905" t="s">
        <v>2903</v>
      </c>
      <c r="R905" s="7">
        <v>33970</v>
      </c>
      <c r="S905" s="8">
        <f t="shared" si="112"/>
        <v>1993</v>
      </c>
      <c r="T905" s="8">
        <v>1993</v>
      </c>
      <c r="U905" s="8">
        <f t="shared" si="113"/>
        <v>29</v>
      </c>
      <c r="V905" s="7">
        <v>34001</v>
      </c>
      <c r="W905" t="s">
        <v>868</v>
      </c>
      <c r="X905" s="2">
        <v>0.375</v>
      </c>
      <c r="Y905" s="6">
        <f t="shared" si="118"/>
        <v>1.0010410827260351E-2</v>
      </c>
      <c r="AA905">
        <v>135194</v>
      </c>
      <c r="AB905">
        <v>24918</v>
      </c>
      <c r="AD905" t="s">
        <v>5</v>
      </c>
      <c r="AE905">
        <v>29</v>
      </c>
      <c r="AF905">
        <v>4</v>
      </c>
      <c r="AH905" t="s">
        <v>2902</v>
      </c>
      <c r="AI905" t="s">
        <v>2901</v>
      </c>
      <c r="AJ905" t="s">
        <v>2900</v>
      </c>
      <c r="AK905" t="s">
        <v>2899</v>
      </c>
      <c r="AL905">
        <v>24</v>
      </c>
      <c r="AM905" s="5">
        <f t="shared" si="114"/>
        <v>0.82758620689655171</v>
      </c>
      <c r="AN905" s="4">
        <f t="shared" si="119"/>
        <v>1.2534437060152241E-3</v>
      </c>
      <c r="AO905" s="3"/>
      <c r="AP905">
        <v>0</v>
      </c>
      <c r="AR905" t="s">
        <v>1</v>
      </c>
      <c r="AT905" s="2">
        <v>1.3140000000000001</v>
      </c>
      <c r="AU905" s="1">
        <f t="shared" si="115"/>
        <v>0.73833206908868132</v>
      </c>
      <c r="AV905" s="1">
        <f t="shared" si="116"/>
        <v>0.56319272666377873</v>
      </c>
      <c r="AW905" s="1">
        <f t="shared" si="117"/>
        <v>0.3880533842388762</v>
      </c>
    </row>
    <row r="906" spans="1:49" x14ac:dyDescent="0.2">
      <c r="A906">
        <v>904</v>
      </c>
      <c r="B906" t="s">
        <v>2898</v>
      </c>
      <c r="C906" t="s">
        <v>2897</v>
      </c>
      <c r="F906" t="s">
        <v>2896</v>
      </c>
      <c r="G906" t="s">
        <v>15</v>
      </c>
      <c r="H906" t="s">
        <v>14</v>
      </c>
      <c r="I906" t="s">
        <v>2895</v>
      </c>
      <c r="J906">
        <v>60030553</v>
      </c>
      <c r="K906" t="s">
        <v>305</v>
      </c>
      <c r="L906" t="s">
        <v>304</v>
      </c>
      <c r="M906" t="s">
        <v>303</v>
      </c>
      <c r="N906">
        <v>3</v>
      </c>
      <c r="O906" t="s">
        <v>2894</v>
      </c>
      <c r="P906" t="s">
        <v>2893</v>
      </c>
      <c r="Q906" t="s">
        <v>2892</v>
      </c>
      <c r="R906" s="7">
        <v>33970</v>
      </c>
      <c r="S906" s="8">
        <f t="shared" si="112"/>
        <v>1993</v>
      </c>
      <c r="T906" s="8">
        <v>1993</v>
      </c>
      <c r="U906" s="8">
        <f t="shared" si="113"/>
        <v>29</v>
      </c>
      <c r="V906" s="7">
        <v>34001</v>
      </c>
      <c r="W906" t="s">
        <v>868</v>
      </c>
      <c r="X906" s="2">
        <v>0.375</v>
      </c>
      <c r="Y906" s="6">
        <f t="shared" si="118"/>
        <v>1.0010410827260351E-2</v>
      </c>
      <c r="AA906">
        <v>135194</v>
      </c>
      <c r="AB906">
        <v>24918</v>
      </c>
      <c r="AD906" t="s">
        <v>5</v>
      </c>
      <c r="AE906">
        <v>29</v>
      </c>
      <c r="AF906">
        <v>4</v>
      </c>
      <c r="AH906" t="s">
        <v>2891</v>
      </c>
      <c r="AI906" t="s">
        <v>2890</v>
      </c>
      <c r="AJ906" t="s">
        <v>2889</v>
      </c>
      <c r="AK906" t="s">
        <v>2888</v>
      </c>
      <c r="AL906">
        <v>138</v>
      </c>
      <c r="AM906" s="5">
        <f t="shared" si="114"/>
        <v>4.7586206896551726</v>
      </c>
      <c r="AN906" s="4">
        <f t="shared" si="119"/>
        <v>7.2073013095875389E-3</v>
      </c>
      <c r="AO906" s="3"/>
      <c r="AP906">
        <v>0</v>
      </c>
      <c r="AR906" t="s">
        <v>1</v>
      </c>
      <c r="AT906" s="2">
        <v>1.3140000000000001</v>
      </c>
      <c r="AU906" s="1">
        <f t="shared" si="115"/>
        <v>0.91694779719585073</v>
      </c>
      <c r="AV906" s="1">
        <f t="shared" si="116"/>
        <v>0.86088560684239446</v>
      </c>
      <c r="AW906" s="1">
        <f t="shared" si="117"/>
        <v>0.80482341648893807</v>
      </c>
    </row>
    <row r="907" spans="1:49" x14ac:dyDescent="0.2">
      <c r="A907">
        <v>905</v>
      </c>
      <c r="B907" t="s">
        <v>2887</v>
      </c>
      <c r="C907" t="s">
        <v>2886</v>
      </c>
      <c r="F907" t="s">
        <v>2885</v>
      </c>
      <c r="G907" t="s">
        <v>15</v>
      </c>
      <c r="H907" t="s">
        <v>14</v>
      </c>
      <c r="I907" t="s">
        <v>2884</v>
      </c>
      <c r="J907">
        <v>60018735</v>
      </c>
      <c r="K907" t="s">
        <v>2883</v>
      </c>
      <c r="L907" t="s">
        <v>151</v>
      </c>
      <c r="M907" t="s">
        <v>150</v>
      </c>
      <c r="N907">
        <v>3</v>
      </c>
      <c r="O907" t="s">
        <v>2882</v>
      </c>
      <c r="P907" t="s">
        <v>2881</v>
      </c>
      <c r="Q907" t="s">
        <v>2880</v>
      </c>
      <c r="R907" s="7">
        <v>33970</v>
      </c>
      <c r="S907" s="8">
        <f t="shared" si="112"/>
        <v>1993</v>
      </c>
      <c r="T907" s="8">
        <v>1993</v>
      </c>
      <c r="U907" s="8">
        <f t="shared" si="113"/>
        <v>29</v>
      </c>
      <c r="V907" s="7">
        <v>1993</v>
      </c>
      <c r="W907" t="s">
        <v>1720</v>
      </c>
      <c r="X907" s="2">
        <v>0.111</v>
      </c>
      <c r="Y907" s="6">
        <f t="shared" si="118"/>
        <v>2.9630816048690639E-3</v>
      </c>
      <c r="AA907">
        <v>87566621</v>
      </c>
      <c r="AB907">
        <v>24890</v>
      </c>
      <c r="AC907">
        <v>15206424</v>
      </c>
      <c r="AD907" t="s">
        <v>5</v>
      </c>
      <c r="AE907">
        <v>76</v>
      </c>
      <c r="AF907">
        <v>2</v>
      </c>
      <c r="AH907" t="s">
        <v>2879</v>
      </c>
      <c r="AI907" t="s">
        <v>2878</v>
      </c>
      <c r="AJ907" t="s">
        <v>2877</v>
      </c>
      <c r="AK907" t="s">
        <v>2876</v>
      </c>
      <c r="AL907">
        <v>0</v>
      </c>
      <c r="AM907" s="5">
        <f t="shared" si="114"/>
        <v>0</v>
      </c>
      <c r="AN907" s="4">
        <f t="shared" si="119"/>
        <v>0</v>
      </c>
      <c r="AO907" s="3"/>
      <c r="AP907">
        <v>0</v>
      </c>
      <c r="AR907" t="s">
        <v>1</v>
      </c>
      <c r="AT907" s="2" t="s">
        <v>0</v>
      </c>
      <c r="AU907" s="1">
        <f t="shared" si="115"/>
        <v>0.20741571234083445</v>
      </c>
      <c r="AV907" s="1">
        <f t="shared" si="116"/>
        <v>0.1481540802434532</v>
      </c>
      <c r="AW907" s="1">
        <f t="shared" si="117"/>
        <v>8.8892448146071903E-2</v>
      </c>
    </row>
    <row r="908" spans="1:49" x14ac:dyDescent="0.2">
      <c r="A908">
        <v>906</v>
      </c>
      <c r="B908" t="s">
        <v>2875</v>
      </c>
      <c r="C908" t="s">
        <v>2874</v>
      </c>
      <c r="F908" t="s">
        <v>2873</v>
      </c>
      <c r="G908" t="s">
        <v>15</v>
      </c>
      <c r="H908" t="s">
        <v>14</v>
      </c>
      <c r="I908" t="s">
        <v>2872</v>
      </c>
      <c r="J908">
        <v>60010499</v>
      </c>
      <c r="K908" t="s">
        <v>2871</v>
      </c>
      <c r="L908" t="s">
        <v>2870</v>
      </c>
      <c r="M908" t="s">
        <v>2371</v>
      </c>
      <c r="N908">
        <v>2</v>
      </c>
      <c r="O908" t="s">
        <v>2869</v>
      </c>
      <c r="P908" t="s">
        <v>2868</v>
      </c>
      <c r="Q908" t="s">
        <v>2867</v>
      </c>
      <c r="R908" s="7">
        <v>33970</v>
      </c>
      <c r="S908" s="8">
        <f t="shared" si="112"/>
        <v>1993</v>
      </c>
      <c r="T908" s="8">
        <v>1993</v>
      </c>
      <c r="U908" s="8">
        <f t="shared" si="113"/>
        <v>29</v>
      </c>
      <c r="V908" s="7">
        <v>34001</v>
      </c>
      <c r="W908" t="s">
        <v>868</v>
      </c>
      <c r="X908" s="2">
        <v>0.375</v>
      </c>
      <c r="Y908" s="6">
        <f t="shared" si="118"/>
        <v>1.0010410827260351E-2</v>
      </c>
      <c r="AA908">
        <v>135194</v>
      </c>
      <c r="AB908">
        <v>24918</v>
      </c>
      <c r="AD908" t="s">
        <v>5</v>
      </c>
      <c r="AE908">
        <v>29</v>
      </c>
      <c r="AF908">
        <v>4</v>
      </c>
      <c r="AH908" t="s">
        <v>2866</v>
      </c>
      <c r="AI908" t="s">
        <v>2865</v>
      </c>
      <c r="AJ908" t="s">
        <v>2864</v>
      </c>
      <c r="AK908" t="s">
        <v>2863</v>
      </c>
      <c r="AL908">
        <v>3</v>
      </c>
      <c r="AM908" s="5">
        <f t="shared" si="114"/>
        <v>0.10344827586206896</v>
      </c>
      <c r="AN908" s="4">
        <f t="shared" si="119"/>
        <v>1.5668046325190301E-4</v>
      </c>
      <c r="AO908" s="3"/>
      <c r="AP908">
        <v>0</v>
      </c>
      <c r="AR908" t="s">
        <v>1</v>
      </c>
      <c r="AT908" s="2">
        <v>1.3140000000000001</v>
      </c>
      <c r="AU908" s="1">
        <f t="shared" si="115"/>
        <v>0.70542917180578169</v>
      </c>
      <c r="AV908" s="1">
        <f t="shared" si="116"/>
        <v>0.50835456452561267</v>
      </c>
      <c r="AW908" s="1">
        <f t="shared" si="117"/>
        <v>0.31127995724544377</v>
      </c>
    </row>
    <row r="909" spans="1:49" x14ac:dyDescent="0.2">
      <c r="A909">
        <v>907</v>
      </c>
      <c r="B909" t="s">
        <v>2862</v>
      </c>
      <c r="C909" t="s">
        <v>2861</v>
      </c>
      <c r="F909" t="s">
        <v>2860</v>
      </c>
      <c r="G909" t="s">
        <v>15</v>
      </c>
      <c r="H909" t="s">
        <v>14</v>
      </c>
      <c r="I909" t="s">
        <v>2859</v>
      </c>
      <c r="J909">
        <v>60023053</v>
      </c>
      <c r="K909" t="s">
        <v>2858</v>
      </c>
      <c r="L909" t="s">
        <v>2857</v>
      </c>
      <c r="M909" t="s">
        <v>10</v>
      </c>
      <c r="N909">
        <v>1</v>
      </c>
      <c r="O909" t="s">
        <v>2856</v>
      </c>
      <c r="P909">
        <v>56277383900</v>
      </c>
      <c r="Q909">
        <v>60023053</v>
      </c>
      <c r="R909" s="7">
        <v>33970</v>
      </c>
      <c r="S909" s="8">
        <f t="shared" si="112"/>
        <v>1993</v>
      </c>
      <c r="T909" s="8">
        <v>1993</v>
      </c>
      <c r="U909" s="8">
        <f t="shared" si="113"/>
        <v>29</v>
      </c>
      <c r="V909" s="7">
        <v>34001</v>
      </c>
      <c r="W909" t="s">
        <v>2801</v>
      </c>
      <c r="X909" s="2">
        <v>0.65500000000000003</v>
      </c>
      <c r="Y909" s="6">
        <f t="shared" si="118"/>
        <v>1.7484850911614749E-2</v>
      </c>
      <c r="AA909">
        <v>189375</v>
      </c>
      <c r="AB909">
        <v>26051</v>
      </c>
      <c r="AC909" t="s">
        <v>2800</v>
      </c>
      <c r="AD909" t="s">
        <v>5</v>
      </c>
      <c r="AE909">
        <v>35</v>
      </c>
      <c r="AF909">
        <v>1</v>
      </c>
      <c r="AH909" t="s">
        <v>2855</v>
      </c>
      <c r="AI909" t="s">
        <v>2854</v>
      </c>
      <c r="AK909" t="s">
        <v>2853</v>
      </c>
      <c r="AL909">
        <v>7</v>
      </c>
      <c r="AM909" s="5">
        <f t="shared" si="114"/>
        <v>0.2413793103448276</v>
      </c>
      <c r="AN909" s="4">
        <f t="shared" si="119"/>
        <v>3.655877475877737E-4</v>
      </c>
      <c r="AO909" s="3"/>
      <c r="AP909">
        <v>0</v>
      </c>
      <c r="AR909" t="s">
        <v>1</v>
      </c>
      <c r="AT909" s="2" t="s">
        <v>0</v>
      </c>
      <c r="AU909" s="1">
        <f t="shared" si="115"/>
        <v>1.2349071962406655</v>
      </c>
      <c r="AV909" s="1">
        <f t="shared" si="116"/>
        <v>0.89252193296012616</v>
      </c>
      <c r="AW909" s="1">
        <f t="shared" si="117"/>
        <v>0.55013666967958663</v>
      </c>
    </row>
    <row r="910" spans="1:49" x14ac:dyDescent="0.2">
      <c r="A910">
        <v>908</v>
      </c>
      <c r="B910" t="s">
        <v>2852</v>
      </c>
      <c r="E910">
        <v>7680063</v>
      </c>
      <c r="F910" t="s">
        <v>2851</v>
      </c>
      <c r="G910" t="s">
        <v>15</v>
      </c>
      <c r="H910" t="s">
        <v>14</v>
      </c>
      <c r="I910" t="s">
        <v>2850</v>
      </c>
      <c r="J910">
        <v>60015815</v>
      </c>
      <c r="K910" t="s">
        <v>2849</v>
      </c>
      <c r="L910" t="s">
        <v>2003</v>
      </c>
      <c r="M910" t="s">
        <v>59</v>
      </c>
      <c r="N910">
        <v>4</v>
      </c>
      <c r="O910" t="s">
        <v>2848</v>
      </c>
      <c r="P910" t="s">
        <v>2847</v>
      </c>
      <c r="Q910" t="s">
        <v>2846</v>
      </c>
      <c r="R910" s="7">
        <v>33970</v>
      </c>
      <c r="S910" s="8">
        <f t="shared" si="112"/>
        <v>1993</v>
      </c>
      <c r="T910" s="8">
        <v>1993</v>
      </c>
      <c r="U910" s="8">
        <f t="shared" si="113"/>
        <v>29</v>
      </c>
      <c r="V910" s="7">
        <v>34001</v>
      </c>
      <c r="W910" t="s">
        <v>2845</v>
      </c>
      <c r="X910" s="2" t="s">
        <v>0</v>
      </c>
      <c r="Y910" s="6" t="e">
        <f t="shared" si="118"/>
        <v>#VALUE!</v>
      </c>
      <c r="AA910">
        <v>220949</v>
      </c>
      <c r="AB910">
        <v>29605</v>
      </c>
      <c r="AD910" t="s">
        <v>5</v>
      </c>
      <c r="AE910">
        <v>175</v>
      </c>
      <c r="AH910" t="s">
        <v>2844</v>
      </c>
      <c r="AI910" t="s">
        <v>2843</v>
      </c>
      <c r="AK910" t="s">
        <v>2842</v>
      </c>
      <c r="AL910">
        <v>0</v>
      </c>
      <c r="AM910" s="5">
        <f t="shared" si="114"/>
        <v>0</v>
      </c>
      <c r="AN910" s="4">
        <f t="shared" si="119"/>
        <v>0</v>
      </c>
      <c r="AO910" s="3"/>
      <c r="AP910">
        <v>0</v>
      </c>
      <c r="AR910" t="s">
        <v>1</v>
      </c>
      <c r="AT910" s="2" t="s">
        <v>0</v>
      </c>
      <c r="AU910" s="1" t="e">
        <f t="shared" si="115"/>
        <v>#VALUE!</v>
      </c>
      <c r="AV910" s="1" t="e">
        <f t="shared" si="116"/>
        <v>#VALUE!</v>
      </c>
      <c r="AW910" s="1" t="e">
        <f t="shared" si="117"/>
        <v>#VALUE!</v>
      </c>
    </row>
    <row r="911" spans="1:49" x14ac:dyDescent="0.2">
      <c r="A911">
        <v>909</v>
      </c>
      <c r="B911" t="s">
        <v>2841</v>
      </c>
      <c r="C911" t="s">
        <v>2840</v>
      </c>
      <c r="F911" t="s">
        <v>2839</v>
      </c>
      <c r="G911" t="s">
        <v>15</v>
      </c>
      <c r="H911" t="s">
        <v>14</v>
      </c>
      <c r="I911" t="s">
        <v>2838</v>
      </c>
      <c r="J911" t="s">
        <v>2833</v>
      </c>
      <c r="K911" t="s">
        <v>2837</v>
      </c>
      <c r="L911" t="s">
        <v>2836</v>
      </c>
      <c r="M911" t="s">
        <v>478</v>
      </c>
      <c r="N911">
        <v>2</v>
      </c>
      <c r="O911" t="s">
        <v>2835</v>
      </c>
      <c r="P911" t="s">
        <v>2834</v>
      </c>
      <c r="Q911" t="s">
        <v>2833</v>
      </c>
      <c r="R911" s="7">
        <v>33970</v>
      </c>
      <c r="S911" s="8">
        <f t="shared" si="112"/>
        <v>1993</v>
      </c>
      <c r="T911" s="8">
        <v>1993</v>
      </c>
      <c r="U911" s="8">
        <f t="shared" si="113"/>
        <v>29</v>
      </c>
      <c r="V911" s="7">
        <v>34001</v>
      </c>
      <c r="W911" t="s">
        <v>2801</v>
      </c>
      <c r="X911" s="2">
        <v>0.65500000000000003</v>
      </c>
      <c r="Y911" s="6">
        <f t="shared" si="118"/>
        <v>1.7484850911614749E-2</v>
      </c>
      <c r="AA911">
        <v>189375</v>
      </c>
      <c r="AB911">
        <v>26051</v>
      </c>
      <c r="AC911" t="s">
        <v>2800</v>
      </c>
      <c r="AD911" t="s">
        <v>5</v>
      </c>
      <c r="AE911">
        <v>35</v>
      </c>
      <c r="AF911">
        <v>1</v>
      </c>
      <c r="AH911" t="s">
        <v>2832</v>
      </c>
      <c r="AI911" t="s">
        <v>2831</v>
      </c>
      <c r="AK911" t="s">
        <v>2830</v>
      </c>
      <c r="AL911">
        <v>9</v>
      </c>
      <c r="AM911" s="5">
        <f t="shared" si="114"/>
        <v>0.31034482758620691</v>
      </c>
      <c r="AN911" s="4">
        <f t="shared" si="119"/>
        <v>4.7004138975570908E-4</v>
      </c>
      <c r="AO911" s="3"/>
      <c r="AP911">
        <v>0</v>
      </c>
      <c r="AR911" t="s">
        <v>1</v>
      </c>
      <c r="AT911" s="2" t="s">
        <v>0</v>
      </c>
      <c r="AU911" s="1">
        <f t="shared" si="115"/>
        <v>1.2380408055057035</v>
      </c>
      <c r="AV911" s="1">
        <f t="shared" si="116"/>
        <v>0.89774461506852288</v>
      </c>
      <c r="AW911" s="1">
        <f t="shared" si="117"/>
        <v>0.55744842463134214</v>
      </c>
    </row>
    <row r="912" spans="1:49" x14ac:dyDescent="0.2">
      <c r="A912">
        <v>910</v>
      </c>
      <c r="B912" t="s">
        <v>2829</v>
      </c>
      <c r="C912" t="s">
        <v>2828</v>
      </c>
      <c r="F912" t="s">
        <v>2827</v>
      </c>
      <c r="G912" t="s">
        <v>15</v>
      </c>
      <c r="H912" t="s">
        <v>14</v>
      </c>
      <c r="I912" t="s">
        <v>2826</v>
      </c>
      <c r="J912">
        <v>60015138</v>
      </c>
      <c r="K912" t="s">
        <v>2825</v>
      </c>
      <c r="L912" t="s">
        <v>1607</v>
      </c>
      <c r="M912" t="s">
        <v>493</v>
      </c>
      <c r="N912">
        <v>4</v>
      </c>
      <c r="O912" t="s">
        <v>2824</v>
      </c>
      <c r="P912" t="s">
        <v>2823</v>
      </c>
      <c r="Q912" t="s">
        <v>2822</v>
      </c>
      <c r="R912" s="7">
        <v>33970</v>
      </c>
      <c r="S912" s="8">
        <f t="shared" si="112"/>
        <v>1993</v>
      </c>
      <c r="T912" s="8">
        <v>1993</v>
      </c>
      <c r="U912" s="8">
        <f t="shared" si="113"/>
        <v>29</v>
      </c>
      <c r="V912" s="7">
        <v>34001</v>
      </c>
      <c r="W912" t="s">
        <v>2801</v>
      </c>
      <c r="X912" s="2">
        <v>0.65500000000000003</v>
      </c>
      <c r="Y912" s="6">
        <f t="shared" si="118"/>
        <v>1.7484850911614749E-2</v>
      </c>
      <c r="AA912">
        <v>189375</v>
      </c>
      <c r="AB912">
        <v>26051</v>
      </c>
      <c r="AC912" t="s">
        <v>2800</v>
      </c>
      <c r="AD912" t="s">
        <v>5</v>
      </c>
      <c r="AE912">
        <v>35</v>
      </c>
      <c r="AF912">
        <v>1</v>
      </c>
      <c r="AH912" t="s">
        <v>2821</v>
      </c>
      <c r="AI912" t="s">
        <v>2820</v>
      </c>
      <c r="AK912" t="s">
        <v>2819</v>
      </c>
      <c r="AL912">
        <v>10</v>
      </c>
      <c r="AM912" s="5">
        <f t="shared" si="114"/>
        <v>0.34482758620689657</v>
      </c>
      <c r="AN912" s="4">
        <f t="shared" si="119"/>
        <v>5.2226821083967677E-4</v>
      </c>
      <c r="AO912" s="3"/>
      <c r="AP912">
        <v>0</v>
      </c>
      <c r="AR912" t="s">
        <v>1</v>
      </c>
      <c r="AT912" s="2" t="s">
        <v>0</v>
      </c>
      <c r="AU912" s="1">
        <f t="shared" si="115"/>
        <v>1.2396076101382225</v>
      </c>
      <c r="AV912" s="1">
        <f t="shared" si="116"/>
        <v>0.90035595612272135</v>
      </c>
      <c r="AW912" s="1">
        <f t="shared" si="117"/>
        <v>0.56110430210721984</v>
      </c>
    </row>
    <row r="913" spans="1:49" x14ac:dyDescent="0.2">
      <c r="A913">
        <v>911</v>
      </c>
      <c r="B913" t="s">
        <v>2818</v>
      </c>
      <c r="C913" t="s">
        <v>2817</v>
      </c>
      <c r="F913" t="s">
        <v>2816</v>
      </c>
      <c r="G913" t="s">
        <v>15</v>
      </c>
      <c r="H913" t="s">
        <v>14</v>
      </c>
      <c r="I913" t="s">
        <v>2815</v>
      </c>
      <c r="J913">
        <v>60096653</v>
      </c>
      <c r="K913" t="s">
        <v>2814</v>
      </c>
      <c r="L913" t="s">
        <v>2813</v>
      </c>
      <c r="M913" t="s">
        <v>10</v>
      </c>
      <c r="N913">
        <v>1</v>
      </c>
      <c r="O913" t="s">
        <v>2812</v>
      </c>
      <c r="P913">
        <v>7005692363</v>
      </c>
      <c r="Q913">
        <v>60096653</v>
      </c>
      <c r="R913" s="7">
        <v>33970</v>
      </c>
      <c r="S913" s="8">
        <f t="shared" si="112"/>
        <v>1993</v>
      </c>
      <c r="T913" s="8">
        <v>1993</v>
      </c>
      <c r="U913" s="8">
        <f t="shared" si="113"/>
        <v>29</v>
      </c>
      <c r="V913" s="7">
        <v>34001</v>
      </c>
      <c r="W913" t="s">
        <v>2801</v>
      </c>
      <c r="X913" s="2">
        <v>0.65500000000000003</v>
      </c>
      <c r="Y913" s="6">
        <f t="shared" si="118"/>
        <v>1.7484850911614749E-2</v>
      </c>
      <c r="AA913">
        <v>189375</v>
      </c>
      <c r="AB913">
        <v>26051</v>
      </c>
      <c r="AC913" t="s">
        <v>2800</v>
      </c>
      <c r="AD913" t="s">
        <v>5</v>
      </c>
      <c r="AE913">
        <v>35</v>
      </c>
      <c r="AF913">
        <v>1</v>
      </c>
      <c r="AH913" t="s">
        <v>2811</v>
      </c>
      <c r="AI913" t="s">
        <v>2810</v>
      </c>
      <c r="AK913" t="s">
        <v>2809</v>
      </c>
      <c r="AL913">
        <v>8</v>
      </c>
      <c r="AM913" s="5">
        <f t="shared" si="114"/>
        <v>0.27586206896551724</v>
      </c>
      <c r="AN913" s="4">
        <f t="shared" si="119"/>
        <v>4.1781456867174139E-4</v>
      </c>
      <c r="AO913" s="3"/>
      <c r="AP913">
        <v>0</v>
      </c>
      <c r="AR913" t="s">
        <v>1</v>
      </c>
      <c r="AT913" s="2" t="s">
        <v>0</v>
      </c>
      <c r="AU913" s="1">
        <f t="shared" si="115"/>
        <v>1.2364740008731845</v>
      </c>
      <c r="AV913" s="1">
        <f t="shared" si="116"/>
        <v>0.89513327401432452</v>
      </c>
      <c r="AW913" s="1">
        <f t="shared" si="117"/>
        <v>0.55379254715546433</v>
      </c>
    </row>
    <row r="914" spans="1:49" x14ac:dyDescent="0.2">
      <c r="A914">
        <v>912</v>
      </c>
      <c r="B914" t="s">
        <v>2808</v>
      </c>
      <c r="C914" t="s">
        <v>2807</v>
      </c>
      <c r="F914" t="s">
        <v>2806</v>
      </c>
      <c r="G914" t="s">
        <v>15</v>
      </c>
      <c r="H914" t="s">
        <v>14</v>
      </c>
      <c r="I914" t="s">
        <v>2805</v>
      </c>
      <c r="J914">
        <v>60031707</v>
      </c>
      <c r="K914" t="s">
        <v>2804</v>
      </c>
      <c r="L914" t="s">
        <v>2803</v>
      </c>
      <c r="M914" t="s">
        <v>10</v>
      </c>
      <c r="N914">
        <v>1</v>
      </c>
      <c r="O914" t="s">
        <v>2802</v>
      </c>
      <c r="P914">
        <v>7402666792</v>
      </c>
      <c r="Q914">
        <v>60031707</v>
      </c>
      <c r="R914" s="7">
        <v>33970</v>
      </c>
      <c r="S914" s="8">
        <f t="shared" si="112"/>
        <v>1993</v>
      </c>
      <c r="T914" s="8">
        <v>1993</v>
      </c>
      <c r="U914" s="8">
        <f t="shared" si="113"/>
        <v>29</v>
      </c>
      <c r="V914" s="7">
        <v>34001</v>
      </c>
      <c r="W914" t="s">
        <v>2801</v>
      </c>
      <c r="X914" s="2">
        <v>0.65500000000000003</v>
      </c>
      <c r="Y914" s="6">
        <f t="shared" si="118"/>
        <v>1.7484850911614749E-2</v>
      </c>
      <c r="AA914">
        <v>189375</v>
      </c>
      <c r="AB914">
        <v>26051</v>
      </c>
      <c r="AC914" t="s">
        <v>2800</v>
      </c>
      <c r="AD914" t="s">
        <v>5</v>
      </c>
      <c r="AE914">
        <v>35</v>
      </c>
      <c r="AF914">
        <v>1</v>
      </c>
      <c r="AH914" t="s">
        <v>2799</v>
      </c>
      <c r="AI914" t="s">
        <v>2798</v>
      </c>
      <c r="AK914" t="s">
        <v>2797</v>
      </c>
      <c r="AL914">
        <v>7</v>
      </c>
      <c r="AM914" s="5">
        <f t="shared" si="114"/>
        <v>0.2413793103448276</v>
      </c>
      <c r="AN914" s="4">
        <f t="shared" si="119"/>
        <v>3.655877475877737E-4</v>
      </c>
      <c r="AO914" s="3"/>
      <c r="AP914">
        <v>0</v>
      </c>
      <c r="AR914" t="s">
        <v>1</v>
      </c>
      <c r="AT914" s="2" t="s">
        <v>0</v>
      </c>
      <c r="AU914" s="1">
        <f t="shared" si="115"/>
        <v>1.2349071962406655</v>
      </c>
      <c r="AV914" s="1">
        <f t="shared" si="116"/>
        <v>0.89252193296012616</v>
      </c>
      <c r="AW914" s="1">
        <f t="shared" si="117"/>
        <v>0.55013666967958663</v>
      </c>
    </row>
    <row r="915" spans="1:49" x14ac:dyDescent="0.2">
      <c r="A915">
        <v>913</v>
      </c>
      <c r="B915" t="s">
        <v>2796</v>
      </c>
      <c r="C915" t="s">
        <v>2795</v>
      </c>
      <c r="F915" t="s">
        <v>2794</v>
      </c>
      <c r="G915" t="s">
        <v>15</v>
      </c>
      <c r="H915" t="s">
        <v>14</v>
      </c>
      <c r="I915" t="s">
        <v>2793</v>
      </c>
      <c r="J915" t="s">
        <v>2792</v>
      </c>
      <c r="K915" t="s">
        <v>2791</v>
      </c>
      <c r="L915" t="s">
        <v>2790</v>
      </c>
      <c r="M915" t="s">
        <v>235</v>
      </c>
      <c r="N915">
        <v>3</v>
      </c>
      <c r="O915" t="s">
        <v>2789</v>
      </c>
      <c r="P915" t="s">
        <v>2788</v>
      </c>
      <c r="Q915" t="s">
        <v>2787</v>
      </c>
      <c r="R915" s="7">
        <v>33970</v>
      </c>
      <c r="S915" s="8">
        <f t="shared" si="112"/>
        <v>1993</v>
      </c>
      <c r="T915" s="8">
        <v>1993</v>
      </c>
      <c r="U915" s="8">
        <f t="shared" si="113"/>
        <v>29</v>
      </c>
      <c r="V915" s="7">
        <v>34001</v>
      </c>
      <c r="W915" t="s">
        <v>2786</v>
      </c>
      <c r="X915" s="2">
        <v>0.74099999999999999</v>
      </c>
      <c r="Y915" s="6">
        <f t="shared" si="118"/>
        <v>1.9780571794666454E-2</v>
      </c>
      <c r="AA915">
        <v>7403224</v>
      </c>
      <c r="AB915">
        <v>12341</v>
      </c>
      <c r="AD915" t="s">
        <v>5</v>
      </c>
      <c r="AE915">
        <v>10</v>
      </c>
      <c r="AF915">
        <v>2</v>
      </c>
      <c r="AH915" t="s">
        <v>2785</v>
      </c>
      <c r="AI915" t="s">
        <v>2784</v>
      </c>
      <c r="AK915" t="s">
        <v>2783</v>
      </c>
      <c r="AL915">
        <v>324</v>
      </c>
      <c r="AM915" s="5">
        <f t="shared" si="114"/>
        <v>11.172413793103448</v>
      </c>
      <c r="AN915" s="4">
        <f t="shared" si="119"/>
        <v>1.6921490031205525E-2</v>
      </c>
      <c r="AO915" s="3"/>
      <c r="AP915">
        <v>0</v>
      </c>
      <c r="AR915" t="s">
        <v>1</v>
      </c>
      <c r="AT915" s="2" t="s">
        <v>0</v>
      </c>
      <c r="AU915" s="1">
        <f t="shared" si="115"/>
        <v>1.8922847265628175</v>
      </c>
      <c r="AV915" s="1">
        <f t="shared" si="116"/>
        <v>1.8351030912935988</v>
      </c>
      <c r="AW915" s="1">
        <f t="shared" si="117"/>
        <v>1.7779214560243803</v>
      </c>
    </row>
    <row r="916" spans="1:49" x14ac:dyDescent="0.2">
      <c r="A916">
        <v>914</v>
      </c>
      <c r="B916" t="s">
        <v>2782</v>
      </c>
      <c r="C916" t="s">
        <v>2781</v>
      </c>
      <c r="F916" t="s">
        <v>2780</v>
      </c>
      <c r="G916" t="s">
        <v>15</v>
      </c>
      <c r="H916" t="s">
        <v>14</v>
      </c>
      <c r="I916" t="s">
        <v>2779</v>
      </c>
      <c r="J916">
        <v>60032503</v>
      </c>
      <c r="K916" t="s">
        <v>2778</v>
      </c>
      <c r="L916" t="s">
        <v>618</v>
      </c>
      <c r="M916" t="s">
        <v>10</v>
      </c>
      <c r="N916">
        <v>1</v>
      </c>
      <c r="O916" t="s">
        <v>2777</v>
      </c>
      <c r="P916">
        <v>57206687693</v>
      </c>
      <c r="Q916">
        <v>60032503</v>
      </c>
      <c r="R916" s="7">
        <v>33970</v>
      </c>
      <c r="S916" s="8">
        <f t="shared" si="112"/>
        <v>1993</v>
      </c>
      <c r="T916" s="8">
        <v>1993</v>
      </c>
      <c r="U916" s="8">
        <f t="shared" si="113"/>
        <v>29</v>
      </c>
      <c r="V916" s="7">
        <v>34001</v>
      </c>
      <c r="W916" t="s">
        <v>2382</v>
      </c>
      <c r="X916" s="2">
        <v>0.30399999999999999</v>
      </c>
      <c r="Y916" s="6">
        <f t="shared" si="118"/>
        <v>8.115106377299057E-3</v>
      </c>
      <c r="AA916">
        <v>8952477</v>
      </c>
      <c r="AB916">
        <v>12250</v>
      </c>
      <c r="AC916">
        <v>10982760</v>
      </c>
      <c r="AD916" t="s">
        <v>5</v>
      </c>
      <c r="AE916">
        <v>6</v>
      </c>
      <c r="AF916">
        <v>2</v>
      </c>
      <c r="AH916" t="s">
        <v>2776</v>
      </c>
      <c r="AI916" t="s">
        <v>2775</v>
      </c>
      <c r="AJ916" t="s">
        <v>2774</v>
      </c>
      <c r="AK916" t="s">
        <v>2773</v>
      </c>
      <c r="AL916">
        <v>0</v>
      </c>
      <c r="AM916" s="5">
        <f t="shared" si="114"/>
        <v>0</v>
      </c>
      <c r="AN916" s="4">
        <f t="shared" si="119"/>
        <v>0</v>
      </c>
      <c r="AO916" s="3"/>
      <c r="AP916">
        <v>0</v>
      </c>
      <c r="AR916" t="s">
        <v>1</v>
      </c>
      <c r="AT916" s="2" t="s">
        <v>0</v>
      </c>
      <c r="AU916" s="1">
        <f t="shared" si="115"/>
        <v>0.56805744641093392</v>
      </c>
      <c r="AV916" s="1">
        <f t="shared" si="116"/>
        <v>0.40575531886495286</v>
      </c>
      <c r="AW916" s="1">
        <f t="shared" si="117"/>
        <v>0.24345319131897172</v>
      </c>
    </row>
    <row r="917" spans="1:49" x14ac:dyDescent="0.2">
      <c r="A917">
        <v>915</v>
      </c>
      <c r="B917" t="s">
        <v>2772</v>
      </c>
      <c r="C917" t="s">
        <v>2771</v>
      </c>
      <c r="F917" t="s">
        <v>2770</v>
      </c>
      <c r="G917" t="s">
        <v>15</v>
      </c>
      <c r="H917" t="s">
        <v>14</v>
      </c>
      <c r="I917" t="s">
        <v>2769</v>
      </c>
      <c r="J917">
        <v>60014313</v>
      </c>
      <c r="K917" t="s">
        <v>2652</v>
      </c>
      <c r="L917" t="s">
        <v>2651</v>
      </c>
      <c r="M917" t="s">
        <v>10</v>
      </c>
      <c r="N917">
        <v>3</v>
      </c>
      <c r="O917" t="s">
        <v>2768</v>
      </c>
      <c r="P917" t="s">
        <v>2767</v>
      </c>
      <c r="Q917" t="s">
        <v>2766</v>
      </c>
      <c r="R917" s="7">
        <v>33970</v>
      </c>
      <c r="S917" s="8">
        <f t="shared" si="112"/>
        <v>1993</v>
      </c>
      <c r="T917" s="8">
        <v>1993</v>
      </c>
      <c r="U917" s="8">
        <f t="shared" si="113"/>
        <v>29</v>
      </c>
      <c r="V917" s="7">
        <v>34001</v>
      </c>
      <c r="W917" t="s">
        <v>814</v>
      </c>
      <c r="X917" s="2">
        <v>1.6519999999999999</v>
      </c>
      <c r="Y917" s="6">
        <f t="shared" si="118"/>
        <v>4.409919649769093E-2</v>
      </c>
      <c r="AA917" t="s">
        <v>813</v>
      </c>
      <c r="AB917">
        <v>17337</v>
      </c>
      <c r="AC917">
        <v>15582221</v>
      </c>
      <c r="AD917" t="s">
        <v>5</v>
      </c>
      <c r="AE917">
        <v>41</v>
      </c>
      <c r="AF917">
        <v>2</v>
      </c>
      <c r="AH917" t="s">
        <v>2765</v>
      </c>
      <c r="AI917" t="s">
        <v>2764</v>
      </c>
      <c r="AK917" t="s">
        <v>2763</v>
      </c>
      <c r="AL917">
        <v>24</v>
      </c>
      <c r="AM917" s="5">
        <f t="shared" si="114"/>
        <v>0.82758620689655171</v>
      </c>
      <c r="AN917" s="4">
        <f t="shared" si="119"/>
        <v>1.2534437060152241E-3</v>
      </c>
      <c r="AO917" s="3"/>
      <c r="AP917">
        <v>0</v>
      </c>
      <c r="AQ917" t="s">
        <v>2762</v>
      </c>
      <c r="AR917" t="s">
        <v>2761</v>
      </c>
      <c r="AS917" t="s">
        <v>2760</v>
      </c>
      <c r="AT917" s="2" t="s">
        <v>0</v>
      </c>
      <c r="AU917" s="1">
        <f t="shared" si="115"/>
        <v>3.1245470660188217</v>
      </c>
      <c r="AV917" s="1">
        <f t="shared" si="116"/>
        <v>2.2676320101853076</v>
      </c>
      <c r="AW917" s="1">
        <f t="shared" si="117"/>
        <v>1.4107169543517935</v>
      </c>
    </row>
    <row r="918" spans="1:49" x14ac:dyDescent="0.2">
      <c r="A918">
        <v>916</v>
      </c>
      <c r="B918" t="s">
        <v>2759</v>
      </c>
      <c r="C918" t="s">
        <v>2758</v>
      </c>
      <c r="F918" t="s">
        <v>2757</v>
      </c>
      <c r="G918" t="s">
        <v>15</v>
      </c>
      <c r="H918" t="s">
        <v>14</v>
      </c>
      <c r="I918" t="s">
        <v>2756</v>
      </c>
      <c r="J918">
        <v>60000990</v>
      </c>
      <c r="K918" t="s">
        <v>2755</v>
      </c>
      <c r="L918" t="s">
        <v>2754</v>
      </c>
      <c r="M918" t="s">
        <v>120</v>
      </c>
      <c r="N918">
        <v>2</v>
      </c>
      <c r="O918" t="s">
        <v>2753</v>
      </c>
      <c r="P918" t="s">
        <v>2752</v>
      </c>
      <c r="Q918" t="s">
        <v>2751</v>
      </c>
      <c r="R918" s="7">
        <v>33970</v>
      </c>
      <c r="S918" s="8">
        <f t="shared" si="112"/>
        <v>1993</v>
      </c>
      <c r="T918" s="8">
        <v>1993</v>
      </c>
      <c r="U918" s="8">
        <f t="shared" si="113"/>
        <v>29</v>
      </c>
      <c r="V918" s="7" t="s">
        <v>2394</v>
      </c>
      <c r="W918" s="11" t="s">
        <v>2393</v>
      </c>
      <c r="X918" s="2">
        <v>2.383</v>
      </c>
      <c r="Y918" s="6">
        <f t="shared" si="118"/>
        <v>6.3612824003630442E-2</v>
      </c>
      <c r="AA918" t="s">
        <v>2392</v>
      </c>
      <c r="AB918">
        <v>101151</v>
      </c>
      <c r="AD918" t="s">
        <v>5</v>
      </c>
      <c r="AE918">
        <v>140</v>
      </c>
      <c r="AF918">
        <v>1</v>
      </c>
      <c r="AH918" t="s">
        <v>2750</v>
      </c>
      <c r="AI918" t="s">
        <v>2749</v>
      </c>
      <c r="AK918" t="s">
        <v>2748</v>
      </c>
      <c r="AL918">
        <v>29</v>
      </c>
      <c r="AM918" s="5">
        <f t="shared" si="114"/>
        <v>1</v>
      </c>
      <c r="AN918" s="4">
        <f t="shared" si="119"/>
        <v>1.5145778114350624E-3</v>
      </c>
      <c r="AO918" s="3"/>
      <c r="AP918">
        <v>0</v>
      </c>
      <c r="AR918" t="s">
        <v>1</v>
      </c>
      <c r="AT918" s="2" t="s">
        <v>0</v>
      </c>
      <c r="AU918" s="1">
        <f t="shared" si="115"/>
        <v>4.498335014597183</v>
      </c>
      <c r="AV918" s="1">
        <f t="shared" si="116"/>
        <v>3.2563700907532751</v>
      </c>
      <c r="AW918" s="1">
        <f t="shared" si="117"/>
        <v>2.0144051669093677</v>
      </c>
    </row>
    <row r="919" spans="1:49" x14ac:dyDescent="0.2">
      <c r="A919">
        <v>917</v>
      </c>
      <c r="B919" t="s">
        <v>2747</v>
      </c>
      <c r="C919" t="s">
        <v>2746</v>
      </c>
      <c r="F919" t="s">
        <v>2745</v>
      </c>
      <c r="G919" t="s">
        <v>15</v>
      </c>
      <c r="H919" t="s">
        <v>14</v>
      </c>
      <c r="I919" t="s">
        <v>2744</v>
      </c>
      <c r="J919">
        <v>60017103</v>
      </c>
      <c r="K919" t="s">
        <v>2743</v>
      </c>
      <c r="L919" t="s">
        <v>2742</v>
      </c>
      <c r="M919" t="s">
        <v>521</v>
      </c>
      <c r="N919">
        <v>1</v>
      </c>
      <c r="O919" t="s">
        <v>2741</v>
      </c>
      <c r="P919">
        <v>7005479476</v>
      </c>
      <c r="Q919">
        <v>60017103</v>
      </c>
      <c r="R919" s="7">
        <v>33970</v>
      </c>
      <c r="S919" s="8">
        <f t="shared" si="112"/>
        <v>1993</v>
      </c>
      <c r="T919" s="8">
        <v>1993</v>
      </c>
      <c r="U919" s="8">
        <f t="shared" si="113"/>
        <v>29</v>
      </c>
      <c r="V919" s="7">
        <v>34001</v>
      </c>
      <c r="W919" t="s">
        <v>2382</v>
      </c>
      <c r="X919" s="2">
        <v>0.30399999999999999</v>
      </c>
      <c r="Y919" s="6">
        <f t="shared" si="118"/>
        <v>8.115106377299057E-3</v>
      </c>
      <c r="AA919">
        <v>8952477</v>
      </c>
      <c r="AB919">
        <v>12250</v>
      </c>
      <c r="AC919">
        <v>10982760</v>
      </c>
      <c r="AD919" t="s">
        <v>5</v>
      </c>
      <c r="AE919">
        <v>6</v>
      </c>
      <c r="AF919">
        <v>2</v>
      </c>
      <c r="AH919" t="s">
        <v>2740</v>
      </c>
      <c r="AI919" t="s">
        <v>2739</v>
      </c>
      <c r="AJ919" t="s">
        <v>2738</v>
      </c>
      <c r="AK919" t="s">
        <v>2737</v>
      </c>
      <c r="AL919">
        <v>24</v>
      </c>
      <c r="AM919" s="5">
        <f t="shared" si="114"/>
        <v>0.82758620689655171</v>
      </c>
      <c r="AN919" s="4">
        <f t="shared" si="119"/>
        <v>1.2534437060152241E-3</v>
      </c>
      <c r="AO919" s="3"/>
      <c r="AP919">
        <v>0</v>
      </c>
      <c r="AR919" t="s">
        <v>1</v>
      </c>
      <c r="AT919" s="2" t="s">
        <v>0</v>
      </c>
      <c r="AU919" s="1">
        <f t="shared" si="115"/>
        <v>0.6056607575913906</v>
      </c>
      <c r="AV919" s="1">
        <f t="shared" si="116"/>
        <v>0.46842750416571405</v>
      </c>
      <c r="AW919" s="1">
        <f t="shared" si="117"/>
        <v>0.33119425074003739</v>
      </c>
    </row>
    <row r="920" spans="1:49" x14ac:dyDescent="0.2">
      <c r="A920">
        <v>918</v>
      </c>
      <c r="B920" t="s">
        <v>2736</v>
      </c>
      <c r="C920" t="s">
        <v>2735</v>
      </c>
      <c r="F920" t="s">
        <v>2734</v>
      </c>
      <c r="G920" t="s">
        <v>15</v>
      </c>
      <c r="H920" t="s">
        <v>14</v>
      </c>
      <c r="I920" t="s">
        <v>2733</v>
      </c>
      <c r="J920">
        <v>60068815</v>
      </c>
      <c r="K920" t="s">
        <v>2697</v>
      </c>
      <c r="L920" t="s">
        <v>2696</v>
      </c>
      <c r="M920" t="s">
        <v>2695</v>
      </c>
      <c r="N920">
        <v>2</v>
      </c>
      <c r="O920" t="s">
        <v>2732</v>
      </c>
      <c r="P920" t="s">
        <v>2731</v>
      </c>
      <c r="Q920" t="s">
        <v>2692</v>
      </c>
      <c r="R920" s="7">
        <v>33970</v>
      </c>
      <c r="S920" s="8">
        <f t="shared" si="112"/>
        <v>1993</v>
      </c>
      <c r="T920" s="8">
        <v>1993</v>
      </c>
      <c r="U920" s="8">
        <f t="shared" si="113"/>
        <v>29</v>
      </c>
      <c r="V920" s="7" t="s">
        <v>2394</v>
      </c>
      <c r="W920" s="11" t="s">
        <v>2393</v>
      </c>
      <c r="X920" s="2">
        <v>2.383</v>
      </c>
      <c r="Y920" s="6">
        <f t="shared" si="118"/>
        <v>6.3612824003630442E-2</v>
      </c>
      <c r="AA920" t="s">
        <v>2392</v>
      </c>
      <c r="AB920">
        <v>101151</v>
      </c>
      <c r="AD920" t="s">
        <v>5</v>
      </c>
      <c r="AE920">
        <v>140</v>
      </c>
      <c r="AF920">
        <v>1</v>
      </c>
      <c r="AH920" s="9">
        <v>44470</v>
      </c>
      <c r="AI920" t="s">
        <v>2730</v>
      </c>
      <c r="AK920" t="s">
        <v>2729</v>
      </c>
      <c r="AL920">
        <v>67</v>
      </c>
      <c r="AM920" s="5">
        <f t="shared" si="114"/>
        <v>2.3103448275862069</v>
      </c>
      <c r="AN920" s="4">
        <f t="shared" si="119"/>
        <v>3.4991970126258339E-3</v>
      </c>
      <c r="AO920" s="3"/>
      <c r="AP920">
        <v>0</v>
      </c>
      <c r="AR920" t="s">
        <v>1</v>
      </c>
      <c r="AT920" s="2" t="s">
        <v>0</v>
      </c>
      <c r="AU920" s="1">
        <f t="shared" si="115"/>
        <v>4.557873590632906</v>
      </c>
      <c r="AV920" s="1">
        <f t="shared" si="116"/>
        <v>3.355601050812814</v>
      </c>
      <c r="AW920" s="1">
        <f t="shared" si="117"/>
        <v>2.1533285109927216</v>
      </c>
    </row>
    <row r="921" spans="1:49" x14ac:dyDescent="0.2">
      <c r="A921">
        <v>919</v>
      </c>
      <c r="B921" t="s">
        <v>2728</v>
      </c>
      <c r="C921" t="s">
        <v>2727</v>
      </c>
      <c r="D921" t="s">
        <v>2726</v>
      </c>
      <c r="F921" t="s">
        <v>2725</v>
      </c>
      <c r="G921" t="s">
        <v>15</v>
      </c>
      <c r="H921" t="s">
        <v>14</v>
      </c>
      <c r="I921" t="s">
        <v>2724</v>
      </c>
      <c r="J921">
        <v>60020099</v>
      </c>
      <c r="K921" t="s">
        <v>2723</v>
      </c>
      <c r="L921" t="s">
        <v>2722</v>
      </c>
      <c r="M921" t="s">
        <v>493</v>
      </c>
      <c r="N921">
        <v>2</v>
      </c>
      <c r="O921" t="s">
        <v>2721</v>
      </c>
      <c r="P921" t="s">
        <v>2720</v>
      </c>
      <c r="Q921" t="s">
        <v>2719</v>
      </c>
      <c r="R921" s="7">
        <v>33970</v>
      </c>
      <c r="S921" s="8">
        <f t="shared" si="112"/>
        <v>1993</v>
      </c>
      <c r="T921" s="8">
        <v>1993</v>
      </c>
      <c r="U921" s="8">
        <f t="shared" si="113"/>
        <v>29</v>
      </c>
      <c r="V921" s="7">
        <v>34001</v>
      </c>
      <c r="W921" t="s">
        <v>2718</v>
      </c>
      <c r="X921" s="2">
        <v>0.26400000000000001</v>
      </c>
      <c r="Y921" s="6">
        <f t="shared" si="118"/>
        <v>7.0473292223912874E-3</v>
      </c>
      <c r="AA921">
        <v>1679260</v>
      </c>
      <c r="AB921">
        <v>17932</v>
      </c>
      <c r="AD921" t="s">
        <v>5</v>
      </c>
      <c r="AE921">
        <v>14</v>
      </c>
      <c r="AF921">
        <v>3</v>
      </c>
      <c r="AH921" t="s">
        <v>2717</v>
      </c>
      <c r="AI921" t="s">
        <v>2716</v>
      </c>
      <c r="AJ921" t="s">
        <v>2715</v>
      </c>
      <c r="AK921" t="s">
        <v>2714</v>
      </c>
      <c r="AL921">
        <v>2</v>
      </c>
      <c r="AM921" s="5">
        <f t="shared" si="114"/>
        <v>6.8965517241379309E-2</v>
      </c>
      <c r="AN921" s="4">
        <f t="shared" si="119"/>
        <v>1.0445364216793535E-4</v>
      </c>
      <c r="AO921" s="3"/>
      <c r="AP921">
        <v>0</v>
      </c>
      <c r="AR921" t="s">
        <v>1</v>
      </c>
      <c r="AT921" s="2" t="s">
        <v>0</v>
      </c>
      <c r="AU921" s="1">
        <f t="shared" si="115"/>
        <v>0.49644665483242806</v>
      </c>
      <c r="AV921" s="1">
        <f t="shared" si="116"/>
        <v>0.35758914322796115</v>
      </c>
      <c r="AW921" s="1">
        <f t="shared" si="117"/>
        <v>0.2187316316234941</v>
      </c>
    </row>
    <row r="922" spans="1:49" x14ac:dyDescent="0.2">
      <c r="A922">
        <v>920</v>
      </c>
      <c r="B922" t="s">
        <v>2713</v>
      </c>
      <c r="C922" t="s">
        <v>2712</v>
      </c>
      <c r="F922" t="s">
        <v>2711</v>
      </c>
      <c r="G922" t="s">
        <v>15</v>
      </c>
      <c r="H922" t="s">
        <v>14</v>
      </c>
      <c r="I922" t="s">
        <v>2710</v>
      </c>
      <c r="J922">
        <v>60108318</v>
      </c>
      <c r="K922" t="s">
        <v>2709</v>
      </c>
      <c r="L922" t="s">
        <v>997</v>
      </c>
      <c r="M922" t="s">
        <v>10</v>
      </c>
      <c r="N922">
        <v>2</v>
      </c>
      <c r="O922" t="s">
        <v>2708</v>
      </c>
      <c r="P922" t="s">
        <v>2707</v>
      </c>
      <c r="Q922" t="s">
        <v>2706</v>
      </c>
      <c r="R922" s="7">
        <v>33970</v>
      </c>
      <c r="S922" s="8">
        <f t="shared" si="112"/>
        <v>1993</v>
      </c>
      <c r="T922" s="8">
        <v>1993</v>
      </c>
      <c r="U922" s="8">
        <f t="shared" si="113"/>
        <v>29</v>
      </c>
      <c r="V922" s="7">
        <v>34001</v>
      </c>
      <c r="W922" t="s">
        <v>548</v>
      </c>
      <c r="X922" s="2">
        <v>1.3720000000000001</v>
      </c>
      <c r="Y922" s="6">
        <f t="shared" si="118"/>
        <v>3.662475641333654E-2</v>
      </c>
      <c r="AA922">
        <v>189480</v>
      </c>
      <c r="AB922">
        <v>17366</v>
      </c>
      <c r="AC922">
        <v>15579670</v>
      </c>
      <c r="AD922" t="s">
        <v>5</v>
      </c>
      <c r="AE922">
        <v>41</v>
      </c>
      <c r="AF922">
        <v>2</v>
      </c>
      <c r="AH922" t="s">
        <v>2705</v>
      </c>
      <c r="AI922" t="s">
        <v>2704</v>
      </c>
      <c r="AK922" t="s">
        <v>2703</v>
      </c>
      <c r="AL922">
        <v>5</v>
      </c>
      <c r="AM922" s="5">
        <f t="shared" si="114"/>
        <v>0.17241379310344829</v>
      </c>
      <c r="AN922" s="4">
        <f t="shared" si="119"/>
        <v>2.6113410541983838E-4</v>
      </c>
      <c r="AO922" s="3"/>
      <c r="AP922">
        <v>0</v>
      </c>
      <c r="AQ922" t="s">
        <v>761</v>
      </c>
      <c r="AR922" t="s">
        <v>2702</v>
      </c>
      <c r="AS922" t="s">
        <v>759</v>
      </c>
      <c r="AT922" s="2" t="s">
        <v>0</v>
      </c>
      <c r="AU922" s="1">
        <f t="shared" si="115"/>
        <v>2.5715669720961527</v>
      </c>
      <c r="AV922" s="1">
        <f t="shared" si="116"/>
        <v>1.8442945259378187</v>
      </c>
      <c r="AW922" s="1">
        <f t="shared" si="117"/>
        <v>1.117022079779485</v>
      </c>
    </row>
    <row r="923" spans="1:49" x14ac:dyDescent="0.2">
      <c r="A923">
        <v>921</v>
      </c>
      <c r="B923" t="s">
        <v>2701</v>
      </c>
      <c r="C923" t="s">
        <v>2700</v>
      </c>
      <c r="F923" t="s">
        <v>2699</v>
      </c>
      <c r="G923" t="s">
        <v>15</v>
      </c>
      <c r="H923" t="s">
        <v>14</v>
      </c>
      <c r="I923" t="s">
        <v>2698</v>
      </c>
      <c r="J923">
        <v>60068815</v>
      </c>
      <c r="K923" t="s">
        <v>2697</v>
      </c>
      <c r="L923" t="s">
        <v>2696</v>
      </c>
      <c r="M923" t="s">
        <v>2695</v>
      </c>
      <c r="N923">
        <v>2</v>
      </c>
      <c r="O923" t="s">
        <v>2694</v>
      </c>
      <c r="P923" t="s">
        <v>2693</v>
      </c>
      <c r="Q923" t="s">
        <v>2692</v>
      </c>
      <c r="R923" s="7">
        <v>33970</v>
      </c>
      <c r="S923" s="8">
        <f t="shared" si="112"/>
        <v>1993</v>
      </c>
      <c r="T923" s="8">
        <v>1993</v>
      </c>
      <c r="U923" s="8">
        <f t="shared" si="113"/>
        <v>29</v>
      </c>
      <c r="V923" s="7" t="s">
        <v>2394</v>
      </c>
      <c r="W923" s="11" t="s">
        <v>2393</v>
      </c>
      <c r="X923" s="2">
        <v>2.383</v>
      </c>
      <c r="Y923" s="6">
        <f t="shared" si="118"/>
        <v>6.3612824003630442E-2</v>
      </c>
      <c r="AA923" t="s">
        <v>2392</v>
      </c>
      <c r="AB923">
        <v>101151</v>
      </c>
      <c r="AD923" t="s">
        <v>5</v>
      </c>
      <c r="AE923">
        <v>140</v>
      </c>
      <c r="AF923">
        <v>1</v>
      </c>
      <c r="AH923" t="s">
        <v>2691</v>
      </c>
      <c r="AI923" t="s">
        <v>2690</v>
      </c>
      <c r="AK923" t="s">
        <v>2689</v>
      </c>
      <c r="AL923">
        <v>1</v>
      </c>
      <c r="AM923" s="5">
        <f t="shared" si="114"/>
        <v>3.4482758620689655E-2</v>
      </c>
      <c r="AN923" s="4">
        <f t="shared" si="119"/>
        <v>5.2226821083967674E-5</v>
      </c>
      <c r="AO923" s="3"/>
      <c r="AP923">
        <v>0</v>
      </c>
      <c r="AR923" t="s">
        <v>1</v>
      </c>
      <c r="AT923" s="2" t="s">
        <v>0</v>
      </c>
      <c r="AU923" s="1">
        <f t="shared" si="115"/>
        <v>4.4544644848866497</v>
      </c>
      <c r="AV923" s="1">
        <f t="shared" si="116"/>
        <v>3.1832525412357207</v>
      </c>
      <c r="AW923" s="1">
        <f t="shared" si="117"/>
        <v>1.9120405975847909</v>
      </c>
    </row>
    <row r="924" spans="1:49" x14ac:dyDescent="0.2">
      <c r="A924">
        <v>922</v>
      </c>
      <c r="B924" t="s">
        <v>2688</v>
      </c>
      <c r="C924" t="s">
        <v>2687</v>
      </c>
      <c r="F924" t="s">
        <v>2686</v>
      </c>
      <c r="G924" t="s">
        <v>15</v>
      </c>
      <c r="H924" t="s">
        <v>14</v>
      </c>
      <c r="I924" t="s">
        <v>2678</v>
      </c>
      <c r="J924" t="s">
        <v>2677</v>
      </c>
      <c r="K924" t="s">
        <v>2676</v>
      </c>
      <c r="L924" t="s">
        <v>2675</v>
      </c>
      <c r="M924" t="s">
        <v>235</v>
      </c>
      <c r="N924">
        <v>3</v>
      </c>
      <c r="O924" t="s">
        <v>2674</v>
      </c>
      <c r="P924" t="s">
        <v>2673</v>
      </c>
      <c r="Q924" t="s">
        <v>2672</v>
      </c>
      <c r="R924" s="7">
        <v>33970</v>
      </c>
      <c r="S924" s="8">
        <f t="shared" si="112"/>
        <v>1993</v>
      </c>
      <c r="T924" s="8">
        <v>1993</v>
      </c>
      <c r="U924" s="8">
        <f t="shared" si="113"/>
        <v>29</v>
      </c>
      <c r="V924" s="7">
        <v>34001</v>
      </c>
      <c r="W924" t="s">
        <v>814</v>
      </c>
      <c r="X924" s="2">
        <v>1.6519999999999999</v>
      </c>
      <c r="Y924" s="6">
        <f t="shared" si="118"/>
        <v>4.409919649769093E-2</v>
      </c>
      <c r="AA924" t="s">
        <v>813</v>
      </c>
      <c r="AB924">
        <v>17337</v>
      </c>
      <c r="AC924">
        <v>15582221</v>
      </c>
      <c r="AD924" t="s">
        <v>5</v>
      </c>
      <c r="AE924">
        <v>41</v>
      </c>
      <c r="AF924">
        <v>2</v>
      </c>
      <c r="AH924" t="s">
        <v>2685</v>
      </c>
      <c r="AI924" t="s">
        <v>2684</v>
      </c>
      <c r="AK924" t="s">
        <v>2683</v>
      </c>
      <c r="AL924">
        <v>1</v>
      </c>
      <c r="AM924" s="5">
        <f t="shared" si="114"/>
        <v>3.4482758620689655E-2</v>
      </c>
      <c r="AN924" s="4">
        <f t="shared" si="119"/>
        <v>5.2226821083967674E-5</v>
      </c>
      <c r="AO924" s="3"/>
      <c r="AP924">
        <v>0</v>
      </c>
      <c r="AQ924" t="s">
        <v>544</v>
      </c>
      <c r="AR924" t="s">
        <v>2682</v>
      </c>
      <c r="AS924" t="s">
        <v>542</v>
      </c>
      <c r="AT924" s="2" t="s">
        <v>0</v>
      </c>
      <c r="AU924" s="1">
        <f t="shared" si="115"/>
        <v>3.0885105594708842</v>
      </c>
      <c r="AV924" s="1">
        <f t="shared" si="116"/>
        <v>2.2075711659387447</v>
      </c>
      <c r="AW924" s="1">
        <f t="shared" si="117"/>
        <v>1.3266317724066055</v>
      </c>
    </row>
    <row r="925" spans="1:49" x14ac:dyDescent="0.2">
      <c r="A925">
        <v>923</v>
      </c>
      <c r="B925" t="s">
        <v>2681</v>
      </c>
      <c r="C925" t="s">
        <v>2680</v>
      </c>
      <c r="F925" t="s">
        <v>2679</v>
      </c>
      <c r="G925" t="s">
        <v>15</v>
      </c>
      <c r="H925" t="s">
        <v>14</v>
      </c>
      <c r="I925" t="s">
        <v>2678</v>
      </c>
      <c r="J925" t="s">
        <v>2677</v>
      </c>
      <c r="K925" t="s">
        <v>2676</v>
      </c>
      <c r="L925" t="s">
        <v>2675</v>
      </c>
      <c r="M925" t="s">
        <v>235</v>
      </c>
      <c r="N925">
        <v>3</v>
      </c>
      <c r="O925" t="s">
        <v>2674</v>
      </c>
      <c r="P925" t="s">
        <v>2673</v>
      </c>
      <c r="Q925" t="s">
        <v>2672</v>
      </c>
      <c r="R925" s="7">
        <v>33970</v>
      </c>
      <c r="S925" s="8">
        <f t="shared" si="112"/>
        <v>1993</v>
      </c>
      <c r="T925" s="8">
        <v>1993</v>
      </c>
      <c r="U925" s="8">
        <f t="shared" si="113"/>
        <v>29</v>
      </c>
      <c r="V925" s="7">
        <v>34001</v>
      </c>
      <c r="W925" t="s">
        <v>814</v>
      </c>
      <c r="X925" s="2">
        <v>1.6519999999999999</v>
      </c>
      <c r="Y925" s="6">
        <f t="shared" si="118"/>
        <v>4.409919649769093E-2</v>
      </c>
      <c r="AA925" t="s">
        <v>813</v>
      </c>
      <c r="AB925">
        <v>17337</v>
      </c>
      <c r="AC925">
        <v>15582221</v>
      </c>
      <c r="AD925" t="s">
        <v>5</v>
      </c>
      <c r="AE925">
        <v>41</v>
      </c>
      <c r="AF925">
        <v>2</v>
      </c>
      <c r="AH925" t="s">
        <v>2671</v>
      </c>
      <c r="AI925" t="s">
        <v>2670</v>
      </c>
      <c r="AK925" t="s">
        <v>2669</v>
      </c>
      <c r="AL925">
        <v>3</v>
      </c>
      <c r="AM925" s="5">
        <f t="shared" si="114"/>
        <v>0.10344827586206896</v>
      </c>
      <c r="AN925" s="4">
        <f t="shared" si="119"/>
        <v>1.5668046325190301E-4</v>
      </c>
      <c r="AO925" s="3"/>
      <c r="AP925">
        <v>0</v>
      </c>
      <c r="AQ925" t="s">
        <v>544</v>
      </c>
      <c r="AR925" t="s">
        <v>2668</v>
      </c>
      <c r="AS925" t="s">
        <v>542</v>
      </c>
      <c r="AT925" s="2" t="s">
        <v>0</v>
      </c>
      <c r="AU925" s="1">
        <f t="shared" si="115"/>
        <v>3.0916441687359222</v>
      </c>
      <c r="AV925" s="1">
        <f t="shared" si="116"/>
        <v>2.2127938480471414</v>
      </c>
      <c r="AW925" s="1">
        <f t="shared" si="117"/>
        <v>1.3339435273583611</v>
      </c>
    </row>
    <row r="926" spans="1:49" x14ac:dyDescent="0.2">
      <c r="A926">
        <v>924</v>
      </c>
      <c r="B926" t="s">
        <v>2667</v>
      </c>
      <c r="C926" t="s">
        <v>2666</v>
      </c>
      <c r="F926" t="s">
        <v>2665</v>
      </c>
      <c r="G926" t="s">
        <v>15</v>
      </c>
      <c r="H926" t="s">
        <v>14</v>
      </c>
      <c r="I926" t="s">
        <v>2664</v>
      </c>
      <c r="J926">
        <v>60003424</v>
      </c>
      <c r="K926" t="s">
        <v>2663</v>
      </c>
      <c r="L926" t="s">
        <v>2662</v>
      </c>
      <c r="M926" t="s">
        <v>10</v>
      </c>
      <c r="N926">
        <v>1</v>
      </c>
      <c r="O926" t="s">
        <v>2661</v>
      </c>
      <c r="P926">
        <v>7202192285</v>
      </c>
      <c r="Q926">
        <v>60003424</v>
      </c>
      <c r="R926" s="7">
        <v>33970</v>
      </c>
      <c r="S926" s="8">
        <f t="shared" si="112"/>
        <v>1993</v>
      </c>
      <c r="T926" s="8">
        <v>1993</v>
      </c>
      <c r="U926" s="8">
        <f t="shared" si="113"/>
        <v>29</v>
      </c>
      <c r="V926" s="7">
        <v>34001</v>
      </c>
      <c r="W926" t="s">
        <v>814</v>
      </c>
      <c r="X926" s="2">
        <v>1.6519999999999999</v>
      </c>
      <c r="Y926" s="6">
        <f t="shared" si="118"/>
        <v>4.409919649769093E-2</v>
      </c>
      <c r="AA926" t="s">
        <v>813</v>
      </c>
      <c r="AB926">
        <v>17337</v>
      </c>
      <c r="AC926">
        <v>15582221</v>
      </c>
      <c r="AD926" t="s">
        <v>5</v>
      </c>
      <c r="AE926">
        <v>41</v>
      </c>
      <c r="AF926">
        <v>2</v>
      </c>
      <c r="AH926" t="s">
        <v>2660</v>
      </c>
      <c r="AI926" t="s">
        <v>2659</v>
      </c>
      <c r="AK926" t="s">
        <v>2658</v>
      </c>
      <c r="AL926">
        <v>3</v>
      </c>
      <c r="AM926" s="5">
        <f t="shared" si="114"/>
        <v>0.10344827586206896</v>
      </c>
      <c r="AN926" s="4">
        <f t="shared" si="119"/>
        <v>1.5668046325190301E-4</v>
      </c>
      <c r="AO926" s="3"/>
      <c r="AP926">
        <v>0</v>
      </c>
      <c r="AQ926" t="s">
        <v>761</v>
      </c>
      <c r="AR926" t="s">
        <v>2657</v>
      </c>
      <c r="AS926" t="s">
        <v>759</v>
      </c>
      <c r="AT926" s="2" t="s">
        <v>0</v>
      </c>
      <c r="AU926" s="1">
        <f t="shared" si="115"/>
        <v>3.0916441687359222</v>
      </c>
      <c r="AV926" s="1">
        <f t="shared" si="116"/>
        <v>2.2127938480471414</v>
      </c>
      <c r="AW926" s="1">
        <f t="shared" si="117"/>
        <v>1.3339435273583611</v>
      </c>
    </row>
    <row r="927" spans="1:49" x14ac:dyDescent="0.2">
      <c r="A927">
        <v>925</v>
      </c>
      <c r="B927" t="s">
        <v>2656</v>
      </c>
      <c r="C927" t="s">
        <v>2655</v>
      </c>
      <c r="F927" t="s">
        <v>2654</v>
      </c>
      <c r="G927" t="s">
        <v>15</v>
      </c>
      <c r="H927" t="s">
        <v>14</v>
      </c>
      <c r="I927" t="s">
        <v>2653</v>
      </c>
      <c r="J927">
        <v>60014313</v>
      </c>
      <c r="K927" t="s">
        <v>2652</v>
      </c>
      <c r="L927" t="s">
        <v>2651</v>
      </c>
      <c r="M927" t="s">
        <v>10</v>
      </c>
      <c r="N927">
        <v>2</v>
      </c>
      <c r="O927" t="s">
        <v>2650</v>
      </c>
      <c r="P927" t="s">
        <v>2649</v>
      </c>
      <c r="Q927" t="s">
        <v>2648</v>
      </c>
      <c r="R927" s="7">
        <v>33970</v>
      </c>
      <c r="S927" s="8">
        <f t="shared" si="112"/>
        <v>1993</v>
      </c>
      <c r="T927" s="8">
        <v>1993</v>
      </c>
      <c r="U927" s="8">
        <f t="shared" si="113"/>
        <v>29</v>
      </c>
      <c r="V927" s="7">
        <v>34001</v>
      </c>
      <c r="W927" t="s">
        <v>814</v>
      </c>
      <c r="X927" s="2">
        <v>1.6519999999999999</v>
      </c>
      <c r="Y927" s="6">
        <f t="shared" si="118"/>
        <v>4.409919649769093E-2</v>
      </c>
      <c r="AA927" t="s">
        <v>813</v>
      </c>
      <c r="AB927">
        <v>17337</v>
      </c>
      <c r="AC927">
        <v>15582221</v>
      </c>
      <c r="AD927" t="s">
        <v>5</v>
      </c>
      <c r="AE927">
        <v>41</v>
      </c>
      <c r="AF927">
        <v>2</v>
      </c>
      <c r="AH927" t="s">
        <v>2647</v>
      </c>
      <c r="AI927" t="s">
        <v>2646</v>
      </c>
      <c r="AK927" t="s">
        <v>2645</v>
      </c>
      <c r="AL927">
        <v>284</v>
      </c>
      <c r="AM927" s="5">
        <f t="shared" si="114"/>
        <v>9.7931034482758612</v>
      </c>
      <c r="AN927" s="4">
        <f t="shared" si="119"/>
        <v>1.4832417187846817E-2</v>
      </c>
      <c r="AO927" s="3"/>
      <c r="AP927">
        <v>0</v>
      </c>
      <c r="AR927" t="s">
        <v>1</v>
      </c>
      <c r="AT927" s="2" t="s">
        <v>0</v>
      </c>
      <c r="AU927" s="1">
        <f t="shared" si="115"/>
        <v>3.5319162704737694</v>
      </c>
      <c r="AV927" s="1">
        <f t="shared" si="116"/>
        <v>2.9465806842768871</v>
      </c>
      <c r="AW927" s="1">
        <f t="shared" si="117"/>
        <v>2.3612450980800048</v>
      </c>
    </row>
    <row r="928" spans="1:49" x14ac:dyDescent="0.2">
      <c r="A928">
        <v>926</v>
      </c>
      <c r="B928" t="s">
        <v>2644</v>
      </c>
      <c r="C928" t="s">
        <v>2643</v>
      </c>
      <c r="F928" t="s">
        <v>2642</v>
      </c>
      <c r="G928" t="s">
        <v>15</v>
      </c>
      <c r="H928" t="s">
        <v>14</v>
      </c>
      <c r="I928" t="s">
        <v>2641</v>
      </c>
      <c r="J928">
        <v>60005304</v>
      </c>
      <c r="K928" t="s">
        <v>592</v>
      </c>
      <c r="L928" t="s">
        <v>591</v>
      </c>
      <c r="M928" t="s">
        <v>10</v>
      </c>
      <c r="N928">
        <v>1</v>
      </c>
      <c r="O928" t="s">
        <v>2640</v>
      </c>
      <c r="P928">
        <v>56838404800</v>
      </c>
      <c r="Q928">
        <v>60005304</v>
      </c>
      <c r="R928" s="7">
        <v>33970</v>
      </c>
      <c r="S928" s="8">
        <f t="shared" si="112"/>
        <v>1993</v>
      </c>
      <c r="T928" s="8">
        <v>1993</v>
      </c>
      <c r="U928" s="8">
        <f t="shared" si="113"/>
        <v>29</v>
      </c>
      <c r="V928" s="7">
        <v>34001</v>
      </c>
      <c r="W928" t="s">
        <v>814</v>
      </c>
      <c r="X928" s="2">
        <v>1.6519999999999999</v>
      </c>
      <c r="Y928" s="6">
        <f t="shared" si="118"/>
        <v>4.409919649769093E-2</v>
      </c>
      <c r="AA928" t="s">
        <v>813</v>
      </c>
      <c r="AB928">
        <v>17337</v>
      </c>
      <c r="AC928">
        <v>15582221</v>
      </c>
      <c r="AD928" t="s">
        <v>5</v>
      </c>
      <c r="AE928">
        <v>41</v>
      </c>
      <c r="AF928">
        <v>2</v>
      </c>
      <c r="AH928" t="s">
        <v>2639</v>
      </c>
      <c r="AI928" t="s">
        <v>2638</v>
      </c>
      <c r="AK928" t="s">
        <v>2637</v>
      </c>
      <c r="AL928">
        <v>73</v>
      </c>
      <c r="AM928" s="5">
        <f t="shared" si="114"/>
        <v>2.5172413793103448</v>
      </c>
      <c r="AN928" s="4">
        <f t="shared" si="119"/>
        <v>3.8125579391296398E-3</v>
      </c>
      <c r="AO928" s="3"/>
      <c r="AP928">
        <v>0</v>
      </c>
      <c r="AR928" t="s">
        <v>1</v>
      </c>
      <c r="AT928" s="2" t="s">
        <v>0</v>
      </c>
      <c r="AU928" s="1">
        <f t="shared" si="115"/>
        <v>3.2013204930122545</v>
      </c>
      <c r="AV928" s="1">
        <f t="shared" si="116"/>
        <v>2.3955877218410282</v>
      </c>
      <c r="AW928" s="1">
        <f t="shared" si="117"/>
        <v>1.5898549506698025</v>
      </c>
    </row>
    <row r="929" spans="1:49" x14ac:dyDescent="0.2">
      <c r="A929">
        <v>927</v>
      </c>
      <c r="B929" t="s">
        <v>2636</v>
      </c>
      <c r="C929" t="s">
        <v>2635</v>
      </c>
      <c r="F929" t="s">
        <v>2634</v>
      </c>
      <c r="G929" t="s">
        <v>15</v>
      </c>
      <c r="H929" t="s">
        <v>14</v>
      </c>
      <c r="I929" t="s">
        <v>2633</v>
      </c>
      <c r="J929" t="s">
        <v>2632</v>
      </c>
      <c r="K929" t="s">
        <v>2631</v>
      </c>
      <c r="L929" t="s">
        <v>2630</v>
      </c>
      <c r="M929" t="s">
        <v>2629</v>
      </c>
      <c r="N929">
        <v>3</v>
      </c>
      <c r="O929" t="s">
        <v>2628</v>
      </c>
      <c r="P929" t="s">
        <v>2627</v>
      </c>
      <c r="Q929" t="s">
        <v>2626</v>
      </c>
      <c r="R929" s="7">
        <v>33970</v>
      </c>
      <c r="S929" s="8">
        <f t="shared" si="112"/>
        <v>1993</v>
      </c>
      <c r="T929" s="8">
        <v>1993</v>
      </c>
      <c r="U929" s="8">
        <f t="shared" si="113"/>
        <v>29</v>
      </c>
      <c r="V929" s="7">
        <v>34001</v>
      </c>
      <c r="W929" t="s">
        <v>814</v>
      </c>
      <c r="X929" s="2">
        <v>1.6519999999999999</v>
      </c>
      <c r="Y929" s="6">
        <f t="shared" si="118"/>
        <v>4.409919649769093E-2</v>
      </c>
      <c r="AA929" t="s">
        <v>813</v>
      </c>
      <c r="AB929">
        <v>17337</v>
      </c>
      <c r="AC929">
        <v>15582221</v>
      </c>
      <c r="AD929" t="s">
        <v>5</v>
      </c>
      <c r="AE929">
        <v>41</v>
      </c>
      <c r="AF929">
        <v>2</v>
      </c>
      <c r="AH929" t="s">
        <v>2625</v>
      </c>
      <c r="AI929" t="s">
        <v>2624</v>
      </c>
      <c r="AK929" t="s">
        <v>2623</v>
      </c>
      <c r="AL929">
        <v>64</v>
      </c>
      <c r="AM929" s="5">
        <f t="shared" si="114"/>
        <v>2.2068965517241379</v>
      </c>
      <c r="AN929" s="4">
        <f t="shared" si="119"/>
        <v>3.3425165493739311E-3</v>
      </c>
      <c r="AO929" s="3"/>
      <c r="AP929">
        <v>0</v>
      </c>
      <c r="AR929" t="s">
        <v>1</v>
      </c>
      <c r="AT929" s="2" t="s">
        <v>0</v>
      </c>
      <c r="AU929" s="1">
        <f t="shared" si="115"/>
        <v>3.1872192513195827</v>
      </c>
      <c r="AV929" s="1">
        <f t="shared" si="116"/>
        <v>2.3720856523532432</v>
      </c>
      <c r="AW929" s="1">
        <f t="shared" si="117"/>
        <v>1.5569520533869028</v>
      </c>
    </row>
    <row r="930" spans="1:49" x14ac:dyDescent="0.2">
      <c r="A930">
        <v>928</v>
      </c>
      <c r="B930" t="s">
        <v>2622</v>
      </c>
      <c r="C930" t="s">
        <v>2621</v>
      </c>
      <c r="F930" t="s">
        <v>2620</v>
      </c>
      <c r="G930" t="s">
        <v>15</v>
      </c>
      <c r="H930" t="s">
        <v>14</v>
      </c>
      <c r="I930" t="s">
        <v>2619</v>
      </c>
      <c r="J930">
        <v>60003892</v>
      </c>
      <c r="K930" t="s">
        <v>847</v>
      </c>
      <c r="L930" t="s">
        <v>846</v>
      </c>
      <c r="M930" t="s">
        <v>10</v>
      </c>
      <c r="N930">
        <v>2</v>
      </c>
      <c r="O930" t="s">
        <v>2618</v>
      </c>
      <c r="P930" t="s">
        <v>2617</v>
      </c>
      <c r="Q930" t="s">
        <v>2616</v>
      </c>
      <c r="R930" s="7">
        <v>33970</v>
      </c>
      <c r="S930" s="8">
        <f t="shared" si="112"/>
        <v>1993</v>
      </c>
      <c r="T930" s="8">
        <v>1993</v>
      </c>
      <c r="U930" s="8">
        <f t="shared" si="113"/>
        <v>29</v>
      </c>
      <c r="V930" s="7">
        <v>34001</v>
      </c>
      <c r="W930" t="s">
        <v>814</v>
      </c>
      <c r="X930" s="2">
        <v>1.6519999999999999</v>
      </c>
      <c r="Y930" s="6">
        <f t="shared" si="118"/>
        <v>4.409919649769093E-2</v>
      </c>
      <c r="AA930" t="s">
        <v>813</v>
      </c>
      <c r="AB930">
        <v>17337</v>
      </c>
      <c r="AC930">
        <v>15582221</v>
      </c>
      <c r="AD930" t="s">
        <v>5</v>
      </c>
      <c r="AE930">
        <v>41</v>
      </c>
      <c r="AF930">
        <v>2</v>
      </c>
      <c r="AH930" t="s">
        <v>2615</v>
      </c>
      <c r="AI930" t="s">
        <v>2614</v>
      </c>
      <c r="AK930" t="s">
        <v>2613</v>
      </c>
      <c r="AL930">
        <v>26</v>
      </c>
      <c r="AM930" s="5">
        <f t="shared" si="114"/>
        <v>0.89655172413793105</v>
      </c>
      <c r="AN930" s="4">
        <f t="shared" si="119"/>
        <v>1.3578973481831594E-3</v>
      </c>
      <c r="AO930" s="3"/>
      <c r="AP930">
        <v>0</v>
      </c>
      <c r="AR930" t="s">
        <v>2612</v>
      </c>
      <c r="AT930" s="2" t="s">
        <v>0</v>
      </c>
      <c r="AU930" s="1">
        <f t="shared" si="115"/>
        <v>3.1276806752838602</v>
      </c>
      <c r="AV930" s="1">
        <f t="shared" si="116"/>
        <v>2.2728546922937043</v>
      </c>
      <c r="AW930" s="1">
        <f t="shared" si="117"/>
        <v>1.4180287093035489</v>
      </c>
    </row>
    <row r="931" spans="1:49" x14ac:dyDescent="0.2">
      <c r="A931">
        <v>929</v>
      </c>
      <c r="B931" t="s">
        <v>2611</v>
      </c>
      <c r="C931" t="s">
        <v>2610</v>
      </c>
      <c r="F931" t="s">
        <v>2609</v>
      </c>
      <c r="G931" t="s">
        <v>15</v>
      </c>
      <c r="H931" t="s">
        <v>14</v>
      </c>
      <c r="I931" t="s">
        <v>2608</v>
      </c>
      <c r="J931">
        <v>60026242</v>
      </c>
      <c r="K931" t="s">
        <v>2607</v>
      </c>
      <c r="L931" t="s">
        <v>2606</v>
      </c>
      <c r="M931" t="s">
        <v>493</v>
      </c>
      <c r="N931">
        <v>3</v>
      </c>
      <c r="O931" t="s">
        <v>2605</v>
      </c>
      <c r="P931" t="s">
        <v>2604</v>
      </c>
      <c r="Q931" t="s">
        <v>2603</v>
      </c>
      <c r="R931" s="7">
        <v>33970</v>
      </c>
      <c r="S931" s="8">
        <f t="shared" si="112"/>
        <v>1993</v>
      </c>
      <c r="T931" s="8">
        <v>1993</v>
      </c>
      <c r="U931" s="8">
        <f t="shared" si="113"/>
        <v>29</v>
      </c>
      <c r="V931" s="7" t="s">
        <v>2394</v>
      </c>
      <c r="W931" s="11" t="s">
        <v>2393</v>
      </c>
      <c r="X931" s="2">
        <v>2.383</v>
      </c>
      <c r="Y931" s="6">
        <f t="shared" si="118"/>
        <v>6.3612824003630442E-2</v>
      </c>
      <c r="AA931" t="s">
        <v>2392</v>
      </c>
      <c r="AB931">
        <v>101151</v>
      </c>
      <c r="AD931" t="s">
        <v>5</v>
      </c>
      <c r="AE931">
        <v>140</v>
      </c>
      <c r="AF931">
        <v>1</v>
      </c>
      <c r="AH931" t="s">
        <v>2602</v>
      </c>
      <c r="AI931" t="s">
        <v>2601</v>
      </c>
      <c r="AK931" t="s">
        <v>2600</v>
      </c>
      <c r="AL931">
        <v>22</v>
      </c>
      <c r="AM931" s="5">
        <f t="shared" si="114"/>
        <v>0.75862068965517238</v>
      </c>
      <c r="AN931" s="4">
        <f t="shared" si="119"/>
        <v>1.1489900638472887E-3</v>
      </c>
      <c r="AO931" s="3"/>
      <c r="AP931">
        <v>0</v>
      </c>
      <c r="AR931" t="s">
        <v>1</v>
      </c>
      <c r="AT931" s="2" t="s">
        <v>0</v>
      </c>
      <c r="AU931" s="1">
        <f t="shared" si="115"/>
        <v>4.4873673821695492</v>
      </c>
      <c r="AV931" s="1">
        <f t="shared" si="116"/>
        <v>3.2380907033738868</v>
      </c>
      <c r="AW931" s="1">
        <f t="shared" si="117"/>
        <v>1.9888140245782233</v>
      </c>
    </row>
    <row r="932" spans="1:49" x14ac:dyDescent="0.2">
      <c r="A932">
        <v>930</v>
      </c>
      <c r="B932" t="s">
        <v>2599</v>
      </c>
      <c r="C932" t="s">
        <v>2598</v>
      </c>
      <c r="F932" t="s">
        <v>2597</v>
      </c>
      <c r="G932" t="s">
        <v>15</v>
      </c>
      <c r="H932" t="s">
        <v>14</v>
      </c>
      <c r="I932" t="s">
        <v>2596</v>
      </c>
      <c r="J932">
        <v>60002644</v>
      </c>
      <c r="K932" t="s">
        <v>2595</v>
      </c>
      <c r="L932" t="s">
        <v>2594</v>
      </c>
      <c r="M932" t="s">
        <v>2508</v>
      </c>
      <c r="N932">
        <v>4</v>
      </c>
      <c r="O932" t="s">
        <v>2593</v>
      </c>
      <c r="P932" t="s">
        <v>2592</v>
      </c>
      <c r="Q932" t="s">
        <v>2591</v>
      </c>
      <c r="R932" s="7">
        <v>33970</v>
      </c>
      <c r="S932" s="8">
        <f t="shared" si="112"/>
        <v>1993</v>
      </c>
      <c r="T932" s="8">
        <v>1993</v>
      </c>
      <c r="U932" s="8">
        <f t="shared" si="113"/>
        <v>29</v>
      </c>
      <c r="V932" s="7">
        <v>34001</v>
      </c>
      <c r="W932" t="s">
        <v>2382</v>
      </c>
      <c r="X932" s="2">
        <v>0.30399999999999999</v>
      </c>
      <c r="Y932" s="6">
        <f t="shared" si="118"/>
        <v>8.115106377299057E-3</v>
      </c>
      <c r="AA932">
        <v>8952477</v>
      </c>
      <c r="AB932">
        <v>12250</v>
      </c>
      <c r="AC932">
        <v>10982760</v>
      </c>
      <c r="AD932" t="s">
        <v>5</v>
      </c>
      <c r="AE932">
        <v>6</v>
      </c>
      <c r="AF932">
        <v>2</v>
      </c>
      <c r="AH932" t="s">
        <v>2590</v>
      </c>
      <c r="AI932" t="s">
        <v>2589</v>
      </c>
      <c r="AJ932" t="s">
        <v>2588</v>
      </c>
      <c r="AK932" t="s">
        <v>2587</v>
      </c>
      <c r="AL932">
        <v>2</v>
      </c>
      <c r="AM932" s="5">
        <f t="shared" si="114"/>
        <v>6.8965517241379309E-2</v>
      </c>
      <c r="AN932" s="4">
        <f t="shared" si="119"/>
        <v>1.0445364216793535E-4</v>
      </c>
      <c r="AO932" s="3"/>
      <c r="AP932">
        <v>0</v>
      </c>
      <c r="AR932" t="s">
        <v>1</v>
      </c>
      <c r="AT932" s="2" t="s">
        <v>0</v>
      </c>
      <c r="AU932" s="1">
        <f t="shared" si="115"/>
        <v>0.57119105567597195</v>
      </c>
      <c r="AV932" s="1">
        <f t="shared" si="116"/>
        <v>0.41097800097334963</v>
      </c>
      <c r="AW932" s="1">
        <f t="shared" si="117"/>
        <v>0.25076494627072721</v>
      </c>
    </row>
    <row r="933" spans="1:49" x14ac:dyDescent="0.2">
      <c r="A933">
        <v>931</v>
      </c>
      <c r="B933" t="s">
        <v>2586</v>
      </c>
      <c r="C933" t="s">
        <v>2585</v>
      </c>
      <c r="F933" t="s">
        <v>2584</v>
      </c>
      <c r="G933" t="s">
        <v>15</v>
      </c>
      <c r="H933" t="s">
        <v>14</v>
      </c>
      <c r="I933" t="s">
        <v>2583</v>
      </c>
      <c r="J933" t="s">
        <v>2582</v>
      </c>
      <c r="K933" t="s">
        <v>2581</v>
      </c>
      <c r="L933" t="s">
        <v>2580</v>
      </c>
      <c r="M933" t="s">
        <v>2579</v>
      </c>
      <c r="N933">
        <v>2</v>
      </c>
      <c r="O933" t="s">
        <v>2578</v>
      </c>
      <c r="P933" t="s">
        <v>2577</v>
      </c>
      <c r="Q933" t="s">
        <v>2576</v>
      </c>
      <c r="R933" s="7">
        <v>33970</v>
      </c>
      <c r="S933" s="8">
        <f t="shared" si="112"/>
        <v>1993</v>
      </c>
      <c r="T933" s="8">
        <v>1993</v>
      </c>
      <c r="U933" s="8">
        <f t="shared" si="113"/>
        <v>29</v>
      </c>
      <c r="V933" s="7">
        <v>34001</v>
      </c>
      <c r="W933" t="s">
        <v>1272</v>
      </c>
      <c r="X933" s="2">
        <v>0.94</v>
      </c>
      <c r="Y933" s="6">
        <f t="shared" si="118"/>
        <v>2.5092763140332611E-2</v>
      </c>
      <c r="AA933">
        <v>10518207</v>
      </c>
      <c r="AB933">
        <v>63372</v>
      </c>
      <c r="AD933" t="s">
        <v>5</v>
      </c>
      <c r="AE933">
        <v>3</v>
      </c>
      <c r="AF933">
        <v>2</v>
      </c>
      <c r="AH933" t="s">
        <v>2575</v>
      </c>
      <c r="AI933" t="s">
        <v>2574</v>
      </c>
      <c r="AK933" t="s">
        <v>2573</v>
      </c>
      <c r="AL933">
        <v>62</v>
      </c>
      <c r="AM933" s="5">
        <f t="shared" si="114"/>
        <v>2.1379310344827585</v>
      </c>
      <c r="AN933" s="4">
        <f t="shared" si="119"/>
        <v>3.2380629072059955E-3</v>
      </c>
      <c r="AO933" s="3"/>
      <c r="AP933">
        <v>0</v>
      </c>
      <c r="AR933" t="s">
        <v>1</v>
      </c>
      <c r="AT933" s="2" t="s">
        <v>0</v>
      </c>
      <c r="AU933" s="1">
        <f t="shared" si="115"/>
        <v>1.8536353070394627</v>
      </c>
      <c r="AV933" s="1">
        <f t="shared" si="116"/>
        <v>1.4165413023769302</v>
      </c>
      <c r="AW933" s="1">
        <f t="shared" si="117"/>
        <v>0.97944729771439787</v>
      </c>
    </row>
    <row r="934" spans="1:49" x14ac:dyDescent="0.2">
      <c r="A934">
        <v>932</v>
      </c>
      <c r="B934" t="s">
        <v>2572</v>
      </c>
      <c r="C934" t="s">
        <v>2571</v>
      </c>
      <c r="F934" t="s">
        <v>2570</v>
      </c>
      <c r="G934" t="s">
        <v>15</v>
      </c>
      <c r="H934" t="s">
        <v>14</v>
      </c>
      <c r="I934" t="s">
        <v>2569</v>
      </c>
      <c r="J934">
        <v>60025555</v>
      </c>
      <c r="K934" t="s">
        <v>1785</v>
      </c>
      <c r="L934" t="s">
        <v>151</v>
      </c>
      <c r="M934" t="s">
        <v>150</v>
      </c>
      <c r="N934">
        <v>2</v>
      </c>
      <c r="O934" t="s">
        <v>2568</v>
      </c>
      <c r="P934" t="s">
        <v>2567</v>
      </c>
      <c r="Q934" t="s">
        <v>2566</v>
      </c>
      <c r="R934" s="7">
        <v>33970</v>
      </c>
      <c r="S934" s="8">
        <f t="shared" si="112"/>
        <v>1993</v>
      </c>
      <c r="T934" s="8">
        <v>1993</v>
      </c>
      <c r="U934" s="8">
        <f t="shared" si="113"/>
        <v>29</v>
      </c>
      <c r="V934" s="7">
        <v>34001</v>
      </c>
      <c r="W934" t="s">
        <v>2565</v>
      </c>
      <c r="X934" s="2">
        <v>1.365</v>
      </c>
      <c r="Y934" s="6">
        <f t="shared" si="118"/>
        <v>3.6437895411227675E-2</v>
      </c>
      <c r="AA934">
        <v>189545</v>
      </c>
      <c r="AB934">
        <v>17393</v>
      </c>
      <c r="AC934">
        <v>19399359</v>
      </c>
      <c r="AD934" t="s">
        <v>5</v>
      </c>
      <c r="AE934">
        <v>42</v>
      </c>
      <c r="AF934">
        <v>1</v>
      </c>
      <c r="AH934" t="s">
        <v>2564</v>
      </c>
      <c r="AI934" t="s">
        <v>2563</v>
      </c>
      <c r="AK934" t="s">
        <v>2562</v>
      </c>
      <c r="AL934">
        <v>36</v>
      </c>
      <c r="AM934" s="5">
        <f t="shared" si="114"/>
        <v>1.2413793103448276</v>
      </c>
      <c r="AN934" s="4">
        <f t="shared" si="119"/>
        <v>1.8801655590228363E-3</v>
      </c>
      <c r="AO934" s="3"/>
      <c r="AP934">
        <v>0</v>
      </c>
      <c r="AR934" t="s">
        <v>1</v>
      </c>
      <c r="AT934" s="2" t="s">
        <v>0</v>
      </c>
      <c r="AU934" s="1">
        <f t="shared" si="115"/>
        <v>2.6070576455566221</v>
      </c>
      <c r="AV934" s="1">
        <f t="shared" si="116"/>
        <v>1.9159030485125257</v>
      </c>
      <c r="AW934" s="1">
        <f t="shared" si="117"/>
        <v>1.2247484514684288</v>
      </c>
    </row>
    <row r="935" spans="1:49" x14ac:dyDescent="0.2">
      <c r="A935">
        <v>933</v>
      </c>
      <c r="B935" t="s">
        <v>2561</v>
      </c>
      <c r="C935" t="s">
        <v>2560</v>
      </c>
      <c r="F935" t="s">
        <v>2559</v>
      </c>
      <c r="G935" t="s">
        <v>15</v>
      </c>
      <c r="H935" t="s">
        <v>14</v>
      </c>
      <c r="I935" t="s">
        <v>2558</v>
      </c>
      <c r="J935">
        <v>60003500</v>
      </c>
      <c r="K935" t="s">
        <v>2557</v>
      </c>
      <c r="L935" t="s">
        <v>2556</v>
      </c>
      <c r="M935" t="s">
        <v>10</v>
      </c>
      <c r="N935">
        <v>2</v>
      </c>
      <c r="O935" t="s">
        <v>2555</v>
      </c>
      <c r="P935" t="s">
        <v>2554</v>
      </c>
      <c r="Q935" t="s">
        <v>2553</v>
      </c>
      <c r="R935" s="7">
        <v>33970</v>
      </c>
      <c r="S935" s="8">
        <f t="shared" si="112"/>
        <v>1993</v>
      </c>
      <c r="T935" s="8">
        <v>1993</v>
      </c>
      <c r="U935" s="8">
        <f t="shared" si="113"/>
        <v>29</v>
      </c>
      <c r="V935" s="7">
        <v>34001</v>
      </c>
      <c r="W935" t="s">
        <v>616</v>
      </c>
      <c r="X935" s="2">
        <v>1.6379999999999999</v>
      </c>
      <c r="Y935" s="6">
        <f t="shared" si="118"/>
        <v>4.3725474493473214E-2</v>
      </c>
      <c r="AA935" t="s">
        <v>615</v>
      </c>
      <c r="AB935">
        <v>17391</v>
      </c>
      <c r="AC935">
        <v>19410476</v>
      </c>
      <c r="AD935" t="s">
        <v>5</v>
      </c>
      <c r="AE935">
        <v>41</v>
      </c>
      <c r="AF935">
        <v>2</v>
      </c>
      <c r="AH935" t="s">
        <v>2552</v>
      </c>
      <c r="AI935" t="s">
        <v>2551</v>
      </c>
      <c r="AK935" t="s">
        <v>2550</v>
      </c>
      <c r="AL935">
        <v>21</v>
      </c>
      <c r="AM935" s="5">
        <f t="shared" si="114"/>
        <v>0.72413793103448276</v>
      </c>
      <c r="AN935" s="4">
        <f t="shared" si="119"/>
        <v>1.0967632427633211E-3</v>
      </c>
      <c r="AO935" s="3"/>
      <c r="AP935">
        <v>0</v>
      </c>
      <c r="AR935" t="s">
        <v>2549</v>
      </c>
      <c r="AT935" s="2">
        <v>4.931</v>
      </c>
      <c r="AU935" s="1">
        <f t="shared" si="115"/>
        <v>3.0936861118260244</v>
      </c>
      <c r="AV935" s="1">
        <f t="shared" si="116"/>
        <v>2.2411118868118267</v>
      </c>
      <c r="AW935" s="1">
        <f t="shared" si="117"/>
        <v>1.3885376617976288</v>
      </c>
    </row>
    <row r="936" spans="1:49" x14ac:dyDescent="0.2">
      <c r="A936">
        <v>934</v>
      </c>
      <c r="B936" t="s">
        <v>2548</v>
      </c>
      <c r="C936" t="s">
        <v>2547</v>
      </c>
      <c r="F936" t="s">
        <v>2546</v>
      </c>
      <c r="G936" t="s">
        <v>15</v>
      </c>
      <c r="H936" t="s">
        <v>14</v>
      </c>
      <c r="I936" t="s">
        <v>2545</v>
      </c>
      <c r="J936">
        <v>60015183</v>
      </c>
      <c r="K936" t="s">
        <v>2544</v>
      </c>
      <c r="L936" t="s">
        <v>1832</v>
      </c>
      <c r="M936" t="s">
        <v>10</v>
      </c>
      <c r="N936">
        <v>2</v>
      </c>
      <c r="O936" t="s">
        <v>2543</v>
      </c>
      <c r="P936" t="s">
        <v>2542</v>
      </c>
      <c r="Q936" t="s">
        <v>2541</v>
      </c>
      <c r="R936" s="7">
        <v>33970</v>
      </c>
      <c r="S936" s="8">
        <f t="shared" si="112"/>
        <v>1993</v>
      </c>
      <c r="T936" s="8">
        <v>1993</v>
      </c>
      <c r="U936" s="8">
        <f t="shared" si="113"/>
        <v>29</v>
      </c>
      <c r="V936" s="7">
        <v>34001</v>
      </c>
      <c r="W936" t="s">
        <v>548</v>
      </c>
      <c r="X936" s="2">
        <v>1.3720000000000001</v>
      </c>
      <c r="Y936" s="6">
        <f t="shared" si="118"/>
        <v>3.662475641333654E-2</v>
      </c>
      <c r="AA936">
        <v>189480</v>
      </c>
      <c r="AB936">
        <v>17366</v>
      </c>
      <c r="AC936">
        <v>15579670</v>
      </c>
      <c r="AD936" t="s">
        <v>5</v>
      </c>
      <c r="AE936">
        <v>41</v>
      </c>
      <c r="AF936">
        <v>2</v>
      </c>
      <c r="AH936" t="s">
        <v>2540</v>
      </c>
      <c r="AI936" t="s">
        <v>2539</v>
      </c>
      <c r="AK936" t="s">
        <v>2538</v>
      </c>
      <c r="AL936">
        <v>8</v>
      </c>
      <c r="AM936" s="5">
        <f t="shared" si="114"/>
        <v>0.27586206896551724</v>
      </c>
      <c r="AN936" s="4">
        <f t="shared" si="119"/>
        <v>4.1781456867174139E-4</v>
      </c>
      <c r="AO936" s="3"/>
      <c r="AP936">
        <v>0</v>
      </c>
      <c r="AR936" t="s">
        <v>1</v>
      </c>
      <c r="AT936" s="2" t="s">
        <v>0</v>
      </c>
      <c r="AU936" s="1">
        <f t="shared" si="115"/>
        <v>2.5762673859937095</v>
      </c>
      <c r="AV936" s="1">
        <f t="shared" si="116"/>
        <v>1.8521285491004142</v>
      </c>
      <c r="AW936" s="1">
        <f t="shared" si="117"/>
        <v>1.1279897122071181</v>
      </c>
    </row>
    <row r="937" spans="1:49" x14ac:dyDescent="0.2">
      <c r="A937">
        <v>935</v>
      </c>
      <c r="B937" t="s">
        <v>2537</v>
      </c>
      <c r="C937" t="s">
        <v>2536</v>
      </c>
      <c r="F937" t="s">
        <v>2535</v>
      </c>
      <c r="G937" t="s">
        <v>15</v>
      </c>
      <c r="H937" t="s">
        <v>14</v>
      </c>
      <c r="I937" t="s">
        <v>2534</v>
      </c>
      <c r="J937">
        <v>60000891</v>
      </c>
      <c r="K937" t="s">
        <v>2533</v>
      </c>
      <c r="L937" t="s">
        <v>2532</v>
      </c>
      <c r="M937" t="s">
        <v>493</v>
      </c>
      <c r="N937">
        <v>3</v>
      </c>
      <c r="O937" t="s">
        <v>2531</v>
      </c>
      <c r="P937" t="s">
        <v>2530</v>
      </c>
      <c r="Q937" t="s">
        <v>2529</v>
      </c>
      <c r="R937" s="7">
        <v>33970</v>
      </c>
      <c r="S937" s="8">
        <f t="shared" si="112"/>
        <v>1993</v>
      </c>
      <c r="T937" s="8">
        <v>1993</v>
      </c>
      <c r="U937" s="8">
        <f t="shared" si="113"/>
        <v>29</v>
      </c>
      <c r="V937" s="7" t="s">
        <v>2394</v>
      </c>
      <c r="W937" s="11" t="s">
        <v>2393</v>
      </c>
      <c r="X937" s="2">
        <v>2.383</v>
      </c>
      <c r="Y937" s="6">
        <f t="shared" si="118"/>
        <v>6.3612824003630442E-2</v>
      </c>
      <c r="AA937" t="s">
        <v>2392</v>
      </c>
      <c r="AB937">
        <v>101151</v>
      </c>
      <c r="AD937" t="s">
        <v>5</v>
      </c>
      <c r="AE937">
        <v>140</v>
      </c>
      <c r="AF937">
        <v>1</v>
      </c>
      <c r="AH937" t="s">
        <v>2528</v>
      </c>
      <c r="AI937" t="s">
        <v>2527</v>
      </c>
      <c r="AK937" t="s">
        <v>2526</v>
      </c>
      <c r="AL937">
        <v>17</v>
      </c>
      <c r="AM937" s="5">
        <f t="shared" si="114"/>
        <v>0.58620689655172409</v>
      </c>
      <c r="AN937" s="4">
        <f t="shared" si="119"/>
        <v>8.8785595842745036E-4</v>
      </c>
      <c r="AO937" s="3"/>
      <c r="AP937">
        <v>0</v>
      </c>
      <c r="AR937" t="s">
        <v>1</v>
      </c>
      <c r="AT937" s="2" t="s">
        <v>0</v>
      </c>
      <c r="AU937" s="1">
        <f t="shared" si="115"/>
        <v>4.4795333590069539</v>
      </c>
      <c r="AV937" s="1">
        <f t="shared" si="116"/>
        <v>3.2250339981028948</v>
      </c>
      <c r="AW937" s="1">
        <f t="shared" si="117"/>
        <v>1.9705346371988348</v>
      </c>
    </row>
    <row r="938" spans="1:49" x14ac:dyDescent="0.2">
      <c r="A938">
        <v>936</v>
      </c>
      <c r="B938" t="s">
        <v>2525</v>
      </c>
      <c r="C938" t="s">
        <v>2524</v>
      </c>
      <c r="F938" t="s">
        <v>2523</v>
      </c>
      <c r="G938" t="s">
        <v>15</v>
      </c>
      <c r="H938" t="s">
        <v>14</v>
      </c>
      <c r="I938" t="s">
        <v>2522</v>
      </c>
      <c r="J938">
        <v>60073757</v>
      </c>
      <c r="K938" t="s">
        <v>2521</v>
      </c>
      <c r="L938" t="s">
        <v>2520</v>
      </c>
      <c r="M938" t="s">
        <v>2519</v>
      </c>
      <c r="N938">
        <v>1</v>
      </c>
      <c r="O938" t="s">
        <v>2518</v>
      </c>
      <c r="P938">
        <v>6505810124</v>
      </c>
      <c r="Q938">
        <v>60073757</v>
      </c>
      <c r="R938" s="7">
        <v>33970</v>
      </c>
      <c r="S938" s="8">
        <f t="shared" si="112"/>
        <v>1993</v>
      </c>
      <c r="T938" s="8">
        <v>1993</v>
      </c>
      <c r="U938" s="8">
        <f t="shared" si="113"/>
        <v>29</v>
      </c>
      <c r="V938" s="7">
        <v>34001</v>
      </c>
      <c r="W938" t="s">
        <v>814</v>
      </c>
      <c r="X938" s="2">
        <v>1.6519999999999999</v>
      </c>
      <c r="Y938" s="6">
        <f t="shared" si="118"/>
        <v>4.409919649769093E-2</v>
      </c>
      <c r="AA938" t="s">
        <v>813</v>
      </c>
      <c r="AB938">
        <v>17337</v>
      </c>
      <c r="AC938">
        <v>15582221</v>
      </c>
      <c r="AD938" t="s">
        <v>5</v>
      </c>
      <c r="AE938">
        <v>41</v>
      </c>
      <c r="AF938">
        <v>2</v>
      </c>
      <c r="AH938" t="s">
        <v>2517</v>
      </c>
      <c r="AI938" t="s">
        <v>2516</v>
      </c>
      <c r="AK938" t="s">
        <v>2515</v>
      </c>
      <c r="AL938">
        <v>13</v>
      </c>
      <c r="AM938" s="5">
        <f t="shared" si="114"/>
        <v>0.44827586206896552</v>
      </c>
      <c r="AN938" s="4">
        <f t="shared" si="119"/>
        <v>6.7894867409157972E-4</v>
      </c>
      <c r="AO938" s="3"/>
      <c r="AP938">
        <v>0</v>
      </c>
      <c r="AR938" t="s">
        <v>1</v>
      </c>
      <c r="AT938" s="2" t="s">
        <v>0</v>
      </c>
      <c r="AU938" s="1">
        <f t="shared" si="115"/>
        <v>3.1073122150611128</v>
      </c>
      <c r="AV938" s="1">
        <f t="shared" si="116"/>
        <v>2.2389072585891254</v>
      </c>
      <c r="AW938" s="1">
        <f t="shared" si="117"/>
        <v>1.3705023021171385</v>
      </c>
    </row>
    <row r="939" spans="1:49" x14ac:dyDescent="0.2">
      <c r="A939">
        <v>937</v>
      </c>
      <c r="B939" t="s">
        <v>2514</v>
      </c>
      <c r="C939" t="s">
        <v>2513</v>
      </c>
      <c r="F939" t="s">
        <v>2512</v>
      </c>
      <c r="G939" t="s">
        <v>15</v>
      </c>
      <c r="H939" t="s">
        <v>14</v>
      </c>
      <c r="I939" t="s">
        <v>2511</v>
      </c>
      <c r="J939">
        <v>60015179</v>
      </c>
      <c r="K939" t="s">
        <v>2510</v>
      </c>
      <c r="L939" t="s">
        <v>2509</v>
      </c>
      <c r="M939" t="s">
        <v>2508</v>
      </c>
      <c r="N939">
        <v>2</v>
      </c>
      <c r="O939" t="s">
        <v>2507</v>
      </c>
      <c r="P939" t="s">
        <v>2506</v>
      </c>
      <c r="Q939" t="s">
        <v>2505</v>
      </c>
      <c r="R939" s="7">
        <v>33970</v>
      </c>
      <c r="S939" s="8">
        <f t="shared" si="112"/>
        <v>1993</v>
      </c>
      <c r="T939" s="8">
        <v>1993</v>
      </c>
      <c r="U939" s="8">
        <f t="shared" si="113"/>
        <v>29</v>
      </c>
      <c r="V939" s="7">
        <v>34001</v>
      </c>
      <c r="W939" t="s">
        <v>814</v>
      </c>
      <c r="X939" s="2">
        <v>1.6519999999999999</v>
      </c>
      <c r="Y939" s="6">
        <f t="shared" si="118"/>
        <v>4.409919649769093E-2</v>
      </c>
      <c r="AA939" t="s">
        <v>813</v>
      </c>
      <c r="AB939">
        <v>17337</v>
      </c>
      <c r="AC939">
        <v>15582221</v>
      </c>
      <c r="AD939" t="s">
        <v>5</v>
      </c>
      <c r="AE939">
        <v>41</v>
      </c>
      <c r="AF939">
        <v>2</v>
      </c>
      <c r="AH939" t="s">
        <v>2504</v>
      </c>
      <c r="AI939" t="s">
        <v>2503</v>
      </c>
      <c r="AK939" t="s">
        <v>2502</v>
      </c>
      <c r="AL939">
        <v>27</v>
      </c>
      <c r="AM939" s="5">
        <f t="shared" si="114"/>
        <v>0.93103448275862066</v>
      </c>
      <c r="AN939" s="4">
        <f t="shared" si="119"/>
        <v>1.410124169267127E-3</v>
      </c>
      <c r="AO939" s="3"/>
      <c r="AP939">
        <v>0</v>
      </c>
      <c r="AR939" t="s">
        <v>1</v>
      </c>
      <c r="AT939" s="2" t="s">
        <v>0</v>
      </c>
      <c r="AU939" s="1">
        <f t="shared" si="115"/>
        <v>3.129247479916379</v>
      </c>
      <c r="AV939" s="1">
        <f t="shared" si="116"/>
        <v>2.2754660333479029</v>
      </c>
      <c r="AW939" s="1">
        <f t="shared" si="117"/>
        <v>1.4216845867794268</v>
      </c>
    </row>
    <row r="940" spans="1:49" x14ac:dyDescent="0.2">
      <c r="A940">
        <v>938</v>
      </c>
      <c r="B940" t="s">
        <v>2501</v>
      </c>
      <c r="C940" t="s">
        <v>2500</v>
      </c>
      <c r="F940" t="s">
        <v>2499</v>
      </c>
      <c r="G940" t="s">
        <v>15</v>
      </c>
      <c r="H940" t="s">
        <v>14</v>
      </c>
      <c r="I940" t="s">
        <v>2498</v>
      </c>
      <c r="J940">
        <v>60009658</v>
      </c>
      <c r="K940" t="s">
        <v>2497</v>
      </c>
      <c r="L940" t="s">
        <v>2496</v>
      </c>
      <c r="M940" t="s">
        <v>493</v>
      </c>
      <c r="N940">
        <v>3</v>
      </c>
      <c r="O940" t="s">
        <v>2495</v>
      </c>
      <c r="P940" t="s">
        <v>2494</v>
      </c>
      <c r="Q940" t="s">
        <v>2493</v>
      </c>
      <c r="R940" s="7">
        <v>33970</v>
      </c>
      <c r="S940" s="8">
        <f t="shared" si="112"/>
        <v>1993</v>
      </c>
      <c r="T940" s="8">
        <v>1993</v>
      </c>
      <c r="U940" s="8">
        <f t="shared" si="113"/>
        <v>29</v>
      </c>
      <c r="V940" s="7" t="s">
        <v>2394</v>
      </c>
      <c r="W940" s="11" t="s">
        <v>2393</v>
      </c>
      <c r="X940" s="2">
        <v>2.383</v>
      </c>
      <c r="Y940" s="6">
        <f t="shared" si="118"/>
        <v>6.3612824003630442E-2</v>
      </c>
      <c r="AA940" t="s">
        <v>2392</v>
      </c>
      <c r="AB940">
        <v>101151</v>
      </c>
      <c r="AD940" t="s">
        <v>5</v>
      </c>
      <c r="AE940">
        <v>140</v>
      </c>
      <c r="AF940">
        <v>1</v>
      </c>
      <c r="AH940" t="s">
        <v>2492</v>
      </c>
      <c r="AI940" t="s">
        <v>2491</v>
      </c>
      <c r="AK940" t="s">
        <v>2490</v>
      </c>
      <c r="AL940">
        <v>14</v>
      </c>
      <c r="AM940" s="5">
        <f t="shared" si="114"/>
        <v>0.48275862068965519</v>
      </c>
      <c r="AN940" s="4">
        <f t="shared" si="119"/>
        <v>7.3117549517554741E-4</v>
      </c>
      <c r="AO940" s="3"/>
      <c r="AP940">
        <v>0</v>
      </c>
      <c r="AR940" t="s">
        <v>1</v>
      </c>
      <c r="AT940" s="2" t="s">
        <v>0</v>
      </c>
      <c r="AU940" s="1">
        <f t="shared" si="115"/>
        <v>4.4748329451093971</v>
      </c>
      <c r="AV940" s="1">
        <f t="shared" si="116"/>
        <v>3.2171999749403</v>
      </c>
      <c r="AW940" s="1">
        <f t="shared" si="117"/>
        <v>1.9595670047712015</v>
      </c>
    </row>
    <row r="941" spans="1:49" x14ac:dyDescent="0.2">
      <c r="A941">
        <v>939</v>
      </c>
      <c r="B941" t="s">
        <v>2489</v>
      </c>
      <c r="C941" t="s">
        <v>2488</v>
      </c>
      <c r="F941" t="s">
        <v>2487</v>
      </c>
      <c r="G941" t="s">
        <v>15</v>
      </c>
      <c r="H941" t="s">
        <v>14</v>
      </c>
      <c r="I941" t="s">
        <v>2486</v>
      </c>
      <c r="J941" t="s">
        <v>2485</v>
      </c>
      <c r="K941" t="s">
        <v>2484</v>
      </c>
      <c r="L941" t="s">
        <v>2483</v>
      </c>
      <c r="M941" t="s">
        <v>2482</v>
      </c>
      <c r="N941">
        <v>2</v>
      </c>
      <c r="O941" t="s">
        <v>2481</v>
      </c>
      <c r="P941" t="s">
        <v>2480</v>
      </c>
      <c r="Q941" t="s">
        <v>2479</v>
      </c>
      <c r="R941" s="7">
        <v>33970</v>
      </c>
      <c r="S941" s="8">
        <f t="shared" si="112"/>
        <v>1993</v>
      </c>
      <c r="T941" s="8">
        <v>1993</v>
      </c>
      <c r="U941" s="8">
        <f t="shared" si="113"/>
        <v>29</v>
      </c>
      <c r="V941" s="7">
        <v>34001</v>
      </c>
      <c r="W941" t="s">
        <v>1272</v>
      </c>
      <c r="X941" s="2">
        <v>0.94</v>
      </c>
      <c r="Y941" s="6">
        <f t="shared" si="118"/>
        <v>2.5092763140332611E-2</v>
      </c>
      <c r="AA941">
        <v>10518207</v>
      </c>
      <c r="AB941">
        <v>63372</v>
      </c>
      <c r="AD941" t="s">
        <v>5</v>
      </c>
      <c r="AE941">
        <v>3</v>
      </c>
      <c r="AF941">
        <v>2</v>
      </c>
      <c r="AH941" t="s">
        <v>2478</v>
      </c>
      <c r="AI941" t="s">
        <v>2477</v>
      </c>
      <c r="AK941" t="s">
        <v>2476</v>
      </c>
      <c r="AL941">
        <v>1</v>
      </c>
      <c r="AM941" s="5">
        <f t="shared" si="114"/>
        <v>3.4482758620689655E-2</v>
      </c>
      <c r="AN941" s="4">
        <f t="shared" si="119"/>
        <v>5.2226821083967674E-5</v>
      </c>
      <c r="AO941" s="3"/>
      <c r="AP941">
        <v>0</v>
      </c>
      <c r="AQ941" t="s">
        <v>2475</v>
      </c>
      <c r="AR941" t="s">
        <v>2474</v>
      </c>
      <c r="AS941" t="s">
        <v>2473</v>
      </c>
      <c r="AT941" s="2" t="s">
        <v>0</v>
      </c>
      <c r="AU941" s="1">
        <f t="shared" si="115"/>
        <v>1.7580602244558017</v>
      </c>
      <c r="AV941" s="1">
        <f t="shared" si="116"/>
        <v>1.2572494980708289</v>
      </c>
      <c r="AW941" s="1">
        <f t="shared" si="117"/>
        <v>0.75643877168585605</v>
      </c>
    </row>
    <row r="942" spans="1:49" x14ac:dyDescent="0.2">
      <c r="A942">
        <v>940</v>
      </c>
      <c r="B942" t="s">
        <v>2472</v>
      </c>
      <c r="C942" t="s">
        <v>2471</v>
      </c>
      <c r="F942" t="s">
        <v>2470</v>
      </c>
      <c r="G942" t="s">
        <v>15</v>
      </c>
      <c r="H942" t="s">
        <v>14</v>
      </c>
      <c r="I942" t="s">
        <v>2385</v>
      </c>
      <c r="J942">
        <v>60008055</v>
      </c>
      <c r="K942" t="s">
        <v>2384</v>
      </c>
      <c r="M942" t="s">
        <v>303</v>
      </c>
      <c r="N942">
        <v>2</v>
      </c>
      <c r="O942" t="s">
        <v>2469</v>
      </c>
      <c r="P942" t="s">
        <v>2468</v>
      </c>
      <c r="Q942" t="s">
        <v>2467</v>
      </c>
      <c r="R942" s="7">
        <v>33970</v>
      </c>
      <c r="S942" s="8">
        <f t="shared" si="112"/>
        <v>1993</v>
      </c>
      <c r="T942" s="8">
        <v>1993</v>
      </c>
      <c r="U942" s="8">
        <f t="shared" si="113"/>
        <v>29</v>
      </c>
      <c r="V942" s="7">
        <v>34001</v>
      </c>
      <c r="W942" t="s">
        <v>2382</v>
      </c>
      <c r="X942" s="2">
        <v>0.30399999999999999</v>
      </c>
      <c r="Y942" s="6">
        <f t="shared" si="118"/>
        <v>8.115106377299057E-3</v>
      </c>
      <c r="AA942">
        <v>8952477</v>
      </c>
      <c r="AB942">
        <v>12250</v>
      </c>
      <c r="AC942">
        <v>10982760</v>
      </c>
      <c r="AD942" t="s">
        <v>5</v>
      </c>
      <c r="AE942">
        <v>6</v>
      </c>
      <c r="AF942">
        <v>2</v>
      </c>
      <c r="AH942" t="s">
        <v>2466</v>
      </c>
      <c r="AI942" t="s">
        <v>2465</v>
      </c>
      <c r="AJ942" t="s">
        <v>2464</v>
      </c>
      <c r="AK942" t="s">
        <v>2463</v>
      </c>
      <c r="AL942">
        <v>1</v>
      </c>
      <c r="AM942" s="5">
        <f t="shared" si="114"/>
        <v>3.4482758620689655E-2</v>
      </c>
      <c r="AN942" s="4">
        <f t="shared" si="119"/>
        <v>5.2226821083967674E-5</v>
      </c>
      <c r="AO942" s="3"/>
      <c r="AP942">
        <v>0</v>
      </c>
      <c r="AR942" t="s">
        <v>1</v>
      </c>
      <c r="AT942" s="2" t="s">
        <v>0</v>
      </c>
      <c r="AU942" s="1">
        <f t="shared" si="115"/>
        <v>0.56962425104345293</v>
      </c>
      <c r="AV942" s="1">
        <f t="shared" si="116"/>
        <v>0.40836665991915122</v>
      </c>
      <c r="AW942" s="1">
        <f t="shared" si="117"/>
        <v>0.24710906879484945</v>
      </c>
    </row>
    <row r="943" spans="1:49" x14ac:dyDescent="0.2">
      <c r="A943">
        <v>941</v>
      </c>
      <c r="B943" t="s">
        <v>2462</v>
      </c>
      <c r="C943" t="s">
        <v>2461</v>
      </c>
      <c r="F943" t="s">
        <v>2460</v>
      </c>
      <c r="G943" t="s">
        <v>15</v>
      </c>
      <c r="H943" t="s">
        <v>14</v>
      </c>
      <c r="I943" t="s">
        <v>1596</v>
      </c>
      <c r="J943">
        <v>60009512</v>
      </c>
      <c r="K943" t="s">
        <v>1595</v>
      </c>
      <c r="L943" t="s">
        <v>1594</v>
      </c>
      <c r="M943" t="s">
        <v>818</v>
      </c>
      <c r="N943">
        <v>3</v>
      </c>
      <c r="O943" t="s">
        <v>1593</v>
      </c>
      <c r="P943" t="s">
        <v>1592</v>
      </c>
      <c r="Q943" t="s">
        <v>1591</v>
      </c>
      <c r="R943" s="7">
        <v>33970</v>
      </c>
      <c r="S943" s="8">
        <f t="shared" si="112"/>
        <v>1993</v>
      </c>
      <c r="T943" s="8">
        <v>1993</v>
      </c>
      <c r="U943" s="8">
        <f t="shared" si="113"/>
        <v>29</v>
      </c>
      <c r="V943" s="7">
        <v>34001</v>
      </c>
      <c r="W943" t="s">
        <v>814</v>
      </c>
      <c r="X943" s="2">
        <v>1.6519999999999999</v>
      </c>
      <c r="Y943" s="6">
        <f t="shared" si="118"/>
        <v>4.409919649769093E-2</v>
      </c>
      <c r="AA943" t="s">
        <v>813</v>
      </c>
      <c r="AB943">
        <v>17337</v>
      </c>
      <c r="AC943">
        <v>15582221</v>
      </c>
      <c r="AD943" t="s">
        <v>5</v>
      </c>
      <c r="AE943">
        <v>41</v>
      </c>
      <c r="AF943">
        <v>2</v>
      </c>
      <c r="AH943" t="s">
        <v>2459</v>
      </c>
      <c r="AI943" t="s">
        <v>2458</v>
      </c>
      <c r="AK943" t="s">
        <v>2457</v>
      </c>
      <c r="AL943">
        <v>10</v>
      </c>
      <c r="AM943" s="5">
        <f t="shared" si="114"/>
        <v>0.34482758620689657</v>
      </c>
      <c r="AN943" s="4">
        <f t="shared" si="119"/>
        <v>5.2226821083967677E-4</v>
      </c>
      <c r="AO943" s="3"/>
      <c r="AP943">
        <v>0</v>
      </c>
      <c r="AQ943" t="s">
        <v>2456</v>
      </c>
      <c r="AR943" t="s">
        <v>1</v>
      </c>
      <c r="AS943" t="s">
        <v>2455</v>
      </c>
      <c r="AT943" s="2" t="s">
        <v>0</v>
      </c>
      <c r="AU943" s="1">
        <f t="shared" si="115"/>
        <v>3.1026118011635551</v>
      </c>
      <c r="AV943" s="1">
        <f t="shared" si="116"/>
        <v>2.2310732354265306</v>
      </c>
      <c r="AW943" s="1">
        <f t="shared" si="117"/>
        <v>1.3595346696895052</v>
      </c>
    </row>
    <row r="944" spans="1:49" x14ac:dyDescent="0.2">
      <c r="A944">
        <v>942</v>
      </c>
      <c r="B944" t="s">
        <v>2454</v>
      </c>
      <c r="C944" t="s">
        <v>2453</v>
      </c>
      <c r="F944" t="s">
        <v>2452</v>
      </c>
      <c r="G944" t="s">
        <v>15</v>
      </c>
      <c r="H944" t="s">
        <v>14</v>
      </c>
      <c r="I944" t="s">
        <v>2451</v>
      </c>
      <c r="J944" t="s">
        <v>2450</v>
      </c>
      <c r="K944" t="s">
        <v>2449</v>
      </c>
      <c r="L944" t="s">
        <v>2448</v>
      </c>
      <c r="M944" t="s">
        <v>235</v>
      </c>
      <c r="N944">
        <v>3</v>
      </c>
      <c r="O944" t="s">
        <v>2447</v>
      </c>
      <c r="P944" t="s">
        <v>2446</v>
      </c>
      <c r="Q944" t="s">
        <v>2445</v>
      </c>
      <c r="R944" s="7">
        <v>33970</v>
      </c>
      <c r="S944" s="8">
        <f t="shared" si="112"/>
        <v>1993</v>
      </c>
      <c r="T944" s="8">
        <v>1993</v>
      </c>
      <c r="U944" s="8">
        <f t="shared" si="113"/>
        <v>29</v>
      </c>
      <c r="V944" s="7">
        <v>34001</v>
      </c>
      <c r="W944" t="s">
        <v>814</v>
      </c>
      <c r="X944" s="2">
        <v>1.6519999999999999</v>
      </c>
      <c r="Y944" s="6">
        <f t="shared" si="118"/>
        <v>4.409919649769093E-2</v>
      </c>
      <c r="AA944" t="s">
        <v>813</v>
      </c>
      <c r="AB944">
        <v>17337</v>
      </c>
      <c r="AC944">
        <v>15582221</v>
      </c>
      <c r="AD944" t="s">
        <v>5</v>
      </c>
      <c r="AE944">
        <v>41</v>
      </c>
      <c r="AF944">
        <v>2</v>
      </c>
      <c r="AH944" t="s">
        <v>2444</v>
      </c>
      <c r="AI944" t="s">
        <v>2443</v>
      </c>
      <c r="AK944" t="s">
        <v>2442</v>
      </c>
      <c r="AL944">
        <v>12</v>
      </c>
      <c r="AM944" s="5">
        <f t="shared" si="114"/>
        <v>0.41379310344827586</v>
      </c>
      <c r="AN944" s="4">
        <f t="shared" si="119"/>
        <v>6.2672185300761203E-4</v>
      </c>
      <c r="AO944" s="3"/>
      <c r="AP944">
        <v>0</v>
      </c>
      <c r="AQ944" t="s">
        <v>761</v>
      </c>
      <c r="AR944" t="s">
        <v>1</v>
      </c>
      <c r="AS944" t="s">
        <v>759</v>
      </c>
      <c r="AT944" s="2" t="s">
        <v>0</v>
      </c>
      <c r="AU944" s="1">
        <f t="shared" si="115"/>
        <v>3.1057454104285935</v>
      </c>
      <c r="AV944" s="1">
        <f t="shared" si="116"/>
        <v>2.2362959175349273</v>
      </c>
      <c r="AW944" s="1">
        <f t="shared" si="117"/>
        <v>1.3668464246412608</v>
      </c>
    </row>
    <row r="945" spans="1:49" x14ac:dyDescent="0.2">
      <c r="A945">
        <v>943</v>
      </c>
      <c r="B945" t="s">
        <v>2441</v>
      </c>
      <c r="C945" t="s">
        <v>2440</v>
      </c>
      <c r="F945" t="s">
        <v>2439</v>
      </c>
      <c r="G945" t="s">
        <v>15</v>
      </c>
      <c r="H945" t="s">
        <v>14</v>
      </c>
      <c r="I945" t="s">
        <v>2438</v>
      </c>
      <c r="J945">
        <v>60011357</v>
      </c>
      <c r="K945" t="s">
        <v>2437</v>
      </c>
      <c r="L945" t="s">
        <v>2436</v>
      </c>
      <c r="M945" t="s">
        <v>1909</v>
      </c>
      <c r="N945">
        <v>2</v>
      </c>
      <c r="O945" t="s">
        <v>2435</v>
      </c>
      <c r="P945" t="s">
        <v>2434</v>
      </c>
      <c r="Q945" t="s">
        <v>2433</v>
      </c>
      <c r="R945" s="7">
        <v>33970</v>
      </c>
      <c r="S945" s="8">
        <f t="shared" si="112"/>
        <v>1993</v>
      </c>
      <c r="T945" s="8">
        <v>1993</v>
      </c>
      <c r="U945" s="8">
        <f t="shared" si="113"/>
        <v>29</v>
      </c>
      <c r="V945" s="7">
        <v>34001</v>
      </c>
      <c r="W945" t="s">
        <v>814</v>
      </c>
      <c r="X945" s="2">
        <v>1.6519999999999999</v>
      </c>
      <c r="Y945" s="6">
        <f t="shared" si="118"/>
        <v>4.409919649769093E-2</v>
      </c>
      <c r="AA945" t="s">
        <v>813</v>
      </c>
      <c r="AB945">
        <v>17337</v>
      </c>
      <c r="AC945">
        <v>15582221</v>
      </c>
      <c r="AD945" t="s">
        <v>5</v>
      </c>
      <c r="AE945">
        <v>41</v>
      </c>
      <c r="AF945">
        <v>2</v>
      </c>
      <c r="AH945" t="s">
        <v>2432</v>
      </c>
      <c r="AI945" t="s">
        <v>2431</v>
      </c>
      <c r="AK945" t="s">
        <v>2430</v>
      </c>
      <c r="AL945">
        <v>12</v>
      </c>
      <c r="AM945" s="5">
        <f t="shared" si="114"/>
        <v>0.41379310344827586</v>
      </c>
      <c r="AN945" s="4">
        <f t="shared" si="119"/>
        <v>6.2672185300761203E-4</v>
      </c>
      <c r="AO945" s="3"/>
      <c r="AP945">
        <v>0</v>
      </c>
      <c r="AR945" t="s">
        <v>1</v>
      </c>
      <c r="AT945" s="2" t="s">
        <v>0</v>
      </c>
      <c r="AU945" s="1">
        <f t="shared" si="115"/>
        <v>3.1057454104285935</v>
      </c>
      <c r="AV945" s="1">
        <f t="shared" si="116"/>
        <v>2.2362959175349273</v>
      </c>
      <c r="AW945" s="1">
        <f t="shared" si="117"/>
        <v>1.3668464246412608</v>
      </c>
    </row>
    <row r="946" spans="1:49" x14ac:dyDescent="0.2">
      <c r="A946">
        <v>944</v>
      </c>
      <c r="B946" t="s">
        <v>2429</v>
      </c>
      <c r="C946" t="s">
        <v>2428</v>
      </c>
      <c r="F946" t="s">
        <v>2427</v>
      </c>
      <c r="G946" t="s">
        <v>15</v>
      </c>
      <c r="H946" t="s">
        <v>14</v>
      </c>
      <c r="I946" t="s">
        <v>2426</v>
      </c>
      <c r="J946">
        <v>60031624</v>
      </c>
      <c r="K946" t="s">
        <v>2425</v>
      </c>
      <c r="L946" t="s">
        <v>2424</v>
      </c>
      <c r="M946" t="s">
        <v>2423</v>
      </c>
      <c r="N946">
        <v>2</v>
      </c>
      <c r="O946" t="s">
        <v>2422</v>
      </c>
      <c r="P946" t="s">
        <v>2421</v>
      </c>
      <c r="Q946" t="s">
        <v>2420</v>
      </c>
      <c r="R946" s="7">
        <v>33970</v>
      </c>
      <c r="S946" s="8">
        <f t="shared" si="112"/>
        <v>1993</v>
      </c>
      <c r="T946" s="8">
        <v>1993</v>
      </c>
      <c r="U946" s="8">
        <f t="shared" si="113"/>
        <v>29</v>
      </c>
      <c r="V946" s="7">
        <v>34001</v>
      </c>
      <c r="W946" t="s">
        <v>548</v>
      </c>
      <c r="X946" s="2">
        <v>1.3720000000000001</v>
      </c>
      <c r="Y946" s="6">
        <f t="shared" si="118"/>
        <v>3.662475641333654E-2</v>
      </c>
      <c r="AA946">
        <v>189480</v>
      </c>
      <c r="AB946">
        <v>17366</v>
      </c>
      <c r="AC946">
        <v>15579670</v>
      </c>
      <c r="AD946" t="s">
        <v>5</v>
      </c>
      <c r="AE946">
        <v>41</v>
      </c>
      <c r="AF946">
        <v>2</v>
      </c>
      <c r="AH946" t="s">
        <v>2419</v>
      </c>
      <c r="AI946" t="s">
        <v>2418</v>
      </c>
      <c r="AK946" t="s">
        <v>2417</v>
      </c>
      <c r="AL946">
        <v>6</v>
      </c>
      <c r="AM946" s="5">
        <f t="shared" si="114"/>
        <v>0.20689655172413793</v>
      </c>
      <c r="AN946" s="4">
        <f t="shared" si="119"/>
        <v>3.1336092650380602E-4</v>
      </c>
      <c r="AO946" s="3"/>
      <c r="AP946">
        <v>0</v>
      </c>
      <c r="AR946" t="s">
        <v>1</v>
      </c>
      <c r="AT946" s="2" t="s">
        <v>0</v>
      </c>
      <c r="AU946" s="1">
        <f t="shared" si="115"/>
        <v>2.5731337767286715</v>
      </c>
      <c r="AV946" s="1">
        <f t="shared" si="116"/>
        <v>1.8469058669920171</v>
      </c>
      <c r="AW946" s="1">
        <f t="shared" si="117"/>
        <v>1.1206779572553627</v>
      </c>
    </row>
    <row r="947" spans="1:49" x14ac:dyDescent="0.2">
      <c r="A947">
        <v>945</v>
      </c>
      <c r="B947" t="s">
        <v>2416</v>
      </c>
      <c r="C947" t="s">
        <v>2415</v>
      </c>
      <c r="F947" t="s">
        <v>2414</v>
      </c>
      <c r="G947" t="s">
        <v>15</v>
      </c>
      <c r="H947" t="s">
        <v>14</v>
      </c>
      <c r="I947" t="s">
        <v>2413</v>
      </c>
      <c r="J947">
        <v>60005429</v>
      </c>
      <c r="K947" t="s">
        <v>2412</v>
      </c>
      <c r="L947" t="s">
        <v>2411</v>
      </c>
      <c r="M947" t="s">
        <v>1909</v>
      </c>
      <c r="N947">
        <v>3</v>
      </c>
      <c r="O947" t="s">
        <v>2410</v>
      </c>
      <c r="P947" t="s">
        <v>2409</v>
      </c>
      <c r="Q947" t="s">
        <v>2408</v>
      </c>
      <c r="R947" s="7">
        <v>33970</v>
      </c>
      <c r="S947" s="8">
        <f t="shared" si="112"/>
        <v>1993</v>
      </c>
      <c r="T947" s="8">
        <v>1993</v>
      </c>
      <c r="U947" s="8">
        <f t="shared" si="113"/>
        <v>29</v>
      </c>
      <c r="V947" s="7" t="s">
        <v>2394</v>
      </c>
      <c r="W947" s="11" t="s">
        <v>2407</v>
      </c>
      <c r="X947" s="2">
        <v>2.383</v>
      </c>
      <c r="Y947" s="6">
        <f t="shared" si="118"/>
        <v>6.3612824003630442E-2</v>
      </c>
      <c r="AA947" t="s">
        <v>2406</v>
      </c>
      <c r="AB947">
        <v>96433</v>
      </c>
      <c r="AD947" t="s">
        <v>5</v>
      </c>
      <c r="AE947">
        <v>140</v>
      </c>
      <c r="AF947">
        <v>1</v>
      </c>
      <c r="AH947" t="s">
        <v>2405</v>
      </c>
      <c r="AI947" t="s">
        <v>2404</v>
      </c>
      <c r="AK947" t="s">
        <v>2403</v>
      </c>
      <c r="AL947">
        <v>45</v>
      </c>
      <c r="AM947" s="5">
        <f t="shared" si="114"/>
        <v>1.5517241379310345</v>
      </c>
      <c r="AN947" s="4">
        <f t="shared" si="119"/>
        <v>2.3502069487785454E-3</v>
      </c>
      <c r="AO947" s="3"/>
      <c r="AP947">
        <v>0</v>
      </c>
      <c r="AR947" t="s">
        <v>1</v>
      </c>
      <c r="AT947" s="2" t="s">
        <v>0</v>
      </c>
      <c r="AU947" s="1">
        <f t="shared" si="115"/>
        <v>4.5234038887174872</v>
      </c>
      <c r="AV947" s="1">
        <f t="shared" si="116"/>
        <v>3.2981515476204497</v>
      </c>
      <c r="AW947" s="1">
        <f t="shared" si="117"/>
        <v>2.0728992065234113</v>
      </c>
    </row>
    <row r="948" spans="1:49" x14ac:dyDescent="0.2">
      <c r="A948">
        <v>946</v>
      </c>
      <c r="B948" t="s">
        <v>2402</v>
      </c>
      <c r="C948" t="s">
        <v>2401</v>
      </c>
      <c r="F948" t="s">
        <v>2400</v>
      </c>
      <c r="G948" t="s">
        <v>15</v>
      </c>
      <c r="H948" t="s">
        <v>14</v>
      </c>
      <c r="I948" t="s">
        <v>2399</v>
      </c>
      <c r="J948">
        <v>60017161</v>
      </c>
      <c r="K948" t="s">
        <v>2398</v>
      </c>
      <c r="L948" t="s">
        <v>1461</v>
      </c>
      <c r="M948" t="s">
        <v>1460</v>
      </c>
      <c r="N948">
        <v>5</v>
      </c>
      <c r="O948" t="s">
        <v>2397</v>
      </c>
      <c r="P948" t="s">
        <v>2396</v>
      </c>
      <c r="Q948" t="s">
        <v>2395</v>
      </c>
      <c r="R948" s="7">
        <v>33970</v>
      </c>
      <c r="S948" s="8">
        <f t="shared" si="112"/>
        <v>1993</v>
      </c>
      <c r="T948" s="8">
        <v>1993</v>
      </c>
      <c r="U948" s="8">
        <f t="shared" si="113"/>
        <v>29</v>
      </c>
      <c r="V948" s="7" t="s">
        <v>2394</v>
      </c>
      <c r="W948" s="11" t="s">
        <v>2393</v>
      </c>
      <c r="X948" s="2">
        <v>2.383</v>
      </c>
      <c r="Y948" s="6">
        <f t="shared" si="118"/>
        <v>6.3612824003630442E-2</v>
      </c>
      <c r="AA948" t="s">
        <v>2392</v>
      </c>
      <c r="AB948">
        <v>101151</v>
      </c>
      <c r="AD948" t="s">
        <v>5</v>
      </c>
      <c r="AE948">
        <v>140</v>
      </c>
      <c r="AF948">
        <v>1</v>
      </c>
      <c r="AH948" t="s">
        <v>2391</v>
      </c>
      <c r="AI948" t="s">
        <v>2390</v>
      </c>
      <c r="AK948" t="s">
        <v>2389</v>
      </c>
      <c r="AL948">
        <v>11</v>
      </c>
      <c r="AM948" s="5">
        <f t="shared" si="114"/>
        <v>0.37931034482758619</v>
      </c>
      <c r="AN948" s="4">
        <f t="shared" si="119"/>
        <v>5.7449503192364435E-4</v>
      </c>
      <c r="AO948" s="3"/>
      <c r="AP948">
        <v>0</v>
      </c>
      <c r="AR948" t="s">
        <v>1</v>
      </c>
      <c r="AT948" s="2" t="s">
        <v>0</v>
      </c>
      <c r="AU948" s="1">
        <f t="shared" si="115"/>
        <v>4.4701325312118403</v>
      </c>
      <c r="AV948" s="1">
        <f t="shared" si="116"/>
        <v>3.2093659517777038</v>
      </c>
      <c r="AW948" s="1">
        <f t="shared" si="117"/>
        <v>1.9485993723435684</v>
      </c>
    </row>
    <row r="949" spans="1:49" x14ac:dyDescent="0.2">
      <c r="A949">
        <v>947</v>
      </c>
      <c r="B949" t="s">
        <v>2388</v>
      </c>
      <c r="C949" t="s">
        <v>2387</v>
      </c>
      <c r="F949" t="s">
        <v>2386</v>
      </c>
      <c r="G949" t="s">
        <v>15</v>
      </c>
      <c r="H949" t="s">
        <v>14</v>
      </c>
      <c r="I949" t="s">
        <v>2385</v>
      </c>
      <c r="J949">
        <v>60008055</v>
      </c>
      <c r="K949" t="s">
        <v>2384</v>
      </c>
      <c r="M949" t="s">
        <v>303</v>
      </c>
      <c r="N949">
        <v>1</v>
      </c>
      <c r="O949" t="s">
        <v>2383</v>
      </c>
      <c r="P949">
        <v>57213585153</v>
      </c>
      <c r="Q949">
        <v>60008055</v>
      </c>
      <c r="R949" s="7">
        <v>33970</v>
      </c>
      <c r="S949" s="8">
        <f t="shared" si="112"/>
        <v>1993</v>
      </c>
      <c r="T949" s="8">
        <v>1993</v>
      </c>
      <c r="U949" s="8">
        <f t="shared" si="113"/>
        <v>29</v>
      </c>
      <c r="V949" s="7">
        <v>34001</v>
      </c>
      <c r="W949" t="s">
        <v>2382</v>
      </c>
      <c r="X949" s="2">
        <v>0.30399999999999999</v>
      </c>
      <c r="Y949" s="6">
        <f t="shared" si="118"/>
        <v>8.115106377299057E-3</v>
      </c>
      <c r="AA949">
        <v>8952477</v>
      </c>
      <c r="AB949">
        <v>12250</v>
      </c>
      <c r="AC949">
        <v>10982760</v>
      </c>
      <c r="AD949" t="s">
        <v>5</v>
      </c>
      <c r="AE949">
        <v>6</v>
      </c>
      <c r="AF949">
        <v>2</v>
      </c>
      <c r="AH949" t="s">
        <v>2381</v>
      </c>
      <c r="AI949" t="s">
        <v>2380</v>
      </c>
      <c r="AJ949" t="s">
        <v>2379</v>
      </c>
      <c r="AK949" t="s">
        <v>2378</v>
      </c>
      <c r="AL949">
        <v>0</v>
      </c>
      <c r="AM949" s="5">
        <f t="shared" si="114"/>
        <v>0</v>
      </c>
      <c r="AN949" s="4">
        <f t="shared" si="119"/>
        <v>0</v>
      </c>
      <c r="AO949" s="3"/>
      <c r="AP949">
        <v>0</v>
      </c>
      <c r="AR949" t="s">
        <v>1</v>
      </c>
      <c r="AT949" s="2" t="s">
        <v>0</v>
      </c>
      <c r="AU949" s="1">
        <f t="shared" si="115"/>
        <v>0.56805744641093392</v>
      </c>
      <c r="AV949" s="1">
        <f t="shared" si="116"/>
        <v>0.40575531886495286</v>
      </c>
      <c r="AW949" s="1">
        <f t="shared" si="117"/>
        <v>0.24345319131897172</v>
      </c>
    </row>
    <row r="950" spans="1:49" x14ac:dyDescent="0.2">
      <c r="A950">
        <v>948</v>
      </c>
      <c r="B950" t="s">
        <v>2377</v>
      </c>
      <c r="C950" t="s">
        <v>2376</v>
      </c>
      <c r="F950" t="s">
        <v>2375</v>
      </c>
      <c r="G950" t="s">
        <v>15</v>
      </c>
      <c r="H950" t="s">
        <v>14</v>
      </c>
      <c r="I950" t="s">
        <v>2374</v>
      </c>
      <c r="J950">
        <v>60021902</v>
      </c>
      <c r="K950" t="s">
        <v>2373</v>
      </c>
      <c r="L950" t="s">
        <v>2372</v>
      </c>
      <c r="M950" t="s">
        <v>2371</v>
      </c>
      <c r="N950">
        <v>2</v>
      </c>
      <c r="O950" t="s">
        <v>2370</v>
      </c>
      <c r="P950" t="s">
        <v>2369</v>
      </c>
      <c r="Q950" t="s">
        <v>2368</v>
      </c>
      <c r="R950" s="7">
        <v>33970</v>
      </c>
      <c r="S950" s="8">
        <f t="shared" si="112"/>
        <v>1993</v>
      </c>
      <c r="T950" s="8">
        <v>1993</v>
      </c>
      <c r="U950" s="8">
        <f t="shared" si="113"/>
        <v>29</v>
      </c>
      <c r="V950" s="7">
        <v>34001</v>
      </c>
      <c r="W950" t="s">
        <v>2367</v>
      </c>
      <c r="X950" s="2">
        <v>0.82</v>
      </c>
      <c r="Y950" s="6">
        <f t="shared" si="118"/>
        <v>2.1889431675609299E-2</v>
      </c>
      <c r="AA950">
        <v>189456</v>
      </c>
      <c r="AB950">
        <v>15361</v>
      </c>
      <c r="AC950">
        <v>15579662</v>
      </c>
      <c r="AD950" t="s">
        <v>5</v>
      </c>
      <c r="AE950">
        <v>42</v>
      </c>
      <c r="AF950">
        <v>1</v>
      </c>
      <c r="AH950" t="s">
        <v>2366</v>
      </c>
      <c r="AI950" t="s">
        <v>2365</v>
      </c>
      <c r="AK950" t="s">
        <v>2364</v>
      </c>
      <c r="AL950">
        <v>5</v>
      </c>
      <c r="AM950" s="5">
        <f t="shared" si="114"/>
        <v>0.17241379310344829</v>
      </c>
      <c r="AN950" s="4">
        <f t="shared" si="119"/>
        <v>2.6113410541983838E-4</v>
      </c>
      <c r="AO950" s="3"/>
      <c r="AP950">
        <v>0</v>
      </c>
      <c r="AR950" t="s">
        <v>1</v>
      </c>
      <c r="AT950" s="2" t="s">
        <v>0</v>
      </c>
      <c r="AU950" s="1">
        <f t="shared" si="115"/>
        <v>1.5400942404552458</v>
      </c>
      <c r="AV950" s="1">
        <f t="shared" si="116"/>
        <v>1.1075282890514568</v>
      </c>
      <c r="AW950" s="1">
        <f t="shared" si="117"/>
        <v>0.67496233764766755</v>
      </c>
    </row>
    <row r="951" spans="1:49" x14ac:dyDescent="0.2">
      <c r="A951">
        <v>949</v>
      </c>
      <c r="B951" t="s">
        <v>2363</v>
      </c>
      <c r="C951" t="s">
        <v>2362</v>
      </c>
      <c r="D951" t="s">
        <v>2361</v>
      </c>
      <c r="E951">
        <v>8416865</v>
      </c>
      <c r="F951" t="s">
        <v>2360</v>
      </c>
      <c r="G951" t="s">
        <v>15</v>
      </c>
      <c r="H951" t="s">
        <v>14</v>
      </c>
      <c r="I951" t="s">
        <v>2359</v>
      </c>
      <c r="J951">
        <v>60029627</v>
      </c>
      <c r="K951" t="s">
        <v>2358</v>
      </c>
      <c r="L951" t="s">
        <v>2357</v>
      </c>
      <c r="M951" t="s">
        <v>10</v>
      </c>
      <c r="N951">
        <v>2</v>
      </c>
      <c r="O951" t="s">
        <v>2356</v>
      </c>
      <c r="P951" t="s">
        <v>2355</v>
      </c>
      <c r="Q951" t="s">
        <v>2354</v>
      </c>
      <c r="R951" s="7">
        <v>33970</v>
      </c>
      <c r="S951" s="8">
        <f t="shared" si="112"/>
        <v>1993</v>
      </c>
      <c r="T951" s="8">
        <v>1993</v>
      </c>
      <c r="U951" s="8">
        <f t="shared" si="113"/>
        <v>29</v>
      </c>
      <c r="V951" s="7">
        <v>33970</v>
      </c>
      <c r="W951" t="s">
        <v>2353</v>
      </c>
      <c r="X951" s="2" t="s">
        <v>0</v>
      </c>
      <c r="Y951" s="6" t="e">
        <f t="shared" si="118"/>
        <v>#VALUE!</v>
      </c>
      <c r="AA951">
        <v>3603016</v>
      </c>
      <c r="AB951">
        <v>17191</v>
      </c>
      <c r="AD951" t="s">
        <v>5</v>
      </c>
      <c r="AE951">
        <v>25</v>
      </c>
      <c r="AF951">
        <v>1</v>
      </c>
      <c r="AH951" t="s">
        <v>2352</v>
      </c>
      <c r="AI951" t="s">
        <v>2351</v>
      </c>
      <c r="AJ951" t="s">
        <v>2350</v>
      </c>
      <c r="AK951" t="s">
        <v>2349</v>
      </c>
      <c r="AL951">
        <v>1</v>
      </c>
      <c r="AM951" s="5">
        <f t="shared" si="114"/>
        <v>3.4482758620689655E-2</v>
      </c>
      <c r="AN951" s="4">
        <f t="shared" si="119"/>
        <v>5.2226821083967674E-5</v>
      </c>
      <c r="AO951" s="3"/>
      <c r="AP951">
        <v>0</v>
      </c>
      <c r="AR951" t="s">
        <v>1</v>
      </c>
      <c r="AT951" s="2" t="s">
        <v>0</v>
      </c>
      <c r="AU951" s="1" t="e">
        <f t="shared" si="115"/>
        <v>#VALUE!</v>
      </c>
      <c r="AV951" s="1" t="e">
        <f t="shared" si="116"/>
        <v>#VALUE!</v>
      </c>
      <c r="AW951" s="1" t="e">
        <f t="shared" si="117"/>
        <v>#VALUE!</v>
      </c>
    </row>
    <row r="952" spans="1:49" x14ac:dyDescent="0.2">
      <c r="A952">
        <v>950</v>
      </c>
      <c r="B952" t="s">
        <v>2348</v>
      </c>
      <c r="C952" t="s">
        <v>2347</v>
      </c>
      <c r="E952">
        <v>7679920</v>
      </c>
      <c r="F952" t="s">
        <v>2346</v>
      </c>
      <c r="G952" t="s">
        <v>15</v>
      </c>
      <c r="H952" t="s">
        <v>14</v>
      </c>
      <c r="I952" t="s">
        <v>2345</v>
      </c>
      <c r="J952" t="s">
        <v>2344</v>
      </c>
      <c r="K952" t="s">
        <v>2343</v>
      </c>
      <c r="L952" t="s">
        <v>2342</v>
      </c>
      <c r="M952" t="s">
        <v>2341</v>
      </c>
      <c r="N952">
        <v>10</v>
      </c>
      <c r="O952" t="s">
        <v>2340</v>
      </c>
      <c r="P952" t="s">
        <v>2339</v>
      </c>
      <c r="Q952" t="s">
        <v>2338</v>
      </c>
      <c r="R952" s="7">
        <v>33970</v>
      </c>
      <c r="S952" s="8">
        <f t="shared" si="112"/>
        <v>1993</v>
      </c>
      <c r="T952" s="8">
        <v>1993</v>
      </c>
      <c r="U952" s="8">
        <f t="shared" si="113"/>
        <v>29</v>
      </c>
      <c r="V952" s="7">
        <v>34029</v>
      </c>
      <c r="W952" t="s">
        <v>2337</v>
      </c>
      <c r="X952" s="2">
        <v>2.8330000000000002</v>
      </c>
      <c r="Y952" s="6">
        <f t="shared" si="118"/>
        <v>7.5625316996342867E-2</v>
      </c>
      <c r="AA952">
        <v>70920</v>
      </c>
      <c r="AB952">
        <v>28770</v>
      </c>
      <c r="AC952">
        <v>15321827</v>
      </c>
      <c r="AD952" t="s">
        <v>5</v>
      </c>
      <c r="AE952">
        <v>67</v>
      </c>
      <c r="AF952">
        <v>3</v>
      </c>
      <c r="AH952" t="s">
        <v>2336</v>
      </c>
      <c r="AI952" t="s">
        <v>2335</v>
      </c>
      <c r="AK952" t="s">
        <v>2334</v>
      </c>
      <c r="AL952">
        <v>54</v>
      </c>
      <c r="AM952" s="5">
        <f t="shared" si="114"/>
        <v>1.8620689655172413</v>
      </c>
      <c r="AN952" s="4">
        <f t="shared" si="119"/>
        <v>2.820248338534254E-3</v>
      </c>
      <c r="AO952" s="3"/>
      <c r="AP952">
        <v>1</v>
      </c>
      <c r="AR952" t="s">
        <v>1</v>
      </c>
      <c r="AT952" s="2">
        <v>7.64</v>
      </c>
      <c r="AU952" s="1">
        <f t="shared" si="115"/>
        <v>5.3783796399000279</v>
      </c>
      <c r="AV952" s="1">
        <f t="shared" si="116"/>
        <v>3.9222782667438558</v>
      </c>
      <c r="AW952" s="1">
        <f t="shared" si="117"/>
        <v>2.4661768935876838</v>
      </c>
    </row>
    <row r="953" spans="1:49" x14ac:dyDescent="0.2">
      <c r="A953">
        <v>951</v>
      </c>
      <c r="B953" t="s">
        <v>2333</v>
      </c>
      <c r="C953" t="s">
        <v>2332</v>
      </c>
      <c r="D953" t="s">
        <v>2331</v>
      </c>
      <c r="F953" t="s">
        <v>2330</v>
      </c>
      <c r="G953" t="s">
        <v>15</v>
      </c>
      <c r="H953" t="s">
        <v>14</v>
      </c>
      <c r="I953" t="s">
        <v>2329</v>
      </c>
      <c r="J953">
        <v>60009512</v>
      </c>
      <c r="K953" t="s">
        <v>1595</v>
      </c>
      <c r="L953" t="s">
        <v>1594</v>
      </c>
      <c r="M953" t="s">
        <v>818</v>
      </c>
      <c r="N953">
        <v>1</v>
      </c>
      <c r="O953" t="s">
        <v>2328</v>
      </c>
      <c r="P953">
        <v>7202620125</v>
      </c>
      <c r="Q953">
        <v>60009512</v>
      </c>
      <c r="R953" s="7">
        <v>33970</v>
      </c>
      <c r="S953" s="8">
        <f t="shared" si="112"/>
        <v>1993</v>
      </c>
      <c r="T953" s="8">
        <v>1993</v>
      </c>
      <c r="U953" s="8">
        <f t="shared" si="113"/>
        <v>29</v>
      </c>
      <c r="V953" s="7">
        <v>34121</v>
      </c>
      <c r="W953" t="s">
        <v>1841</v>
      </c>
      <c r="X953" s="2">
        <v>0.51500000000000001</v>
      </c>
      <c r="Y953" s="6">
        <f t="shared" si="118"/>
        <v>1.374763086943755E-2</v>
      </c>
      <c r="AA953">
        <v>219169</v>
      </c>
      <c r="AB953">
        <v>30966</v>
      </c>
      <c r="AD953" t="s">
        <v>5</v>
      </c>
      <c r="AE953">
        <v>55</v>
      </c>
      <c r="AF953">
        <v>7</v>
      </c>
      <c r="AI953" t="s">
        <v>2327</v>
      </c>
      <c r="AK953" t="s">
        <v>2326</v>
      </c>
      <c r="AL953">
        <v>64</v>
      </c>
      <c r="AM953" s="5">
        <f t="shared" si="114"/>
        <v>2.2068965517241379</v>
      </c>
      <c r="AN953" s="4">
        <f t="shared" si="119"/>
        <v>3.3425165493739311E-3</v>
      </c>
      <c r="AO953" s="3"/>
      <c r="AP953">
        <v>0</v>
      </c>
      <c r="AR953" t="s">
        <v>1</v>
      </c>
      <c r="AT953" s="2" t="s">
        <v>0</v>
      </c>
      <c r="AU953" s="1">
        <f t="shared" si="115"/>
        <v>1.0626096573418464</v>
      </c>
      <c r="AV953" s="1">
        <f t="shared" si="116"/>
        <v>0.85450737094057405</v>
      </c>
      <c r="AW953" s="1">
        <f t="shared" si="117"/>
        <v>0.64640508453930168</v>
      </c>
    </row>
    <row r="954" spans="1:49" x14ac:dyDescent="0.2">
      <c r="A954">
        <v>952</v>
      </c>
      <c r="B954" t="s">
        <v>2325</v>
      </c>
      <c r="C954" t="s">
        <v>2324</v>
      </c>
      <c r="D954" t="s">
        <v>2323</v>
      </c>
      <c r="F954" t="s">
        <v>2322</v>
      </c>
      <c r="G954" t="s">
        <v>15</v>
      </c>
      <c r="H954" t="s">
        <v>14</v>
      </c>
      <c r="I954" t="s">
        <v>2321</v>
      </c>
      <c r="J954">
        <v>60031216</v>
      </c>
      <c r="K954" t="s">
        <v>2320</v>
      </c>
      <c r="L954" t="s">
        <v>2319</v>
      </c>
      <c r="M954" t="s">
        <v>59</v>
      </c>
      <c r="N954">
        <v>2</v>
      </c>
      <c r="O954" t="s">
        <v>2318</v>
      </c>
      <c r="P954" t="s">
        <v>2317</v>
      </c>
      <c r="Q954" t="s">
        <v>2316</v>
      </c>
      <c r="R954" s="7">
        <v>33970</v>
      </c>
      <c r="S954" s="8">
        <f t="shared" si="112"/>
        <v>1993</v>
      </c>
      <c r="T954" s="8">
        <v>1993</v>
      </c>
      <c r="U954" s="8">
        <f t="shared" si="113"/>
        <v>29</v>
      </c>
      <c r="V954" s="7">
        <v>34243</v>
      </c>
      <c r="W954" t="s">
        <v>1486</v>
      </c>
      <c r="X954" s="2" t="s">
        <v>0</v>
      </c>
      <c r="Y954" s="6" t="e">
        <f t="shared" si="118"/>
        <v>#VALUE!</v>
      </c>
      <c r="AA954">
        <v>10111344</v>
      </c>
      <c r="AB954">
        <v>17622</v>
      </c>
      <c r="AD954" t="s">
        <v>5</v>
      </c>
      <c r="AE954">
        <v>20</v>
      </c>
      <c r="AF954" s="9">
        <v>44257</v>
      </c>
      <c r="AH954" t="s">
        <v>2315</v>
      </c>
      <c r="AI954" t="s">
        <v>2314</v>
      </c>
      <c r="AJ954" t="s">
        <v>2313</v>
      </c>
      <c r="AK954" t="s">
        <v>2312</v>
      </c>
      <c r="AL954">
        <v>27</v>
      </c>
      <c r="AM954" s="5">
        <f t="shared" si="114"/>
        <v>0.93103448275862066</v>
      </c>
      <c r="AN954" s="4">
        <f t="shared" si="119"/>
        <v>1.410124169267127E-3</v>
      </c>
      <c r="AO954" s="3"/>
      <c r="AP954">
        <v>0</v>
      </c>
      <c r="AR954" t="s">
        <v>2311</v>
      </c>
      <c r="AT954" s="2" t="s">
        <v>0</v>
      </c>
      <c r="AU954" s="1" t="e">
        <f t="shared" si="115"/>
        <v>#VALUE!</v>
      </c>
      <c r="AV954" s="1" t="e">
        <f t="shared" si="116"/>
        <v>#VALUE!</v>
      </c>
      <c r="AW954" s="1" t="e">
        <f t="shared" si="117"/>
        <v>#VALUE!</v>
      </c>
    </row>
    <row r="955" spans="1:49" x14ac:dyDescent="0.2">
      <c r="A955">
        <v>953</v>
      </c>
      <c r="B955" t="s">
        <v>2310</v>
      </c>
      <c r="C955" t="s">
        <v>2309</v>
      </c>
      <c r="E955">
        <v>8450749</v>
      </c>
      <c r="F955" t="s">
        <v>2308</v>
      </c>
      <c r="G955" t="s">
        <v>15</v>
      </c>
      <c r="H955" t="s">
        <v>14</v>
      </c>
      <c r="I955" t="s">
        <v>2307</v>
      </c>
      <c r="J955">
        <v>60101845</v>
      </c>
      <c r="K955" t="s">
        <v>2306</v>
      </c>
      <c r="L955" t="s">
        <v>2305</v>
      </c>
      <c r="M955" t="s">
        <v>303</v>
      </c>
      <c r="N955">
        <v>2</v>
      </c>
      <c r="O955" t="s">
        <v>2304</v>
      </c>
      <c r="P955" t="s">
        <v>2303</v>
      </c>
      <c r="Q955" t="s">
        <v>2302</v>
      </c>
      <c r="R955" s="7">
        <v>33970</v>
      </c>
      <c r="S955" s="8">
        <f t="shared" si="112"/>
        <v>1993</v>
      </c>
      <c r="T955" s="8">
        <v>1993</v>
      </c>
      <c r="U955" s="8">
        <f t="shared" si="113"/>
        <v>29</v>
      </c>
      <c r="V955" s="7">
        <v>34029</v>
      </c>
      <c r="W955" t="s">
        <v>2301</v>
      </c>
      <c r="X955" s="2">
        <v>1.696</v>
      </c>
      <c r="Y955" s="6">
        <f t="shared" si="118"/>
        <v>4.5273751368089483E-2</v>
      </c>
      <c r="AA955">
        <v>7403194</v>
      </c>
      <c r="AB955">
        <v>17267</v>
      </c>
      <c r="AC955">
        <v>15222594</v>
      </c>
      <c r="AD955" t="s">
        <v>5</v>
      </c>
      <c r="AE955">
        <v>29</v>
      </c>
      <c r="AF955">
        <v>3</v>
      </c>
      <c r="AH955" t="s">
        <v>2300</v>
      </c>
      <c r="AI955" t="s">
        <v>2299</v>
      </c>
      <c r="AJ955" t="s">
        <v>2298</v>
      </c>
      <c r="AK955" t="s">
        <v>2297</v>
      </c>
      <c r="AL955">
        <v>2</v>
      </c>
      <c r="AM955" s="5">
        <f t="shared" si="114"/>
        <v>6.8965517241379309E-2</v>
      </c>
      <c r="AN955" s="4">
        <f t="shared" si="119"/>
        <v>1.0445364216793535E-4</v>
      </c>
      <c r="AO955" s="3"/>
      <c r="AP955">
        <v>0</v>
      </c>
      <c r="AR955" t="s">
        <v>1</v>
      </c>
      <c r="AT955" s="2">
        <v>4.6680000000000001</v>
      </c>
      <c r="AU955" s="1">
        <f t="shared" si="115"/>
        <v>3.1722962050313019</v>
      </c>
      <c r="AV955" s="1">
        <f t="shared" si="116"/>
        <v>2.2689102505128709</v>
      </c>
      <c r="AW955" s="1">
        <f t="shared" si="117"/>
        <v>1.3655242959944398</v>
      </c>
    </row>
    <row r="956" spans="1:49" x14ac:dyDescent="0.2">
      <c r="A956">
        <v>954</v>
      </c>
      <c r="B956" t="s">
        <v>2296</v>
      </c>
      <c r="C956" t="s">
        <v>2295</v>
      </c>
      <c r="F956" t="s">
        <v>2294</v>
      </c>
      <c r="G956" t="s">
        <v>15</v>
      </c>
      <c r="H956" t="s">
        <v>14</v>
      </c>
      <c r="I956" t="s">
        <v>2293</v>
      </c>
      <c r="J956" t="s">
        <v>2292</v>
      </c>
      <c r="K956" t="s">
        <v>2291</v>
      </c>
      <c r="L956" t="s">
        <v>2290</v>
      </c>
      <c r="M956" t="s">
        <v>2289</v>
      </c>
      <c r="N956">
        <v>6</v>
      </c>
      <c r="O956" t="s">
        <v>2288</v>
      </c>
      <c r="P956" t="s">
        <v>2287</v>
      </c>
      <c r="Q956" t="s">
        <v>2286</v>
      </c>
      <c r="R956" s="7">
        <v>33970</v>
      </c>
      <c r="S956" s="8">
        <f t="shared" si="112"/>
        <v>1993</v>
      </c>
      <c r="T956" s="8">
        <v>1993</v>
      </c>
      <c r="U956" s="8">
        <f t="shared" si="113"/>
        <v>29</v>
      </c>
      <c r="V956" s="7">
        <v>33970</v>
      </c>
      <c r="W956" t="s">
        <v>2285</v>
      </c>
      <c r="X956" s="2">
        <v>1.1000000000000001</v>
      </c>
      <c r="Y956" s="6">
        <f t="shared" si="118"/>
        <v>2.9363871759963699E-2</v>
      </c>
      <c r="AA956">
        <v>7307268</v>
      </c>
      <c r="AB956">
        <v>25094</v>
      </c>
      <c r="AC956">
        <v>15528618</v>
      </c>
      <c r="AD956" t="s">
        <v>5</v>
      </c>
      <c r="AE956">
        <v>12</v>
      </c>
      <c r="AF956">
        <v>1</v>
      </c>
      <c r="AH956" t="s">
        <v>2284</v>
      </c>
      <c r="AI956" t="s">
        <v>2283</v>
      </c>
      <c r="AJ956" t="s">
        <v>2282</v>
      </c>
      <c r="AK956" t="s">
        <v>2281</v>
      </c>
      <c r="AL956">
        <v>23</v>
      </c>
      <c r="AM956" s="5">
        <f t="shared" si="114"/>
        <v>0.7931034482758621</v>
      </c>
      <c r="AN956" s="4">
        <f t="shared" si="119"/>
        <v>1.2012168849312565E-3</v>
      </c>
      <c r="AO956" s="3"/>
      <c r="AP956">
        <v>0</v>
      </c>
      <c r="AR956" t="s">
        <v>1</v>
      </c>
      <c r="AT956" s="2" t="s">
        <v>0</v>
      </c>
      <c r="AU956" s="1">
        <f t="shared" si="115"/>
        <v>2.0915075297453964</v>
      </c>
      <c r="AV956" s="1">
        <f t="shared" si="116"/>
        <v>1.5282544322447478</v>
      </c>
      <c r="AW956" s="1">
        <f t="shared" si="117"/>
        <v>0.96500133474409899</v>
      </c>
    </row>
    <row r="957" spans="1:49" x14ac:dyDescent="0.2">
      <c r="A957">
        <v>955</v>
      </c>
      <c r="B957" t="s">
        <v>2280</v>
      </c>
      <c r="E957">
        <v>7910551</v>
      </c>
      <c r="F957" t="s">
        <v>2279</v>
      </c>
      <c r="G957" t="s">
        <v>15</v>
      </c>
      <c r="H957" t="s">
        <v>14</v>
      </c>
      <c r="I957" t="s">
        <v>2278</v>
      </c>
      <c r="J957">
        <v>60005247</v>
      </c>
      <c r="K957" t="s">
        <v>2277</v>
      </c>
      <c r="L957" t="s">
        <v>1832</v>
      </c>
      <c r="M957" t="s">
        <v>10</v>
      </c>
      <c r="N957">
        <v>4</v>
      </c>
      <c r="O957" t="s">
        <v>2276</v>
      </c>
      <c r="P957" t="s">
        <v>2275</v>
      </c>
      <c r="Q957" t="s">
        <v>2274</v>
      </c>
      <c r="R957" s="7">
        <v>33970</v>
      </c>
      <c r="S957" s="8">
        <f t="shared" si="112"/>
        <v>1993</v>
      </c>
      <c r="T957" s="8">
        <v>1993</v>
      </c>
      <c r="U957" s="8">
        <f t="shared" si="113"/>
        <v>29</v>
      </c>
      <c r="V957" s="7">
        <v>1993</v>
      </c>
      <c r="W957" t="s">
        <v>2273</v>
      </c>
      <c r="X957" s="2">
        <v>0.15</v>
      </c>
      <c r="Y957" s="6">
        <f t="shared" si="118"/>
        <v>4.0041643309041402E-3</v>
      </c>
      <c r="AA957">
        <v>9501991</v>
      </c>
      <c r="AB957">
        <v>14531</v>
      </c>
      <c r="AD957" t="s">
        <v>5</v>
      </c>
      <c r="AE957">
        <v>119</v>
      </c>
      <c r="AF957">
        <v>3</v>
      </c>
      <c r="AH957" t="s">
        <v>2272</v>
      </c>
      <c r="AJ957" t="s">
        <v>2271</v>
      </c>
      <c r="AL957">
        <v>165</v>
      </c>
      <c r="AM957" s="5">
        <f t="shared" si="114"/>
        <v>5.6896551724137927</v>
      </c>
      <c r="AN957" s="4">
        <f t="shared" si="119"/>
        <v>8.6174254788546657E-3</v>
      </c>
      <c r="AO957" s="3"/>
      <c r="AP957">
        <v>0</v>
      </c>
      <c r="AQ957" t="s">
        <v>1574</v>
      </c>
      <c r="AR957" t="s">
        <v>2270</v>
      </c>
      <c r="AS957" t="s">
        <v>1572</v>
      </c>
      <c r="AT957" s="2">
        <v>6.8680000000000003</v>
      </c>
      <c r="AU957" s="1">
        <f t="shared" si="115"/>
        <v>0.5388142675289298</v>
      </c>
      <c r="AV957" s="1">
        <f t="shared" si="116"/>
        <v>0.63107949048794032</v>
      </c>
      <c r="AW957" s="1">
        <f t="shared" si="117"/>
        <v>0.72334471344695084</v>
      </c>
    </row>
    <row r="958" spans="1:49" x14ac:dyDescent="0.2">
      <c r="A958">
        <v>956</v>
      </c>
      <c r="B958" t="s">
        <v>2269</v>
      </c>
      <c r="C958" t="s">
        <v>2268</v>
      </c>
      <c r="E958">
        <v>8454728</v>
      </c>
      <c r="F958" t="s">
        <v>2267</v>
      </c>
      <c r="G958" t="s">
        <v>15</v>
      </c>
      <c r="H958" t="s">
        <v>14</v>
      </c>
      <c r="I958" t="s">
        <v>2266</v>
      </c>
      <c r="J958" t="s">
        <v>1933</v>
      </c>
      <c r="K958" t="s">
        <v>1938</v>
      </c>
      <c r="L958" t="s">
        <v>1937</v>
      </c>
      <c r="M958" t="s">
        <v>1936</v>
      </c>
      <c r="N958">
        <v>4</v>
      </c>
      <c r="O958" t="s">
        <v>2265</v>
      </c>
      <c r="P958" t="s">
        <v>2264</v>
      </c>
      <c r="Q958" t="s">
        <v>2263</v>
      </c>
      <c r="R958" s="7">
        <v>33970</v>
      </c>
      <c r="S958" s="8">
        <f t="shared" si="112"/>
        <v>1993</v>
      </c>
      <c r="T958" s="8">
        <v>1993</v>
      </c>
      <c r="U958" s="8">
        <f t="shared" si="113"/>
        <v>29</v>
      </c>
      <c r="V958" s="7">
        <v>34036</v>
      </c>
      <c r="W958" t="s">
        <v>1030</v>
      </c>
      <c r="X958" s="2">
        <v>1.855</v>
      </c>
      <c r="Y958" s="6">
        <f t="shared" si="118"/>
        <v>4.9518165558847867E-2</v>
      </c>
      <c r="AA958">
        <v>219967</v>
      </c>
      <c r="AB958">
        <v>16689</v>
      </c>
      <c r="AC958">
        <v>10969861</v>
      </c>
      <c r="AD958" t="s">
        <v>5</v>
      </c>
      <c r="AE958">
        <v>329</v>
      </c>
      <c r="AF958">
        <v>2</v>
      </c>
      <c r="AH958" t="s">
        <v>2262</v>
      </c>
      <c r="AI958" t="s">
        <v>2261</v>
      </c>
      <c r="AJ958" t="s">
        <v>2260</v>
      </c>
      <c r="AK958" t="s">
        <v>2259</v>
      </c>
      <c r="AL958">
        <v>87</v>
      </c>
      <c r="AM958" s="5">
        <f t="shared" si="114"/>
        <v>3</v>
      </c>
      <c r="AN958" s="4">
        <f t="shared" si="119"/>
        <v>4.5437334343051876E-3</v>
      </c>
      <c r="AO958" s="3"/>
      <c r="AP958">
        <v>0</v>
      </c>
      <c r="AR958" t="s">
        <v>1</v>
      </c>
      <c r="AT958" s="2">
        <v>3.2149999999999999</v>
      </c>
      <c r="AU958" s="1">
        <f t="shared" si="115"/>
        <v>3.6025835921485063</v>
      </c>
      <c r="AV958" s="1">
        <f t="shared" si="116"/>
        <v>2.7030949496576531</v>
      </c>
      <c r="AW958" s="1">
        <f t="shared" si="117"/>
        <v>1.8036063071667989</v>
      </c>
    </row>
    <row r="959" spans="1:49" x14ac:dyDescent="0.2">
      <c r="A959">
        <v>957</v>
      </c>
      <c r="B959" t="s">
        <v>2258</v>
      </c>
      <c r="C959" t="s">
        <v>2257</v>
      </c>
      <c r="D959" t="s">
        <v>2256</v>
      </c>
      <c r="F959" t="s">
        <v>2255</v>
      </c>
      <c r="G959" t="s">
        <v>15</v>
      </c>
      <c r="H959" t="s">
        <v>14</v>
      </c>
      <c r="I959" t="s">
        <v>2254</v>
      </c>
      <c r="J959" t="s">
        <v>2253</v>
      </c>
      <c r="K959" t="s">
        <v>2252</v>
      </c>
      <c r="L959" t="s">
        <v>2251</v>
      </c>
      <c r="M959" t="s">
        <v>478</v>
      </c>
      <c r="N959">
        <v>2</v>
      </c>
      <c r="O959" t="s">
        <v>2250</v>
      </c>
      <c r="P959" t="s">
        <v>2249</v>
      </c>
      <c r="Q959" t="s">
        <v>2248</v>
      </c>
      <c r="R959" s="7">
        <v>33970</v>
      </c>
      <c r="S959" s="8">
        <f t="shared" si="112"/>
        <v>1993</v>
      </c>
      <c r="T959" s="8">
        <v>1993</v>
      </c>
      <c r="U959" s="8">
        <f t="shared" si="113"/>
        <v>29</v>
      </c>
      <c r="V959" s="7">
        <v>34090</v>
      </c>
      <c r="W959" t="s">
        <v>387</v>
      </c>
      <c r="X959" s="2">
        <v>0.68200000000000005</v>
      </c>
      <c r="Y959" s="6">
        <f t="shared" si="118"/>
        <v>1.8205600491177493E-2</v>
      </c>
      <c r="AA959">
        <v>2731177</v>
      </c>
      <c r="AB959">
        <v>12375</v>
      </c>
      <c r="AD959" t="s">
        <v>5</v>
      </c>
      <c r="AE959">
        <v>13</v>
      </c>
      <c r="AF959">
        <v>5</v>
      </c>
      <c r="AH959" t="s">
        <v>2247</v>
      </c>
      <c r="AI959" t="s">
        <v>2246</v>
      </c>
      <c r="AK959" t="s">
        <v>2245</v>
      </c>
      <c r="AL959">
        <v>39</v>
      </c>
      <c r="AM959" s="5">
        <f t="shared" si="114"/>
        <v>1.3448275862068966</v>
      </c>
      <c r="AN959" s="4">
        <f t="shared" si="119"/>
        <v>2.0368460222747391E-3</v>
      </c>
      <c r="AO959" s="3"/>
      <c r="AP959">
        <v>0</v>
      </c>
      <c r="AR959" t="s">
        <v>1</v>
      </c>
      <c r="AT959" s="2">
        <v>2.1520000000000001</v>
      </c>
      <c r="AU959" s="1">
        <f t="shared" si="115"/>
        <v>1.3354974150506664</v>
      </c>
      <c r="AV959" s="1">
        <f t="shared" si="116"/>
        <v>1.0121223256726117</v>
      </c>
      <c r="AW959" s="1">
        <f t="shared" si="117"/>
        <v>0.68874723629455648</v>
      </c>
    </row>
    <row r="960" spans="1:49" x14ac:dyDescent="0.2">
      <c r="A960">
        <v>958</v>
      </c>
      <c r="B960" t="s">
        <v>2244</v>
      </c>
      <c r="C960" t="s">
        <v>2243</v>
      </c>
      <c r="F960" t="s">
        <v>2242</v>
      </c>
      <c r="G960" t="s">
        <v>15</v>
      </c>
      <c r="H960" t="s">
        <v>14</v>
      </c>
      <c r="I960" t="s">
        <v>2241</v>
      </c>
      <c r="J960">
        <v>60003122</v>
      </c>
      <c r="K960" t="s">
        <v>2240</v>
      </c>
      <c r="L960" t="s">
        <v>2239</v>
      </c>
      <c r="M960" t="s">
        <v>508</v>
      </c>
      <c r="N960">
        <v>2</v>
      </c>
      <c r="O960" t="s">
        <v>2238</v>
      </c>
      <c r="P960" t="s">
        <v>2237</v>
      </c>
      <c r="Q960" t="s">
        <v>2236</v>
      </c>
      <c r="R960" s="7">
        <v>33970</v>
      </c>
      <c r="S960" s="8">
        <f t="shared" si="112"/>
        <v>1993</v>
      </c>
      <c r="T960" s="8">
        <v>1993</v>
      </c>
      <c r="U960" s="8">
        <f t="shared" si="113"/>
        <v>29</v>
      </c>
      <c r="V960" s="7">
        <v>33970</v>
      </c>
      <c r="W960" t="s">
        <v>1687</v>
      </c>
      <c r="X960" s="2">
        <v>0.752</v>
      </c>
      <c r="Y960" s="6">
        <f t="shared" si="118"/>
        <v>2.0074210512266089E-2</v>
      </c>
      <c r="AA960">
        <v>3649059</v>
      </c>
      <c r="AB960">
        <v>17277</v>
      </c>
      <c r="AC960">
        <v>15581691</v>
      </c>
      <c r="AD960" t="s">
        <v>5</v>
      </c>
      <c r="AE960">
        <v>18</v>
      </c>
      <c r="AF960">
        <v>1</v>
      </c>
      <c r="AH960" s="10">
        <v>41791</v>
      </c>
      <c r="AI960" t="s">
        <v>2235</v>
      </c>
      <c r="AK960" t="s">
        <v>2234</v>
      </c>
      <c r="AL960">
        <v>10</v>
      </c>
      <c r="AM960" s="5">
        <f t="shared" si="114"/>
        <v>0.34482758620689657</v>
      </c>
      <c r="AN960" s="4">
        <f t="shared" si="119"/>
        <v>5.2226821083967677E-4</v>
      </c>
      <c r="AO960" s="3"/>
      <c r="AP960">
        <v>0</v>
      </c>
      <c r="AR960" t="s">
        <v>1</v>
      </c>
      <c r="AT960" s="2">
        <v>3.5539999999999998</v>
      </c>
      <c r="AU960" s="1">
        <f t="shared" si="115"/>
        <v>1.4208627821838165</v>
      </c>
      <c r="AV960" s="1">
        <f t="shared" si="116"/>
        <v>1.0298239361552883</v>
      </c>
      <c r="AW960" s="1">
        <f t="shared" si="117"/>
        <v>0.63878509012675999</v>
      </c>
    </row>
    <row r="961" spans="1:49" x14ac:dyDescent="0.2">
      <c r="A961">
        <v>959</v>
      </c>
      <c r="B961" t="s">
        <v>2233</v>
      </c>
      <c r="C961" t="s">
        <v>2232</v>
      </c>
      <c r="E961">
        <v>8399174</v>
      </c>
      <c r="F961" t="s">
        <v>2231</v>
      </c>
      <c r="G961" t="s">
        <v>15</v>
      </c>
      <c r="H961" t="s">
        <v>14</v>
      </c>
      <c r="I961" t="s">
        <v>2230</v>
      </c>
      <c r="J961" t="s">
        <v>2229</v>
      </c>
      <c r="K961" t="s">
        <v>2228</v>
      </c>
      <c r="L961" t="s">
        <v>2227</v>
      </c>
      <c r="M961" t="s">
        <v>2226</v>
      </c>
      <c r="N961">
        <v>7</v>
      </c>
      <c r="O961" t="s">
        <v>2225</v>
      </c>
      <c r="P961" t="s">
        <v>2224</v>
      </c>
      <c r="Q961" t="s">
        <v>2223</v>
      </c>
      <c r="R961" s="7">
        <v>33970</v>
      </c>
      <c r="S961" s="8">
        <f t="shared" ref="S961:S1024" si="120">YEAR(R961)</f>
        <v>1993</v>
      </c>
      <c r="T961" s="8">
        <v>1993</v>
      </c>
      <c r="U961" s="8">
        <f t="shared" ref="U961:U1024" si="121">2022-T961</f>
        <v>29</v>
      </c>
      <c r="V961" s="7">
        <v>1993</v>
      </c>
      <c r="W961" t="s">
        <v>828</v>
      </c>
      <c r="X961" s="2">
        <v>1.43</v>
      </c>
      <c r="Y961" s="6">
        <f t="shared" si="118"/>
        <v>3.8173033287952803E-2</v>
      </c>
      <c r="AA961">
        <v>62960</v>
      </c>
      <c r="AB961">
        <v>16867</v>
      </c>
      <c r="AC961">
        <v>15204995</v>
      </c>
      <c r="AD961" t="s">
        <v>5</v>
      </c>
      <c r="AE961">
        <v>32</v>
      </c>
      <c r="AF961">
        <v>39</v>
      </c>
      <c r="AH961" t="s">
        <v>2222</v>
      </c>
      <c r="AI961" t="s">
        <v>2221</v>
      </c>
      <c r="AK961" t="s">
        <v>2220</v>
      </c>
      <c r="AL961">
        <v>15</v>
      </c>
      <c r="AM961" s="5">
        <f t="shared" ref="AM961:AM1024" si="122">AL961/U961</f>
        <v>0.51724137931034486</v>
      </c>
      <c r="AN961" s="4">
        <f t="shared" si="119"/>
        <v>7.834023162595151E-4</v>
      </c>
      <c r="AO961" s="3"/>
      <c r="AP961">
        <v>0</v>
      </c>
      <c r="AR961" t="s">
        <v>1</v>
      </c>
      <c r="AT961" s="2">
        <v>3.1619999999999999</v>
      </c>
      <c r="AU961" s="1">
        <f t="shared" ref="AU961:AU1024" si="123">(Y961*0.7+AN961*0.3)*100</f>
        <v>2.6956143996444819</v>
      </c>
      <c r="AV961" s="1">
        <f t="shared" ref="AV961:AV1024" si="124">(Y961*0.5+AN961*0.5)*100</f>
        <v>1.9478217802106159</v>
      </c>
      <c r="AW961" s="1">
        <f t="shared" ref="AW961:AW1024" si="125">(Y961*0.3+AN961*0.7)*100</f>
        <v>1.2000291607767501</v>
      </c>
    </row>
    <row r="962" spans="1:49" x14ac:dyDescent="0.2">
      <c r="A962">
        <v>960</v>
      </c>
      <c r="B962" t="s">
        <v>2219</v>
      </c>
      <c r="C962" t="s">
        <v>2218</v>
      </c>
      <c r="E962">
        <v>8460282</v>
      </c>
      <c r="F962" t="s">
        <v>2217</v>
      </c>
      <c r="G962" t="s">
        <v>15</v>
      </c>
      <c r="H962" t="s">
        <v>14</v>
      </c>
      <c r="I962" t="s">
        <v>2216</v>
      </c>
      <c r="J962" t="s">
        <v>2215</v>
      </c>
      <c r="K962" t="s">
        <v>2214</v>
      </c>
      <c r="L962" t="s">
        <v>2213</v>
      </c>
      <c r="M962" t="s">
        <v>2111</v>
      </c>
      <c r="N962">
        <v>4</v>
      </c>
      <c r="O962" t="s">
        <v>2212</v>
      </c>
      <c r="P962" t="s">
        <v>2211</v>
      </c>
      <c r="Q962" t="s">
        <v>2210</v>
      </c>
      <c r="R962" s="7">
        <v>33970</v>
      </c>
      <c r="S962" s="8">
        <f t="shared" si="120"/>
        <v>1993</v>
      </c>
      <c r="T962" s="8">
        <v>1993</v>
      </c>
      <c r="U962" s="8">
        <f t="shared" si="121"/>
        <v>29</v>
      </c>
      <c r="V962" s="7">
        <v>1993</v>
      </c>
      <c r="W962" t="s">
        <v>2209</v>
      </c>
      <c r="X962" s="2">
        <v>2.2400000000000002</v>
      </c>
      <c r="Y962" s="6">
        <f t="shared" ref="Y962:Y1025" si="126">(X962-$Z$4)/($Z$3-$Z$4)</f>
        <v>5.9795520674835172E-2</v>
      </c>
      <c r="AA962" t="s">
        <v>2208</v>
      </c>
      <c r="AB962">
        <v>15094</v>
      </c>
      <c r="AC962">
        <v>15392864</v>
      </c>
      <c r="AD962" t="s">
        <v>5</v>
      </c>
      <c r="AE962">
        <v>13</v>
      </c>
      <c r="AF962">
        <v>1</v>
      </c>
      <c r="AH962" t="s">
        <v>2207</v>
      </c>
      <c r="AI962" t="s">
        <v>2206</v>
      </c>
      <c r="AJ962" t="s">
        <v>2205</v>
      </c>
      <c r="AK962" t="s">
        <v>2204</v>
      </c>
      <c r="AL962">
        <v>3</v>
      </c>
      <c r="AM962" s="5">
        <f t="shared" si="122"/>
        <v>0.10344827586206896</v>
      </c>
      <c r="AN962" s="4">
        <f t="shared" ref="AN962:AN1025" si="127">(AM962-$AO$4)/($AO$3-$AO$4)</f>
        <v>1.5668046325190301E-4</v>
      </c>
      <c r="AO962" s="3"/>
      <c r="AP962">
        <v>0</v>
      </c>
      <c r="AR962" t="s">
        <v>1</v>
      </c>
      <c r="AT962" s="2" t="s">
        <v>0</v>
      </c>
      <c r="AU962" s="1">
        <f t="shared" si="123"/>
        <v>4.1903868611360187</v>
      </c>
      <c r="AV962" s="1">
        <f t="shared" si="124"/>
        <v>2.9976100569043536</v>
      </c>
      <c r="AW962" s="1">
        <f t="shared" si="125"/>
        <v>1.804833252672688</v>
      </c>
    </row>
    <row r="963" spans="1:49" x14ac:dyDescent="0.2">
      <c r="A963">
        <v>961</v>
      </c>
      <c r="B963" t="s">
        <v>2203</v>
      </c>
      <c r="C963" t="s">
        <v>2202</v>
      </c>
      <c r="E963">
        <v>8463826</v>
      </c>
      <c r="F963" t="s">
        <v>2201</v>
      </c>
      <c r="G963" t="s">
        <v>15</v>
      </c>
      <c r="H963" t="s">
        <v>14</v>
      </c>
      <c r="I963" t="s">
        <v>2200</v>
      </c>
      <c r="J963">
        <v>60030718</v>
      </c>
      <c r="K963" t="s">
        <v>2161</v>
      </c>
      <c r="L963" t="s">
        <v>2160</v>
      </c>
      <c r="M963" t="s">
        <v>59</v>
      </c>
      <c r="N963">
        <v>3</v>
      </c>
      <c r="O963" t="s">
        <v>2199</v>
      </c>
      <c r="P963" t="s">
        <v>2198</v>
      </c>
      <c r="Q963" t="s">
        <v>2197</v>
      </c>
      <c r="R963" s="7">
        <v>33970</v>
      </c>
      <c r="S963" s="8">
        <f t="shared" si="120"/>
        <v>1993</v>
      </c>
      <c r="T963" s="8">
        <v>1993</v>
      </c>
      <c r="U963" s="8">
        <f t="shared" si="121"/>
        <v>29</v>
      </c>
      <c r="V963" s="7">
        <v>1993</v>
      </c>
      <c r="W963" t="s">
        <v>2196</v>
      </c>
      <c r="X963" s="2">
        <v>3.4830000000000001</v>
      </c>
      <c r="Y963" s="6">
        <f t="shared" si="126"/>
        <v>9.2976695763594144E-2</v>
      </c>
      <c r="AA963">
        <v>2706474</v>
      </c>
      <c r="AB963">
        <v>16764</v>
      </c>
      <c r="AD963" t="s">
        <v>5</v>
      </c>
      <c r="AE963">
        <v>13</v>
      </c>
      <c r="AF963">
        <v>4</v>
      </c>
      <c r="AH963" t="s">
        <v>2195</v>
      </c>
      <c r="AI963" t="s">
        <v>2194</v>
      </c>
      <c r="AJ963" t="s">
        <v>2193</v>
      </c>
      <c r="AK963" t="s">
        <v>2192</v>
      </c>
      <c r="AL963">
        <v>39</v>
      </c>
      <c r="AM963" s="5">
        <f t="shared" si="122"/>
        <v>1.3448275862068966</v>
      </c>
      <c r="AN963" s="4">
        <f t="shared" si="127"/>
        <v>2.0368460222747391E-3</v>
      </c>
      <c r="AO963" s="3"/>
      <c r="AP963">
        <v>1</v>
      </c>
      <c r="AR963" t="s">
        <v>1</v>
      </c>
      <c r="AT963" s="2">
        <v>6.1669999999999998</v>
      </c>
      <c r="AU963" s="1">
        <f t="shared" si="123"/>
        <v>6.5694740841198307</v>
      </c>
      <c r="AV963" s="1">
        <f t="shared" si="124"/>
        <v>4.7506770892934442</v>
      </c>
      <c r="AW963" s="1">
        <f t="shared" si="125"/>
        <v>2.931880094467056</v>
      </c>
    </row>
    <row r="964" spans="1:49" x14ac:dyDescent="0.2">
      <c r="A964">
        <v>962</v>
      </c>
      <c r="B964" t="s">
        <v>2191</v>
      </c>
      <c r="C964" t="s">
        <v>2190</v>
      </c>
      <c r="E964">
        <v>7683996</v>
      </c>
      <c r="F964" t="s">
        <v>2189</v>
      </c>
      <c r="G964" t="s">
        <v>15</v>
      </c>
      <c r="H964" t="s">
        <v>14</v>
      </c>
      <c r="I964" t="s">
        <v>2188</v>
      </c>
      <c r="J964">
        <v>60016095</v>
      </c>
      <c r="K964" t="s">
        <v>2187</v>
      </c>
      <c r="L964" t="s">
        <v>2186</v>
      </c>
      <c r="M964" t="s">
        <v>303</v>
      </c>
      <c r="N964">
        <v>2</v>
      </c>
      <c r="O964" t="s">
        <v>2185</v>
      </c>
      <c r="P964" t="s">
        <v>2184</v>
      </c>
      <c r="Q964" t="s">
        <v>2183</v>
      </c>
      <c r="R964" s="7">
        <v>33970</v>
      </c>
      <c r="S964" s="8">
        <f t="shared" si="120"/>
        <v>1993</v>
      </c>
      <c r="T964" s="8">
        <v>1993</v>
      </c>
      <c r="U964" s="8">
        <f t="shared" si="121"/>
        <v>29</v>
      </c>
      <c r="V964" s="7">
        <v>1993</v>
      </c>
      <c r="W964" t="s">
        <v>1189</v>
      </c>
      <c r="X964" s="2">
        <v>9.7989999999999995</v>
      </c>
      <c r="Y964" s="6">
        <f t="shared" si="126"/>
        <v>0.26157870852353116</v>
      </c>
      <c r="AA964">
        <v>3022838</v>
      </c>
      <c r="AB964">
        <v>19897</v>
      </c>
      <c r="AD964" t="s">
        <v>5</v>
      </c>
      <c r="AE964">
        <v>23</v>
      </c>
      <c r="AF964">
        <v>2</v>
      </c>
      <c r="AH964" t="s">
        <v>2182</v>
      </c>
      <c r="AI964" t="s">
        <v>2181</v>
      </c>
      <c r="AJ964" t="s">
        <v>2180</v>
      </c>
      <c r="AK964" t="s">
        <v>2179</v>
      </c>
      <c r="AL964">
        <v>16</v>
      </c>
      <c r="AM964" s="5">
        <f t="shared" si="122"/>
        <v>0.55172413793103448</v>
      </c>
      <c r="AN964" s="4">
        <f t="shared" si="127"/>
        <v>8.3562913734348278E-4</v>
      </c>
      <c r="AO964" s="3"/>
      <c r="AP964">
        <v>0</v>
      </c>
      <c r="AR964" t="s">
        <v>1</v>
      </c>
      <c r="AT964" s="2">
        <v>20.096</v>
      </c>
      <c r="AU964" s="1">
        <f t="shared" si="123"/>
        <v>18.335578470767484</v>
      </c>
      <c r="AV964" s="1">
        <f t="shared" si="124"/>
        <v>13.120716883043732</v>
      </c>
      <c r="AW964" s="1">
        <f t="shared" si="125"/>
        <v>7.9058552953199772</v>
      </c>
    </row>
    <row r="965" spans="1:49" x14ac:dyDescent="0.2">
      <c r="A965">
        <v>963</v>
      </c>
      <c r="B965" t="s">
        <v>2178</v>
      </c>
      <c r="E965">
        <v>8386486</v>
      </c>
      <c r="F965" t="s">
        <v>2177</v>
      </c>
      <c r="G965" t="s">
        <v>15</v>
      </c>
      <c r="H965" t="s">
        <v>14</v>
      </c>
      <c r="I965" t="s">
        <v>2176</v>
      </c>
      <c r="J965">
        <v>60013791</v>
      </c>
      <c r="K965" t="s">
        <v>2175</v>
      </c>
      <c r="L965" t="s">
        <v>2174</v>
      </c>
      <c r="M965" t="s">
        <v>10</v>
      </c>
      <c r="N965">
        <v>4</v>
      </c>
      <c r="O965" t="s">
        <v>2173</v>
      </c>
      <c r="P965" t="s">
        <v>2172</v>
      </c>
      <c r="Q965" t="s">
        <v>2171</v>
      </c>
      <c r="R965" s="7">
        <v>33970</v>
      </c>
      <c r="S965" s="8">
        <f t="shared" si="120"/>
        <v>1993</v>
      </c>
      <c r="T965" s="8">
        <v>1993</v>
      </c>
      <c r="U965" s="8">
        <f t="shared" si="121"/>
        <v>29</v>
      </c>
      <c r="V965" s="7">
        <v>1993</v>
      </c>
      <c r="W965" t="s">
        <v>2170</v>
      </c>
      <c r="X965" s="2">
        <v>1.266</v>
      </c>
      <c r="Y965" s="6">
        <f t="shared" si="126"/>
        <v>3.3795146952830944E-2</v>
      </c>
      <c r="AA965">
        <v>29513</v>
      </c>
      <c r="AB965">
        <v>23327</v>
      </c>
      <c r="AD965" t="s">
        <v>5</v>
      </c>
      <c r="AE965">
        <v>264</v>
      </c>
      <c r="AF965" t="s">
        <v>2169</v>
      </c>
      <c r="AI965" t="s">
        <v>2168</v>
      </c>
      <c r="AJ965" t="s">
        <v>2167</v>
      </c>
      <c r="AK965" t="s">
        <v>2166</v>
      </c>
      <c r="AL965">
        <v>7</v>
      </c>
      <c r="AM965" s="5">
        <f t="shared" si="122"/>
        <v>0.2413793103448276</v>
      </c>
      <c r="AN965" s="4">
        <f t="shared" si="127"/>
        <v>3.655877475877737E-4</v>
      </c>
      <c r="AO965" s="3"/>
      <c r="AP965">
        <v>0</v>
      </c>
      <c r="AR965" t="s">
        <v>1</v>
      </c>
      <c r="AT965" s="2" t="s">
        <v>0</v>
      </c>
      <c r="AU965" s="1">
        <f t="shared" si="123"/>
        <v>2.3766279191257991</v>
      </c>
      <c r="AV965" s="1">
        <f t="shared" si="124"/>
        <v>1.708036735020936</v>
      </c>
      <c r="AW965" s="1">
        <f t="shared" si="125"/>
        <v>1.0394455509160725</v>
      </c>
    </row>
    <row r="966" spans="1:49" x14ac:dyDescent="0.2">
      <c r="A966">
        <v>964</v>
      </c>
      <c r="B966" t="s">
        <v>2165</v>
      </c>
      <c r="C966" t="s">
        <v>2164</v>
      </c>
      <c r="E966">
        <v>8459289</v>
      </c>
      <c r="F966" t="s">
        <v>2163</v>
      </c>
      <c r="G966" t="s">
        <v>15</v>
      </c>
      <c r="H966" t="s">
        <v>14</v>
      </c>
      <c r="I966" t="s">
        <v>2162</v>
      </c>
      <c r="J966">
        <v>60030718</v>
      </c>
      <c r="K966" t="s">
        <v>2161</v>
      </c>
      <c r="L966" t="s">
        <v>2160</v>
      </c>
      <c r="M966" t="s">
        <v>59</v>
      </c>
      <c r="N966">
        <v>1</v>
      </c>
      <c r="O966" t="s">
        <v>2159</v>
      </c>
      <c r="P966">
        <v>6602294656</v>
      </c>
      <c r="Q966">
        <v>60030718</v>
      </c>
      <c r="R966" s="7">
        <v>33970</v>
      </c>
      <c r="S966" s="8">
        <f t="shared" si="120"/>
        <v>1993</v>
      </c>
      <c r="T966" s="8">
        <v>1993</v>
      </c>
      <c r="U966" s="8">
        <f t="shared" si="121"/>
        <v>29</v>
      </c>
      <c r="V966" s="7">
        <v>1993</v>
      </c>
      <c r="W966" t="s">
        <v>2158</v>
      </c>
      <c r="X966" s="2">
        <v>1.302</v>
      </c>
      <c r="Y966" s="6">
        <f t="shared" si="126"/>
        <v>3.4756146392247937E-2</v>
      </c>
      <c r="AA966">
        <v>223077</v>
      </c>
      <c r="AB966">
        <v>23475</v>
      </c>
      <c r="AD966" t="s">
        <v>5</v>
      </c>
      <c r="AE966">
        <v>69</v>
      </c>
      <c r="AF966">
        <v>2</v>
      </c>
      <c r="AH966" t="s">
        <v>2157</v>
      </c>
      <c r="AI966" t="s">
        <v>2156</v>
      </c>
      <c r="AK966" t="s">
        <v>2155</v>
      </c>
      <c r="AL966">
        <v>174</v>
      </c>
      <c r="AM966" s="5">
        <f t="shared" si="122"/>
        <v>6</v>
      </c>
      <c r="AN966" s="4">
        <f t="shared" si="127"/>
        <v>9.0874668686103752E-3</v>
      </c>
      <c r="AO966" s="3"/>
      <c r="AP966">
        <v>0</v>
      </c>
      <c r="AR966" t="s">
        <v>1</v>
      </c>
      <c r="AT966" s="2">
        <v>2.714</v>
      </c>
      <c r="AU966" s="1">
        <f t="shared" si="123"/>
        <v>2.7055542535156669</v>
      </c>
      <c r="AV966" s="1">
        <f t="shared" si="124"/>
        <v>2.1921806630429157</v>
      </c>
      <c r="AW966" s="1">
        <f t="shared" si="125"/>
        <v>1.6788070725701643</v>
      </c>
    </row>
    <row r="967" spans="1:49" x14ac:dyDescent="0.2">
      <c r="A967">
        <v>965</v>
      </c>
      <c r="B967" t="s">
        <v>2154</v>
      </c>
      <c r="C967" t="s">
        <v>2153</v>
      </c>
      <c r="E967">
        <v>8433025</v>
      </c>
      <c r="F967" t="s">
        <v>2152</v>
      </c>
      <c r="G967" t="s">
        <v>15</v>
      </c>
      <c r="H967" t="s">
        <v>14</v>
      </c>
      <c r="I967" t="s">
        <v>2151</v>
      </c>
      <c r="J967">
        <v>60008724</v>
      </c>
      <c r="K967" t="s">
        <v>2150</v>
      </c>
      <c r="L967" t="s">
        <v>2149</v>
      </c>
      <c r="M967" t="s">
        <v>10</v>
      </c>
      <c r="N967">
        <v>3</v>
      </c>
      <c r="O967" t="s">
        <v>2148</v>
      </c>
      <c r="P967" t="s">
        <v>2147</v>
      </c>
      <c r="Q967" t="s">
        <v>2146</v>
      </c>
      <c r="R967" s="7">
        <v>33970</v>
      </c>
      <c r="S967" s="8">
        <f t="shared" si="120"/>
        <v>1993</v>
      </c>
      <c r="T967" s="8">
        <v>1993</v>
      </c>
      <c r="U967" s="8">
        <f t="shared" si="121"/>
        <v>29</v>
      </c>
      <c r="V967" s="7">
        <v>1993</v>
      </c>
      <c r="W967" t="s">
        <v>701</v>
      </c>
      <c r="X967" s="2">
        <v>0.89600000000000002</v>
      </c>
      <c r="Y967" s="6">
        <f t="shared" si="126"/>
        <v>2.3918208269934065E-2</v>
      </c>
      <c r="AA967">
        <v>2656736</v>
      </c>
      <c r="AB967">
        <v>29901</v>
      </c>
      <c r="AD967" t="s">
        <v>5</v>
      </c>
      <c r="AE967">
        <v>9</v>
      </c>
      <c r="AF967">
        <v>1</v>
      </c>
      <c r="AH967" t="s">
        <v>2145</v>
      </c>
      <c r="AI967" t="s">
        <v>2144</v>
      </c>
      <c r="AJ967" t="s">
        <v>2143</v>
      </c>
      <c r="AK967" t="s">
        <v>2142</v>
      </c>
      <c r="AL967">
        <v>1</v>
      </c>
      <c r="AM967" s="5">
        <f t="shared" si="122"/>
        <v>3.4482758620689655E-2</v>
      </c>
      <c r="AN967" s="4">
        <f t="shared" si="127"/>
        <v>5.2226821083967674E-5</v>
      </c>
      <c r="AO967" s="3"/>
      <c r="AP967">
        <v>0</v>
      </c>
      <c r="AQ967" t="s">
        <v>2141</v>
      </c>
      <c r="AR967" t="s">
        <v>2140</v>
      </c>
      <c r="AS967" t="s">
        <v>2139</v>
      </c>
      <c r="AT967" s="2">
        <v>3.9140000000000001</v>
      </c>
      <c r="AU967" s="1">
        <f t="shared" si="123"/>
        <v>1.6758413835279033</v>
      </c>
      <c r="AV967" s="1">
        <f t="shared" si="124"/>
        <v>1.1985217545509015</v>
      </c>
      <c r="AW967" s="1">
        <f t="shared" si="125"/>
        <v>0.72120212557389962</v>
      </c>
    </row>
    <row r="968" spans="1:49" x14ac:dyDescent="0.2">
      <c r="A968">
        <v>966</v>
      </c>
      <c r="B968" t="s">
        <v>2138</v>
      </c>
      <c r="C968" t="s">
        <v>2137</v>
      </c>
      <c r="F968" t="s">
        <v>2136</v>
      </c>
      <c r="G968" t="s">
        <v>15</v>
      </c>
      <c r="H968" t="s">
        <v>14</v>
      </c>
      <c r="I968" t="s">
        <v>2135</v>
      </c>
      <c r="J968">
        <v>60007136</v>
      </c>
      <c r="K968" t="s">
        <v>885</v>
      </c>
      <c r="L968" t="s">
        <v>884</v>
      </c>
      <c r="M968" t="s">
        <v>303</v>
      </c>
      <c r="N968">
        <v>1</v>
      </c>
      <c r="O968" t="s">
        <v>2134</v>
      </c>
      <c r="P968">
        <v>22972174500</v>
      </c>
      <c r="Q968">
        <v>60007136</v>
      </c>
      <c r="R968" s="7">
        <v>33970</v>
      </c>
      <c r="S968" s="8">
        <f t="shared" si="120"/>
        <v>1993</v>
      </c>
      <c r="T968" s="8">
        <v>1993</v>
      </c>
      <c r="U968" s="8">
        <f t="shared" si="121"/>
        <v>29</v>
      </c>
      <c r="V968" s="7">
        <v>34060</v>
      </c>
      <c r="W968" t="s">
        <v>519</v>
      </c>
      <c r="X968" s="2">
        <v>0.61899999999999999</v>
      </c>
      <c r="Y968" s="6">
        <f t="shared" si="126"/>
        <v>1.6523851472197752E-2</v>
      </c>
      <c r="AA968">
        <v>14966</v>
      </c>
      <c r="AB968">
        <v>12936</v>
      </c>
      <c r="AC968" t="s">
        <v>518</v>
      </c>
      <c r="AD968" t="s">
        <v>5</v>
      </c>
      <c r="AE968">
        <v>93</v>
      </c>
      <c r="AF968">
        <v>4</v>
      </c>
      <c r="AH968" t="s">
        <v>2133</v>
      </c>
      <c r="AI968" t="s">
        <v>2132</v>
      </c>
      <c r="AK968" t="s">
        <v>2131</v>
      </c>
      <c r="AL968">
        <v>24</v>
      </c>
      <c r="AM968" s="5">
        <f t="shared" si="122"/>
        <v>0.82758620689655171</v>
      </c>
      <c r="AN968" s="4">
        <f t="shared" si="127"/>
        <v>1.2534437060152241E-3</v>
      </c>
      <c r="AO968" s="3"/>
      <c r="AP968">
        <v>0</v>
      </c>
      <c r="AR968" t="s">
        <v>1</v>
      </c>
      <c r="AT968" s="2" t="s">
        <v>0</v>
      </c>
      <c r="AU968" s="1">
        <f t="shared" si="123"/>
        <v>1.1942729142342992</v>
      </c>
      <c r="AV968" s="1">
        <f t="shared" si="124"/>
        <v>0.88886475891064887</v>
      </c>
      <c r="AW968" s="1">
        <f t="shared" si="125"/>
        <v>0.58345660358699825</v>
      </c>
    </row>
    <row r="969" spans="1:49" x14ac:dyDescent="0.2">
      <c r="A969">
        <v>967</v>
      </c>
      <c r="B969" t="s">
        <v>2130</v>
      </c>
      <c r="E969">
        <v>8095914</v>
      </c>
      <c r="F969" t="s">
        <v>2129</v>
      </c>
      <c r="G969" t="s">
        <v>15</v>
      </c>
      <c r="H969" t="s">
        <v>14</v>
      </c>
      <c r="I969" t="s">
        <v>2128</v>
      </c>
      <c r="J969">
        <v>60022144</v>
      </c>
      <c r="K969" t="s">
        <v>2127</v>
      </c>
      <c r="L969" t="s">
        <v>2126</v>
      </c>
      <c r="M969" t="s">
        <v>10</v>
      </c>
      <c r="N969">
        <v>4</v>
      </c>
      <c r="O969" t="s">
        <v>2125</v>
      </c>
      <c r="P969" t="s">
        <v>2124</v>
      </c>
      <c r="Q969" t="s">
        <v>2123</v>
      </c>
      <c r="R969" s="7">
        <v>33970</v>
      </c>
      <c r="S969" s="8">
        <f t="shared" si="120"/>
        <v>1993</v>
      </c>
      <c r="T969" s="8">
        <v>1993</v>
      </c>
      <c r="U969" s="8">
        <f t="shared" si="121"/>
        <v>29</v>
      </c>
      <c r="V969" s="7">
        <v>1993</v>
      </c>
      <c r="W969" t="s">
        <v>1813</v>
      </c>
      <c r="X969" s="2">
        <v>2.7919999999999998</v>
      </c>
      <c r="Y969" s="6">
        <f t="shared" si="126"/>
        <v>7.4530845412562399E-2</v>
      </c>
      <c r="AA969">
        <v>166731</v>
      </c>
      <c r="AB969">
        <v>22173</v>
      </c>
      <c r="AD969" t="s">
        <v>5</v>
      </c>
      <c r="AE969">
        <v>133</v>
      </c>
      <c r="AF969">
        <v>3</v>
      </c>
      <c r="AH969" t="s">
        <v>2122</v>
      </c>
      <c r="AI969" t="s">
        <v>2121</v>
      </c>
      <c r="AK969" t="s">
        <v>2120</v>
      </c>
      <c r="AL969">
        <v>9</v>
      </c>
      <c r="AM969" s="5">
        <f t="shared" si="122"/>
        <v>0.31034482758620691</v>
      </c>
      <c r="AN969" s="4">
        <f t="shared" si="127"/>
        <v>4.7004138975570908E-4</v>
      </c>
      <c r="AO969" s="3"/>
      <c r="AP969">
        <v>0</v>
      </c>
      <c r="AR969" t="s">
        <v>1</v>
      </c>
      <c r="AT969" s="2">
        <v>4.5620000000000003</v>
      </c>
      <c r="AU969" s="1">
        <f t="shared" si="123"/>
        <v>5.2312604205720392</v>
      </c>
      <c r="AV969" s="1">
        <f t="shared" si="124"/>
        <v>3.7500443401159052</v>
      </c>
      <c r="AW969" s="1">
        <f t="shared" si="125"/>
        <v>2.2688282596597715</v>
      </c>
    </row>
    <row r="970" spans="1:49" x14ac:dyDescent="0.2">
      <c r="A970">
        <v>968</v>
      </c>
      <c r="B970" t="s">
        <v>2119</v>
      </c>
      <c r="C970" t="s">
        <v>2118</v>
      </c>
      <c r="D970" t="s">
        <v>2117</v>
      </c>
      <c r="F970" t="s">
        <v>2116</v>
      </c>
      <c r="G970" t="s">
        <v>15</v>
      </c>
      <c r="H970" t="s">
        <v>14</v>
      </c>
      <c r="I970" t="s">
        <v>2115</v>
      </c>
      <c r="J970" t="s">
        <v>2114</v>
      </c>
      <c r="K970" t="s">
        <v>2113</v>
      </c>
      <c r="L970" t="s">
        <v>2112</v>
      </c>
      <c r="M970" t="s">
        <v>2111</v>
      </c>
      <c r="N970">
        <v>7</v>
      </c>
      <c r="O970" t="s">
        <v>2110</v>
      </c>
      <c r="P970" t="s">
        <v>2109</v>
      </c>
      <c r="Q970" t="s">
        <v>2108</v>
      </c>
      <c r="R970" s="7">
        <v>33970</v>
      </c>
      <c r="S970" s="8">
        <f t="shared" si="120"/>
        <v>1993</v>
      </c>
      <c r="T970" s="8">
        <v>1993</v>
      </c>
      <c r="U970" s="8">
        <f t="shared" si="121"/>
        <v>29</v>
      </c>
      <c r="V970" s="7">
        <v>34029</v>
      </c>
      <c r="W970" t="s">
        <v>1841</v>
      </c>
      <c r="X970" s="2">
        <v>0.51500000000000001</v>
      </c>
      <c r="Y970" s="6">
        <f t="shared" si="126"/>
        <v>1.374763086943755E-2</v>
      </c>
      <c r="AA970">
        <v>219169</v>
      </c>
      <c r="AB970">
        <v>30966</v>
      </c>
      <c r="AD970" t="s">
        <v>5</v>
      </c>
      <c r="AE970">
        <v>55</v>
      </c>
      <c r="AF970">
        <v>3</v>
      </c>
      <c r="AH970" t="s">
        <v>2107</v>
      </c>
      <c r="AI970" t="s">
        <v>2106</v>
      </c>
      <c r="AK970" t="s">
        <v>2105</v>
      </c>
      <c r="AL970">
        <v>61</v>
      </c>
      <c r="AM970" s="5">
        <f t="shared" si="122"/>
        <v>2.103448275862069</v>
      </c>
      <c r="AN970" s="4">
        <f t="shared" si="127"/>
        <v>3.185836086122028E-3</v>
      </c>
      <c r="AO970" s="3"/>
      <c r="AP970">
        <v>0</v>
      </c>
      <c r="AQ970" t="s">
        <v>544</v>
      </c>
      <c r="AR970" t="s">
        <v>1</v>
      </c>
      <c r="AS970" t="s">
        <v>542</v>
      </c>
      <c r="AT970" s="2" t="s">
        <v>0</v>
      </c>
      <c r="AU970" s="1">
        <f t="shared" si="123"/>
        <v>1.0579092434442894</v>
      </c>
      <c r="AV970" s="1">
        <f t="shared" si="124"/>
        <v>0.84667334777797887</v>
      </c>
      <c r="AW970" s="1">
        <f t="shared" si="125"/>
        <v>0.63543745211166835</v>
      </c>
    </row>
    <row r="971" spans="1:49" x14ac:dyDescent="0.2">
      <c r="A971">
        <v>969</v>
      </c>
      <c r="B971" t="s">
        <v>2104</v>
      </c>
      <c r="C971" t="s">
        <v>2103</v>
      </c>
      <c r="F971" t="s">
        <v>2102</v>
      </c>
      <c r="G971" t="s">
        <v>15</v>
      </c>
      <c r="H971" t="s">
        <v>14</v>
      </c>
      <c r="I971" t="s">
        <v>2101</v>
      </c>
      <c r="J971">
        <v>60026708</v>
      </c>
      <c r="K971" t="s">
        <v>2100</v>
      </c>
      <c r="L971" t="s">
        <v>2099</v>
      </c>
      <c r="M971" t="s">
        <v>818</v>
      </c>
      <c r="N971">
        <v>1</v>
      </c>
      <c r="O971" t="s">
        <v>2098</v>
      </c>
      <c r="P971">
        <v>7003446625</v>
      </c>
      <c r="Q971">
        <v>60026708</v>
      </c>
      <c r="R971" s="7">
        <v>33970</v>
      </c>
      <c r="S971" s="8">
        <f t="shared" si="120"/>
        <v>1993</v>
      </c>
      <c r="T971" s="8">
        <v>1993</v>
      </c>
      <c r="U971" s="8">
        <f t="shared" si="121"/>
        <v>29</v>
      </c>
      <c r="V971" s="7">
        <v>33970</v>
      </c>
      <c r="W971" t="s">
        <v>519</v>
      </c>
      <c r="X971" s="2">
        <v>0.61899999999999999</v>
      </c>
      <c r="Y971" s="6">
        <f t="shared" si="126"/>
        <v>1.6523851472197752E-2</v>
      </c>
      <c r="AA971">
        <v>14966</v>
      </c>
      <c r="AB971">
        <v>12936</v>
      </c>
      <c r="AC971" t="s">
        <v>518</v>
      </c>
      <c r="AD971" t="s">
        <v>5</v>
      </c>
      <c r="AE971">
        <v>93</v>
      </c>
      <c r="AF971">
        <v>1</v>
      </c>
      <c r="AH971" t="s">
        <v>2097</v>
      </c>
      <c r="AI971" t="s">
        <v>2096</v>
      </c>
      <c r="AK971" t="s">
        <v>2095</v>
      </c>
      <c r="AL971">
        <v>0</v>
      </c>
      <c r="AM971" s="5">
        <f t="shared" si="122"/>
        <v>0</v>
      </c>
      <c r="AN971" s="4">
        <f t="shared" si="127"/>
        <v>0</v>
      </c>
      <c r="AO971" s="3"/>
      <c r="AP971">
        <v>0</v>
      </c>
      <c r="AR971" t="s">
        <v>1</v>
      </c>
      <c r="AT971" s="2" t="s">
        <v>0</v>
      </c>
      <c r="AU971" s="1">
        <f t="shared" si="123"/>
        <v>1.1566696030538426</v>
      </c>
      <c r="AV971" s="1">
        <f t="shared" si="124"/>
        <v>0.82619257360988763</v>
      </c>
      <c r="AW971" s="1">
        <f t="shared" si="125"/>
        <v>0.49571554416593261</v>
      </c>
    </row>
    <row r="972" spans="1:49" x14ac:dyDescent="0.2">
      <c r="A972">
        <v>970</v>
      </c>
      <c r="B972" t="s">
        <v>2094</v>
      </c>
      <c r="C972" t="s">
        <v>2093</v>
      </c>
      <c r="E972">
        <v>8245227</v>
      </c>
      <c r="F972" t="s">
        <v>2092</v>
      </c>
      <c r="G972" t="s">
        <v>15</v>
      </c>
      <c r="H972" t="s">
        <v>14</v>
      </c>
      <c r="I972" t="s">
        <v>2091</v>
      </c>
      <c r="J972" t="s">
        <v>2090</v>
      </c>
      <c r="K972" t="s">
        <v>2089</v>
      </c>
      <c r="L972" t="s">
        <v>2088</v>
      </c>
      <c r="M972" t="s">
        <v>1490</v>
      </c>
      <c r="N972">
        <v>2</v>
      </c>
      <c r="O972" t="s">
        <v>2087</v>
      </c>
      <c r="P972" t="s">
        <v>2086</v>
      </c>
      <c r="Q972" t="s">
        <v>2085</v>
      </c>
      <c r="R972" s="7">
        <v>33970</v>
      </c>
      <c r="S972" s="8">
        <f t="shared" si="120"/>
        <v>1993</v>
      </c>
      <c r="T972" s="8">
        <v>1993</v>
      </c>
      <c r="U972" s="8">
        <f t="shared" si="121"/>
        <v>29</v>
      </c>
      <c r="V972" s="7">
        <v>34264</v>
      </c>
      <c r="W972" t="s">
        <v>1030</v>
      </c>
      <c r="X972" s="2">
        <v>1.855</v>
      </c>
      <c r="Y972" s="6">
        <f t="shared" si="126"/>
        <v>4.9518165558847867E-2</v>
      </c>
      <c r="AA972">
        <v>219967</v>
      </c>
      <c r="AB972">
        <v>16689</v>
      </c>
      <c r="AC972">
        <v>10969861</v>
      </c>
      <c r="AD972" t="s">
        <v>5</v>
      </c>
      <c r="AE972">
        <v>336</v>
      </c>
      <c r="AF972">
        <v>4</v>
      </c>
      <c r="AH972" t="s">
        <v>2084</v>
      </c>
      <c r="AI972" t="s">
        <v>2083</v>
      </c>
      <c r="AJ972" t="s">
        <v>2082</v>
      </c>
      <c r="AK972" t="s">
        <v>2081</v>
      </c>
      <c r="AL972">
        <v>29</v>
      </c>
      <c r="AM972" s="5">
        <f t="shared" si="122"/>
        <v>1</v>
      </c>
      <c r="AN972" s="4">
        <f t="shared" si="127"/>
        <v>1.5145778114350624E-3</v>
      </c>
      <c r="AO972" s="3"/>
      <c r="AP972">
        <v>0</v>
      </c>
      <c r="AR972" t="s">
        <v>1</v>
      </c>
      <c r="AT972" s="2">
        <v>3.2149999999999999</v>
      </c>
      <c r="AU972" s="1">
        <f t="shared" si="123"/>
        <v>3.5117089234624026</v>
      </c>
      <c r="AV972" s="1">
        <f t="shared" si="124"/>
        <v>2.5516371685141466</v>
      </c>
      <c r="AW972" s="1">
        <f t="shared" si="125"/>
        <v>1.5915654135658901</v>
      </c>
    </row>
    <row r="973" spans="1:49" x14ac:dyDescent="0.2">
      <c r="A973">
        <v>971</v>
      </c>
      <c r="B973" t="s">
        <v>2080</v>
      </c>
      <c r="C973" t="s">
        <v>2079</v>
      </c>
      <c r="E973">
        <v>8300899</v>
      </c>
      <c r="F973" t="s">
        <v>2078</v>
      </c>
      <c r="G973" t="s">
        <v>15</v>
      </c>
      <c r="H973" t="s">
        <v>14</v>
      </c>
      <c r="I973" t="s">
        <v>2077</v>
      </c>
      <c r="J973">
        <v>60010065</v>
      </c>
      <c r="K973" t="s">
        <v>1429</v>
      </c>
      <c r="L973" t="s">
        <v>1428</v>
      </c>
      <c r="M973" t="s">
        <v>10</v>
      </c>
      <c r="N973">
        <v>3</v>
      </c>
      <c r="O973" t="s">
        <v>2076</v>
      </c>
      <c r="P973" t="s">
        <v>2075</v>
      </c>
      <c r="Q973" t="s">
        <v>2074</v>
      </c>
      <c r="R973" s="7">
        <v>33970</v>
      </c>
      <c r="S973" s="8">
        <f t="shared" si="120"/>
        <v>1993</v>
      </c>
      <c r="T973" s="8">
        <v>1993</v>
      </c>
      <c r="U973" s="8">
        <f t="shared" si="121"/>
        <v>29</v>
      </c>
      <c r="V973" s="7">
        <v>34304</v>
      </c>
      <c r="W973" t="s">
        <v>1030</v>
      </c>
      <c r="X973" s="2">
        <v>1.855</v>
      </c>
      <c r="Y973" s="6">
        <f t="shared" si="126"/>
        <v>4.9518165558847867E-2</v>
      </c>
      <c r="AA973">
        <v>219967</v>
      </c>
      <c r="AB973">
        <v>16689</v>
      </c>
      <c r="AC973">
        <v>10969861</v>
      </c>
      <c r="AD973" t="s">
        <v>5</v>
      </c>
      <c r="AE973">
        <v>338</v>
      </c>
      <c r="AF973">
        <v>1</v>
      </c>
      <c r="AH973" s="10">
        <v>42491</v>
      </c>
      <c r="AI973" t="s">
        <v>2073</v>
      </c>
      <c r="AJ973" t="s">
        <v>2072</v>
      </c>
      <c r="AK973" t="s">
        <v>2071</v>
      </c>
      <c r="AL973">
        <v>91</v>
      </c>
      <c r="AM973" s="5">
        <f t="shared" si="122"/>
        <v>3.1379310344827585</v>
      </c>
      <c r="AN973" s="4">
        <f t="shared" si="127"/>
        <v>4.7526407186410579E-3</v>
      </c>
      <c r="AO973" s="3"/>
      <c r="AP973">
        <v>0</v>
      </c>
      <c r="AQ973" t="s">
        <v>2070</v>
      </c>
      <c r="AR973" t="s">
        <v>2069</v>
      </c>
      <c r="AS973" t="s">
        <v>2068</v>
      </c>
      <c r="AT973" s="2">
        <v>3.2149999999999999</v>
      </c>
      <c r="AU973" s="1">
        <f t="shared" si="123"/>
        <v>3.6088508106785824</v>
      </c>
      <c r="AV973" s="1">
        <f t="shared" si="124"/>
        <v>2.7135403138744465</v>
      </c>
      <c r="AW973" s="1">
        <f t="shared" si="125"/>
        <v>1.81822981707031</v>
      </c>
    </row>
    <row r="974" spans="1:49" x14ac:dyDescent="0.2">
      <c r="A974">
        <v>972</v>
      </c>
      <c r="B974" t="s">
        <v>2067</v>
      </c>
      <c r="C974" t="s">
        <v>2066</v>
      </c>
      <c r="E974">
        <v>7693467</v>
      </c>
      <c r="F974" t="s">
        <v>2065</v>
      </c>
      <c r="G974" t="s">
        <v>15</v>
      </c>
      <c r="H974" t="s">
        <v>14</v>
      </c>
      <c r="I974" t="s">
        <v>2064</v>
      </c>
      <c r="J974" t="s">
        <v>2063</v>
      </c>
      <c r="K974" t="s">
        <v>2062</v>
      </c>
      <c r="L974" t="s">
        <v>2061</v>
      </c>
      <c r="M974" t="s">
        <v>751</v>
      </c>
      <c r="N974">
        <v>5</v>
      </c>
      <c r="O974" t="s">
        <v>2060</v>
      </c>
      <c r="P974" t="s">
        <v>2059</v>
      </c>
      <c r="Q974" t="s">
        <v>2058</v>
      </c>
      <c r="R974" s="7">
        <v>33970</v>
      </c>
      <c r="S974" s="8">
        <f t="shared" si="120"/>
        <v>1993</v>
      </c>
      <c r="T974" s="8">
        <v>1993</v>
      </c>
      <c r="U974" s="8">
        <f t="shared" si="121"/>
        <v>29</v>
      </c>
      <c r="V974" s="7">
        <v>34274</v>
      </c>
      <c r="W974" t="s">
        <v>2057</v>
      </c>
      <c r="X974" s="2">
        <v>1.9810000000000001</v>
      </c>
      <c r="Y974" s="6">
        <f t="shared" si="126"/>
        <v>5.2881663596807349E-2</v>
      </c>
      <c r="AA974">
        <v>142956</v>
      </c>
      <c r="AB974">
        <v>39034</v>
      </c>
      <c r="AC974">
        <v>14321033</v>
      </c>
      <c r="AD974" t="s">
        <v>5</v>
      </c>
      <c r="AE974">
        <v>217</v>
      </c>
      <c r="AF974">
        <v>3</v>
      </c>
      <c r="AH974" t="s">
        <v>2056</v>
      </c>
      <c r="AI974" t="s">
        <v>2055</v>
      </c>
      <c r="AK974" t="s">
        <v>2054</v>
      </c>
      <c r="AL974">
        <v>44</v>
      </c>
      <c r="AM974" s="5">
        <f t="shared" si="122"/>
        <v>1.5172413793103448</v>
      </c>
      <c r="AN974" s="4">
        <f t="shared" si="127"/>
        <v>2.2979801276945774E-3</v>
      </c>
      <c r="AO974" s="3"/>
      <c r="AP974">
        <v>0</v>
      </c>
      <c r="AR974" t="s">
        <v>1</v>
      </c>
      <c r="AT974" s="2" t="s">
        <v>0</v>
      </c>
      <c r="AU974" s="1">
        <f t="shared" si="123"/>
        <v>3.7706558556073513</v>
      </c>
      <c r="AV974" s="1">
        <f t="shared" si="124"/>
        <v>2.7589821862250963</v>
      </c>
      <c r="AW974" s="1">
        <f t="shared" si="125"/>
        <v>1.7473085168428408</v>
      </c>
    </row>
    <row r="975" spans="1:49" x14ac:dyDescent="0.2">
      <c r="A975">
        <v>973</v>
      </c>
      <c r="B975" t="s">
        <v>2053</v>
      </c>
      <c r="C975" t="s">
        <v>2052</v>
      </c>
      <c r="E975">
        <v>7681205</v>
      </c>
      <c r="F975" t="s">
        <v>2051</v>
      </c>
      <c r="G975" t="s">
        <v>15</v>
      </c>
      <c r="H975" t="s">
        <v>14</v>
      </c>
      <c r="I975" t="s">
        <v>2050</v>
      </c>
      <c r="J975" t="s">
        <v>2049</v>
      </c>
      <c r="K975" t="s">
        <v>2048</v>
      </c>
      <c r="L975" t="s">
        <v>2047</v>
      </c>
      <c r="M975" t="s">
        <v>219</v>
      </c>
      <c r="N975">
        <v>7</v>
      </c>
      <c r="O975" t="s">
        <v>2046</v>
      </c>
      <c r="P975" t="s">
        <v>2045</v>
      </c>
      <c r="Q975" t="s">
        <v>2044</v>
      </c>
      <c r="R975" s="7">
        <v>33970</v>
      </c>
      <c r="S975" s="8">
        <f t="shared" si="120"/>
        <v>1993</v>
      </c>
      <c r="T975" s="8">
        <v>1993</v>
      </c>
      <c r="U975" s="8">
        <f t="shared" si="121"/>
        <v>29</v>
      </c>
      <c r="V975" s="7">
        <v>1993</v>
      </c>
      <c r="W975" t="s">
        <v>2043</v>
      </c>
      <c r="X975" s="2">
        <v>0.54900000000000004</v>
      </c>
      <c r="Y975" s="6">
        <f t="shared" si="126"/>
        <v>1.4655241451109155E-2</v>
      </c>
      <c r="AA975">
        <v>2704137</v>
      </c>
      <c r="AB975">
        <v>20474</v>
      </c>
      <c r="AC975">
        <v>10970045</v>
      </c>
      <c r="AD975" t="s">
        <v>5</v>
      </c>
      <c r="AE975">
        <v>22</v>
      </c>
      <c r="AF975">
        <v>2</v>
      </c>
      <c r="AH975" t="s">
        <v>2042</v>
      </c>
      <c r="AI975" t="s">
        <v>2041</v>
      </c>
      <c r="AJ975" t="s">
        <v>2040</v>
      </c>
      <c r="AK975" t="s">
        <v>2039</v>
      </c>
      <c r="AL975">
        <v>10</v>
      </c>
      <c r="AM975" s="5">
        <f t="shared" si="122"/>
        <v>0.34482758620689657</v>
      </c>
      <c r="AN975" s="4">
        <f t="shared" si="127"/>
        <v>5.2226821083967677E-4</v>
      </c>
      <c r="AO975" s="3"/>
      <c r="AP975">
        <v>0</v>
      </c>
      <c r="AQ975" t="s">
        <v>949</v>
      </c>
      <c r="AR975" t="s">
        <v>2038</v>
      </c>
      <c r="AS975" t="s">
        <v>947</v>
      </c>
      <c r="AT975" s="2" t="s">
        <v>0</v>
      </c>
      <c r="AU975" s="1">
        <f t="shared" si="123"/>
        <v>1.0415349479028311</v>
      </c>
      <c r="AV975" s="1">
        <f t="shared" si="124"/>
        <v>0.75887548309744157</v>
      </c>
      <c r="AW975" s="1">
        <f t="shared" si="125"/>
        <v>0.47621601829205196</v>
      </c>
    </row>
    <row r="976" spans="1:49" x14ac:dyDescent="0.2">
      <c r="A976">
        <v>974</v>
      </c>
      <c r="B976" t="s">
        <v>2037</v>
      </c>
      <c r="C976" t="s">
        <v>2036</v>
      </c>
      <c r="E976">
        <v>8326299</v>
      </c>
      <c r="F976" t="s">
        <v>2035</v>
      </c>
      <c r="G976" t="s">
        <v>15</v>
      </c>
      <c r="H976" t="s">
        <v>14</v>
      </c>
      <c r="I976" t="s">
        <v>2034</v>
      </c>
      <c r="J976" t="s">
        <v>2033</v>
      </c>
      <c r="K976" t="s">
        <v>2032</v>
      </c>
      <c r="L976" t="s">
        <v>2031</v>
      </c>
      <c r="M976" t="s">
        <v>2030</v>
      </c>
      <c r="N976">
        <v>4</v>
      </c>
      <c r="O976" t="s">
        <v>2029</v>
      </c>
      <c r="P976" t="s">
        <v>2028</v>
      </c>
      <c r="Q976" t="s">
        <v>2027</v>
      </c>
      <c r="R976" s="7">
        <v>33970</v>
      </c>
      <c r="S976" s="8">
        <f t="shared" si="120"/>
        <v>1993</v>
      </c>
      <c r="T976" s="8">
        <v>1993</v>
      </c>
      <c r="U976" s="8">
        <f t="shared" si="121"/>
        <v>29</v>
      </c>
      <c r="V976" s="7">
        <v>34090</v>
      </c>
      <c r="W976" t="s">
        <v>1621</v>
      </c>
      <c r="X976" s="2" t="s">
        <v>0</v>
      </c>
      <c r="Y976" s="6" t="e">
        <f t="shared" si="126"/>
        <v>#VALUE!</v>
      </c>
      <c r="AA976">
        <v>223034</v>
      </c>
      <c r="AB976">
        <v>23463</v>
      </c>
      <c r="AC976">
        <v>10974695</v>
      </c>
      <c r="AD976" t="s">
        <v>5</v>
      </c>
      <c r="AE976">
        <v>24</v>
      </c>
      <c r="AF976">
        <v>5</v>
      </c>
      <c r="AH976" t="s">
        <v>2026</v>
      </c>
      <c r="AI976" t="s">
        <v>2025</v>
      </c>
      <c r="AJ976" t="s">
        <v>2024</v>
      </c>
      <c r="AK976" t="s">
        <v>2023</v>
      </c>
      <c r="AL976">
        <v>31</v>
      </c>
      <c r="AM976" s="5">
        <f t="shared" si="122"/>
        <v>1.0689655172413792</v>
      </c>
      <c r="AN976" s="4">
        <f t="shared" si="127"/>
        <v>1.6190314536029978E-3</v>
      </c>
      <c r="AO976" s="3"/>
      <c r="AP976">
        <v>0</v>
      </c>
      <c r="AQ976" t="s">
        <v>2022</v>
      </c>
      <c r="AR976" t="s">
        <v>2021</v>
      </c>
      <c r="AS976" t="s">
        <v>2020</v>
      </c>
      <c r="AT976" s="2" t="s">
        <v>0</v>
      </c>
      <c r="AU976" s="1" t="e">
        <f t="shared" si="123"/>
        <v>#VALUE!</v>
      </c>
      <c r="AV976" s="1" t="e">
        <f t="shared" si="124"/>
        <v>#VALUE!</v>
      </c>
      <c r="AW976" s="1" t="e">
        <f t="shared" si="125"/>
        <v>#VALUE!</v>
      </c>
    </row>
    <row r="977" spans="1:49" x14ac:dyDescent="0.2">
      <c r="A977">
        <v>975</v>
      </c>
      <c r="B977" t="s">
        <v>2019</v>
      </c>
      <c r="C977" t="s">
        <v>2018</v>
      </c>
      <c r="E977">
        <v>7683992</v>
      </c>
      <c r="F977" t="s">
        <v>2017</v>
      </c>
      <c r="G977" t="s">
        <v>15</v>
      </c>
      <c r="H977" t="s">
        <v>14</v>
      </c>
      <c r="I977" t="s">
        <v>1121</v>
      </c>
      <c r="J977">
        <v>60022851</v>
      </c>
      <c r="K977" t="s">
        <v>1120</v>
      </c>
      <c r="L977" t="s">
        <v>1119</v>
      </c>
      <c r="M977" t="s">
        <v>1118</v>
      </c>
      <c r="N977">
        <v>4</v>
      </c>
      <c r="O977" t="s">
        <v>2016</v>
      </c>
      <c r="P977" t="s">
        <v>2015</v>
      </c>
      <c r="Q977" t="s">
        <v>2014</v>
      </c>
      <c r="R977" s="7">
        <v>33970</v>
      </c>
      <c r="S977" s="8">
        <f t="shared" si="120"/>
        <v>1993</v>
      </c>
      <c r="T977" s="8">
        <v>1993</v>
      </c>
      <c r="U977" s="8">
        <f t="shared" si="121"/>
        <v>29</v>
      </c>
      <c r="V977" s="7">
        <v>1993</v>
      </c>
      <c r="W977" t="s">
        <v>1189</v>
      </c>
      <c r="X977" s="2">
        <v>9.7989999999999995</v>
      </c>
      <c r="Y977" s="6">
        <f t="shared" si="126"/>
        <v>0.26157870852353116</v>
      </c>
      <c r="AA977">
        <v>3022838</v>
      </c>
      <c r="AB977">
        <v>19897</v>
      </c>
      <c r="AD977" t="s">
        <v>5</v>
      </c>
      <c r="AE977">
        <v>23</v>
      </c>
      <c r="AF977">
        <v>2</v>
      </c>
      <c r="AH977" t="s">
        <v>2013</v>
      </c>
      <c r="AI977" t="s">
        <v>2012</v>
      </c>
      <c r="AJ977" t="s">
        <v>2011</v>
      </c>
      <c r="AK977" t="s">
        <v>2010</v>
      </c>
      <c r="AL977">
        <v>5</v>
      </c>
      <c r="AM977" s="5">
        <f t="shared" si="122"/>
        <v>0.17241379310344829</v>
      </c>
      <c r="AN977" s="4">
        <f t="shared" si="127"/>
        <v>2.6113410541983838E-4</v>
      </c>
      <c r="AO977" s="3"/>
      <c r="AP977">
        <v>0</v>
      </c>
      <c r="AR977" t="s">
        <v>1</v>
      </c>
      <c r="AT977" s="2">
        <v>20.096</v>
      </c>
      <c r="AU977" s="1">
        <f t="shared" si="123"/>
        <v>18.318343619809774</v>
      </c>
      <c r="AV977" s="1">
        <f t="shared" si="124"/>
        <v>13.091992131447549</v>
      </c>
      <c r="AW977" s="1">
        <f t="shared" si="125"/>
        <v>7.8656406430853227</v>
      </c>
    </row>
    <row r="978" spans="1:49" x14ac:dyDescent="0.2">
      <c r="A978">
        <v>976</v>
      </c>
      <c r="B978" t="s">
        <v>2009</v>
      </c>
      <c r="C978" t="s">
        <v>2008</v>
      </c>
      <c r="D978" t="s">
        <v>2007</v>
      </c>
      <c r="E978">
        <v>8452755</v>
      </c>
      <c r="F978" t="s">
        <v>2006</v>
      </c>
      <c r="G978" t="s">
        <v>15</v>
      </c>
      <c r="H978" t="s">
        <v>14</v>
      </c>
      <c r="I978" t="s">
        <v>2005</v>
      </c>
      <c r="J978">
        <v>60018373</v>
      </c>
      <c r="K978" t="s">
        <v>2004</v>
      </c>
      <c r="L978" t="s">
        <v>2003</v>
      </c>
      <c r="M978" t="s">
        <v>59</v>
      </c>
      <c r="N978">
        <v>4</v>
      </c>
      <c r="O978" t="s">
        <v>2002</v>
      </c>
      <c r="P978" t="s">
        <v>2001</v>
      </c>
      <c r="Q978" t="s">
        <v>2000</v>
      </c>
      <c r="R978" s="7">
        <v>33970</v>
      </c>
      <c r="S978" s="8">
        <f t="shared" si="120"/>
        <v>1993</v>
      </c>
      <c r="T978" s="8">
        <v>1993</v>
      </c>
      <c r="U978" s="8">
        <f t="shared" si="121"/>
        <v>29</v>
      </c>
      <c r="V978" s="7">
        <v>33970</v>
      </c>
      <c r="W978" t="s">
        <v>1999</v>
      </c>
      <c r="X978" s="2">
        <v>1.4350000000000001</v>
      </c>
      <c r="Y978" s="6">
        <f t="shared" si="126"/>
        <v>3.8306505432316278E-2</v>
      </c>
      <c r="AA978">
        <v>8986568</v>
      </c>
      <c r="AB978">
        <v>18487</v>
      </c>
      <c r="AD978" t="s">
        <v>5</v>
      </c>
      <c r="AE978">
        <v>5</v>
      </c>
      <c r="AF978">
        <v>1</v>
      </c>
      <c r="AH978" t="s">
        <v>1998</v>
      </c>
      <c r="AI978" t="s">
        <v>1997</v>
      </c>
      <c r="AJ978" t="s">
        <v>1996</v>
      </c>
      <c r="AK978" t="s">
        <v>1995</v>
      </c>
      <c r="AL978">
        <v>24</v>
      </c>
      <c r="AM978" s="5">
        <f t="shared" si="122"/>
        <v>0.82758620689655171</v>
      </c>
      <c r="AN978" s="4">
        <f t="shared" si="127"/>
        <v>1.2534437060152241E-3</v>
      </c>
      <c r="AO978" s="3"/>
      <c r="AP978">
        <v>0</v>
      </c>
      <c r="AQ978" t="s">
        <v>172</v>
      </c>
      <c r="AR978" t="s">
        <v>171</v>
      </c>
      <c r="AS978" t="s">
        <v>170</v>
      </c>
      <c r="AT978" s="2">
        <v>4.3150000000000004</v>
      </c>
      <c r="AU978" s="1">
        <f t="shared" si="123"/>
        <v>2.719058691442596</v>
      </c>
      <c r="AV978" s="1">
        <f t="shared" si="124"/>
        <v>1.9779974569165752</v>
      </c>
      <c r="AW978" s="1">
        <f t="shared" si="125"/>
        <v>1.236936222390554</v>
      </c>
    </row>
    <row r="979" spans="1:49" x14ac:dyDescent="0.2">
      <c r="A979">
        <v>977</v>
      </c>
      <c r="B979" t="s">
        <v>1994</v>
      </c>
      <c r="C979" t="s">
        <v>1993</v>
      </c>
      <c r="F979" t="s">
        <v>1992</v>
      </c>
      <c r="G979" t="s">
        <v>15</v>
      </c>
      <c r="H979" t="s">
        <v>14</v>
      </c>
      <c r="I979" t="s">
        <v>1991</v>
      </c>
      <c r="J979">
        <v>60032144</v>
      </c>
      <c r="K979" t="s">
        <v>1990</v>
      </c>
      <c r="L979" t="s">
        <v>1989</v>
      </c>
      <c r="M979" t="s">
        <v>1988</v>
      </c>
      <c r="N979">
        <v>2</v>
      </c>
      <c r="O979" t="s">
        <v>1987</v>
      </c>
      <c r="P979" t="s">
        <v>1986</v>
      </c>
      <c r="Q979" t="s">
        <v>1985</v>
      </c>
      <c r="R979" s="7">
        <v>33970</v>
      </c>
      <c r="S979" s="8">
        <f t="shared" si="120"/>
        <v>1993</v>
      </c>
      <c r="T979" s="8">
        <v>1993</v>
      </c>
      <c r="U979" s="8">
        <f t="shared" si="121"/>
        <v>29</v>
      </c>
      <c r="V979" s="7">
        <v>34001</v>
      </c>
      <c r="W979" t="s">
        <v>519</v>
      </c>
      <c r="X979" s="2">
        <v>0.61899999999999999</v>
      </c>
      <c r="Y979" s="6">
        <f t="shared" si="126"/>
        <v>1.6523851472197752E-2</v>
      </c>
      <c r="AA979">
        <v>14966</v>
      </c>
      <c r="AB979">
        <v>12936</v>
      </c>
      <c r="AC979" t="s">
        <v>518</v>
      </c>
      <c r="AD979" t="s">
        <v>5</v>
      </c>
      <c r="AE979">
        <v>93</v>
      </c>
      <c r="AF979">
        <v>2</v>
      </c>
      <c r="AH979" t="s">
        <v>1984</v>
      </c>
      <c r="AI979" t="s">
        <v>1983</v>
      </c>
      <c r="AK979" t="s">
        <v>1982</v>
      </c>
      <c r="AL979">
        <v>0</v>
      </c>
      <c r="AM979" s="5">
        <f t="shared" si="122"/>
        <v>0</v>
      </c>
      <c r="AN979" s="4">
        <f t="shared" si="127"/>
        <v>0</v>
      </c>
      <c r="AO979" s="3"/>
      <c r="AP979">
        <v>0</v>
      </c>
      <c r="AR979" t="s">
        <v>1</v>
      </c>
      <c r="AT979" s="2" t="s">
        <v>0</v>
      </c>
      <c r="AU979" s="1">
        <f t="shared" si="123"/>
        <v>1.1566696030538426</v>
      </c>
      <c r="AV979" s="1">
        <f t="shared" si="124"/>
        <v>0.82619257360988763</v>
      </c>
      <c r="AW979" s="1">
        <f t="shared" si="125"/>
        <v>0.49571554416593261</v>
      </c>
    </row>
    <row r="980" spans="1:49" x14ac:dyDescent="0.2">
      <c r="A980">
        <v>978</v>
      </c>
      <c r="B980" t="s">
        <v>1981</v>
      </c>
      <c r="C980" t="s">
        <v>1980</v>
      </c>
      <c r="E980">
        <v>8481212</v>
      </c>
      <c r="F980" t="s">
        <v>1979</v>
      </c>
      <c r="G980" t="s">
        <v>15</v>
      </c>
      <c r="H980" t="s">
        <v>14</v>
      </c>
      <c r="I980" t="s">
        <v>1978</v>
      </c>
      <c r="J980" t="s">
        <v>1972</v>
      </c>
      <c r="K980" t="s">
        <v>1977</v>
      </c>
      <c r="L980" t="s">
        <v>1976</v>
      </c>
      <c r="M980" t="s">
        <v>1975</v>
      </c>
      <c r="N980">
        <v>2</v>
      </c>
      <c r="O980" t="s">
        <v>1974</v>
      </c>
      <c r="P980" t="s">
        <v>1973</v>
      </c>
      <c r="Q980" t="s">
        <v>1972</v>
      </c>
      <c r="R980" s="7">
        <v>33970</v>
      </c>
      <c r="S980" s="8">
        <f t="shared" si="120"/>
        <v>1993</v>
      </c>
      <c r="T980" s="8">
        <v>1993</v>
      </c>
      <c r="U980" s="8">
        <f t="shared" si="121"/>
        <v>29</v>
      </c>
      <c r="V980" s="7">
        <v>1993</v>
      </c>
      <c r="W980" t="s">
        <v>1971</v>
      </c>
      <c r="X980" s="2">
        <v>2.1920000000000002</v>
      </c>
      <c r="Y980" s="6">
        <f t="shared" si="126"/>
        <v>5.8514188088945845E-2</v>
      </c>
      <c r="AA980" t="s">
        <v>1970</v>
      </c>
      <c r="AB980">
        <v>19662</v>
      </c>
      <c r="AD980" t="s">
        <v>5</v>
      </c>
      <c r="AE980">
        <v>19</v>
      </c>
      <c r="AF980">
        <v>1</v>
      </c>
      <c r="AH980" t="s">
        <v>1969</v>
      </c>
      <c r="AI980" t="s">
        <v>1968</v>
      </c>
      <c r="AJ980" t="s">
        <v>1967</v>
      </c>
      <c r="AK980" t="s">
        <v>1966</v>
      </c>
      <c r="AL980">
        <v>27</v>
      </c>
      <c r="AM980" s="5">
        <f t="shared" si="122"/>
        <v>0.93103448275862066</v>
      </c>
      <c r="AN980" s="4">
        <f t="shared" si="127"/>
        <v>1.410124169267127E-3</v>
      </c>
      <c r="AO980" s="3"/>
      <c r="AP980">
        <v>0</v>
      </c>
      <c r="AQ980" t="s">
        <v>761</v>
      </c>
      <c r="AR980" t="s">
        <v>1965</v>
      </c>
      <c r="AS980" t="s">
        <v>759</v>
      </c>
      <c r="AT980" s="2">
        <v>7.6239999999999997</v>
      </c>
      <c r="AU980" s="1">
        <f t="shared" si="123"/>
        <v>4.1382968913042228</v>
      </c>
      <c r="AV980" s="1">
        <f t="shared" si="124"/>
        <v>2.9962156129106488</v>
      </c>
      <c r="AW980" s="1">
        <f t="shared" si="125"/>
        <v>1.8541343345170742</v>
      </c>
    </row>
    <row r="981" spans="1:49" x14ac:dyDescent="0.2">
      <c r="A981">
        <v>979</v>
      </c>
      <c r="B981" t="s">
        <v>1964</v>
      </c>
      <c r="C981" t="s">
        <v>1963</v>
      </c>
      <c r="E981">
        <v>8441465</v>
      </c>
      <c r="F981" t="s">
        <v>1962</v>
      </c>
      <c r="G981" t="s">
        <v>15</v>
      </c>
      <c r="H981" t="s">
        <v>14</v>
      </c>
      <c r="I981" t="s">
        <v>1961</v>
      </c>
      <c r="J981" t="s">
        <v>1960</v>
      </c>
      <c r="K981" t="s">
        <v>1959</v>
      </c>
      <c r="L981" t="s">
        <v>1958</v>
      </c>
      <c r="M981" t="s">
        <v>1936</v>
      </c>
      <c r="N981">
        <v>4</v>
      </c>
      <c r="O981" t="s">
        <v>1957</v>
      </c>
      <c r="P981" t="s">
        <v>1956</v>
      </c>
      <c r="Q981" t="s">
        <v>1955</v>
      </c>
      <c r="R981" s="7">
        <v>33970</v>
      </c>
      <c r="S981" s="8">
        <f t="shared" si="120"/>
        <v>1993</v>
      </c>
      <c r="T981" s="8">
        <v>1993</v>
      </c>
      <c r="U981" s="8">
        <f t="shared" si="121"/>
        <v>29</v>
      </c>
      <c r="V981" s="7">
        <v>1993</v>
      </c>
      <c r="W981" t="s">
        <v>678</v>
      </c>
      <c r="X981" s="2">
        <v>15.993</v>
      </c>
      <c r="Y981" s="6">
        <f t="shared" si="126"/>
        <v>0.42692400096099947</v>
      </c>
      <c r="AA981">
        <v>280836</v>
      </c>
      <c r="AB981">
        <v>21206</v>
      </c>
      <c r="AD981" t="s">
        <v>5</v>
      </c>
      <c r="AE981">
        <v>361</v>
      </c>
      <c r="AF981">
        <v>6414</v>
      </c>
      <c r="AH981" t="s">
        <v>1954</v>
      </c>
      <c r="AI981" t="s">
        <v>1953</v>
      </c>
      <c r="AK981" t="s">
        <v>1952</v>
      </c>
      <c r="AL981">
        <v>174</v>
      </c>
      <c r="AM981" s="5">
        <f t="shared" si="122"/>
        <v>6</v>
      </c>
      <c r="AN981" s="4">
        <f t="shared" si="127"/>
        <v>9.0874668686103752E-3</v>
      </c>
      <c r="AO981" s="3"/>
      <c r="AP981">
        <v>0</v>
      </c>
      <c r="AR981" t="s">
        <v>1</v>
      </c>
      <c r="AT981" s="2">
        <v>49.962000000000003</v>
      </c>
      <c r="AU981" s="1">
        <f t="shared" si="123"/>
        <v>30.157304073328266</v>
      </c>
      <c r="AV981" s="1">
        <f t="shared" si="124"/>
        <v>21.800573391480494</v>
      </c>
      <c r="AW981" s="1">
        <f t="shared" si="125"/>
        <v>13.443842709632708</v>
      </c>
    </row>
    <row r="982" spans="1:49" x14ac:dyDescent="0.2">
      <c r="A982">
        <v>980</v>
      </c>
      <c r="B982" t="s">
        <v>1951</v>
      </c>
      <c r="C982" t="s">
        <v>1950</v>
      </c>
      <c r="E982">
        <v>8490234</v>
      </c>
      <c r="F982" t="s">
        <v>1949</v>
      </c>
      <c r="G982" t="s">
        <v>15</v>
      </c>
      <c r="H982" t="s">
        <v>14</v>
      </c>
      <c r="I982" t="s">
        <v>1948</v>
      </c>
      <c r="J982">
        <v>60005460</v>
      </c>
      <c r="K982" t="s">
        <v>1404</v>
      </c>
      <c r="L982" t="s">
        <v>1403</v>
      </c>
      <c r="M982" t="s">
        <v>59</v>
      </c>
      <c r="N982">
        <v>1</v>
      </c>
      <c r="O982" t="s">
        <v>1947</v>
      </c>
      <c r="P982">
        <v>7003953871</v>
      </c>
      <c r="Q982">
        <v>60005460</v>
      </c>
      <c r="R982" s="7">
        <v>33970</v>
      </c>
      <c r="S982" s="8">
        <f t="shared" si="120"/>
        <v>1993</v>
      </c>
      <c r="T982" s="8">
        <v>1993</v>
      </c>
      <c r="U982" s="8">
        <f t="shared" si="121"/>
        <v>29</v>
      </c>
      <c r="V982" s="7">
        <v>34074</v>
      </c>
      <c r="W982" t="s">
        <v>1932</v>
      </c>
      <c r="X982" s="2">
        <v>0.53600000000000003</v>
      </c>
      <c r="Y982" s="6">
        <f t="shared" si="126"/>
        <v>1.430821387576413E-2</v>
      </c>
      <c r="AA982" t="s">
        <v>1931</v>
      </c>
      <c r="AB982">
        <v>20920</v>
      </c>
      <c r="AC982">
        <v>10970029</v>
      </c>
      <c r="AD982" t="s">
        <v>5</v>
      </c>
      <c r="AE982">
        <v>24</v>
      </c>
      <c r="AF982">
        <v>6</v>
      </c>
      <c r="AH982" t="s">
        <v>1946</v>
      </c>
      <c r="AI982" t="s">
        <v>1945</v>
      </c>
      <c r="AJ982" t="s">
        <v>1944</v>
      </c>
      <c r="AK982" t="s">
        <v>1943</v>
      </c>
      <c r="AL982">
        <v>52</v>
      </c>
      <c r="AM982" s="5">
        <f t="shared" si="122"/>
        <v>1.7931034482758621</v>
      </c>
      <c r="AN982" s="4">
        <f t="shared" si="127"/>
        <v>2.7157946963663189E-3</v>
      </c>
      <c r="AO982" s="3"/>
      <c r="AP982">
        <v>0</v>
      </c>
      <c r="AR982" t="s">
        <v>1</v>
      </c>
      <c r="AT982" s="2">
        <v>2.7690000000000001</v>
      </c>
      <c r="AU982" s="1">
        <f t="shared" si="123"/>
        <v>1.0830488121944786</v>
      </c>
      <c r="AV982" s="1">
        <f t="shared" si="124"/>
        <v>0.85120042860652234</v>
      </c>
      <c r="AW982" s="1">
        <f t="shared" si="125"/>
        <v>0.61935204501856622</v>
      </c>
    </row>
    <row r="983" spans="1:49" x14ac:dyDescent="0.2">
      <c r="A983">
        <v>981</v>
      </c>
      <c r="B983" t="s">
        <v>1942</v>
      </c>
      <c r="C983" t="s">
        <v>1941</v>
      </c>
      <c r="E983">
        <v>8431606</v>
      </c>
      <c r="F983" t="s">
        <v>1940</v>
      </c>
      <c r="G983" t="s">
        <v>15</v>
      </c>
      <c r="H983" t="s">
        <v>14</v>
      </c>
      <c r="I983" t="s">
        <v>1939</v>
      </c>
      <c r="J983" t="s">
        <v>1933</v>
      </c>
      <c r="K983" t="s">
        <v>1938</v>
      </c>
      <c r="L983" t="s">
        <v>1937</v>
      </c>
      <c r="M983" t="s">
        <v>1936</v>
      </c>
      <c r="N983">
        <v>2</v>
      </c>
      <c r="O983" t="s">
        <v>1935</v>
      </c>
      <c r="P983" t="s">
        <v>1934</v>
      </c>
      <c r="Q983" t="s">
        <v>1933</v>
      </c>
      <c r="R983" s="7">
        <v>33970</v>
      </c>
      <c r="S983" s="8">
        <f t="shared" si="120"/>
        <v>1993</v>
      </c>
      <c r="T983" s="8">
        <v>1993</v>
      </c>
      <c r="U983" s="8">
        <f t="shared" si="121"/>
        <v>29</v>
      </c>
      <c r="V983" s="7">
        <v>34015</v>
      </c>
      <c r="W983" t="s">
        <v>1932</v>
      </c>
      <c r="X983" s="2">
        <v>0.53600000000000003</v>
      </c>
      <c r="Y983" s="6">
        <f t="shared" si="126"/>
        <v>1.430821387576413E-2</v>
      </c>
      <c r="AA983" t="s">
        <v>1931</v>
      </c>
      <c r="AB983">
        <v>20920</v>
      </c>
      <c r="AC983">
        <v>10970029</v>
      </c>
      <c r="AD983" t="s">
        <v>5</v>
      </c>
      <c r="AE983">
        <v>24</v>
      </c>
      <c r="AF983">
        <v>3</v>
      </c>
      <c r="AH983" t="s">
        <v>1930</v>
      </c>
      <c r="AI983" t="s">
        <v>1929</v>
      </c>
      <c r="AJ983" t="s">
        <v>1928</v>
      </c>
      <c r="AK983" t="s">
        <v>1927</v>
      </c>
      <c r="AL983">
        <v>156</v>
      </c>
      <c r="AM983" s="5">
        <f t="shared" si="122"/>
        <v>5.3793103448275863</v>
      </c>
      <c r="AN983" s="4">
        <f t="shared" si="127"/>
        <v>8.1473840890989562E-3</v>
      </c>
      <c r="AO983" s="3"/>
      <c r="AP983">
        <v>0</v>
      </c>
      <c r="AR983" t="s">
        <v>1</v>
      </c>
      <c r="AT983" s="2">
        <v>2.7690000000000001</v>
      </c>
      <c r="AU983" s="1">
        <f t="shared" si="123"/>
        <v>1.2459964939764578</v>
      </c>
      <c r="AV983" s="1">
        <f t="shared" si="124"/>
        <v>1.1227798982431543</v>
      </c>
      <c r="AW983" s="1">
        <f t="shared" si="125"/>
        <v>0.9995633025098507</v>
      </c>
    </row>
    <row r="984" spans="1:49" x14ac:dyDescent="0.2">
      <c r="A984">
        <v>982</v>
      </c>
      <c r="B984" t="s">
        <v>1926</v>
      </c>
      <c r="C984" t="s">
        <v>1925</v>
      </c>
      <c r="F984" t="s">
        <v>1924</v>
      </c>
      <c r="G984" t="s">
        <v>15</v>
      </c>
      <c r="H984" t="s">
        <v>14</v>
      </c>
      <c r="I984" t="s">
        <v>1923</v>
      </c>
      <c r="N984">
        <v>1</v>
      </c>
      <c r="O984" t="s">
        <v>1922</v>
      </c>
      <c r="P984">
        <v>7101906443</v>
      </c>
      <c r="R984" s="7">
        <v>33970</v>
      </c>
      <c r="S984" s="8">
        <f t="shared" si="120"/>
        <v>1993</v>
      </c>
      <c r="T984" s="8">
        <v>1993</v>
      </c>
      <c r="U984" s="8">
        <f t="shared" si="121"/>
        <v>29</v>
      </c>
      <c r="V984" s="7">
        <v>1993</v>
      </c>
      <c r="W984" t="s">
        <v>1921</v>
      </c>
      <c r="X984" s="2">
        <v>1.67</v>
      </c>
      <c r="Y984" s="6">
        <f t="shared" si="126"/>
        <v>4.4579696217399427E-2</v>
      </c>
      <c r="AA984">
        <v>1480227</v>
      </c>
      <c r="AB984">
        <v>28428</v>
      </c>
      <c r="AD984" t="s">
        <v>5</v>
      </c>
      <c r="AE984">
        <v>98</v>
      </c>
      <c r="AF984" t="s">
        <v>1920</v>
      </c>
      <c r="AH984" t="s">
        <v>1919</v>
      </c>
      <c r="AI984" t="s">
        <v>1918</v>
      </c>
      <c r="AK984" t="s">
        <v>1917</v>
      </c>
      <c r="AL984">
        <v>23</v>
      </c>
      <c r="AM984" s="5">
        <f t="shared" si="122"/>
        <v>0.7931034482758621</v>
      </c>
      <c r="AN984" s="4">
        <f t="shared" si="127"/>
        <v>1.2012168849312565E-3</v>
      </c>
      <c r="AO984" s="3"/>
      <c r="AP984">
        <v>0</v>
      </c>
      <c r="AR984" t="s">
        <v>1</v>
      </c>
      <c r="AT984" s="2" t="s">
        <v>0</v>
      </c>
      <c r="AU984" s="1">
        <f t="shared" si="123"/>
        <v>3.1566152417658975</v>
      </c>
      <c r="AV984" s="1">
        <f t="shared" si="124"/>
        <v>2.2890456551165341</v>
      </c>
      <c r="AW984" s="1">
        <f t="shared" si="125"/>
        <v>1.4214760684671708</v>
      </c>
    </row>
    <row r="985" spans="1:49" x14ac:dyDescent="0.2">
      <c r="A985">
        <v>983</v>
      </c>
      <c r="B985" t="s">
        <v>1916</v>
      </c>
      <c r="C985" t="s">
        <v>1915</v>
      </c>
      <c r="D985" t="s">
        <v>1914</v>
      </c>
      <c r="F985" t="s">
        <v>1913</v>
      </c>
      <c r="G985" t="s">
        <v>15</v>
      </c>
      <c r="H985" t="s">
        <v>14</v>
      </c>
      <c r="I985" t="s">
        <v>1912</v>
      </c>
      <c r="J985">
        <v>60024666</v>
      </c>
      <c r="K985" t="s">
        <v>1911</v>
      </c>
      <c r="L985" t="s">
        <v>1910</v>
      </c>
      <c r="M985" t="s">
        <v>1909</v>
      </c>
      <c r="N985">
        <v>2</v>
      </c>
      <c r="O985" t="s">
        <v>1908</v>
      </c>
      <c r="P985" t="s">
        <v>1907</v>
      </c>
      <c r="Q985" t="s">
        <v>1906</v>
      </c>
      <c r="R985" s="7">
        <v>33970</v>
      </c>
      <c r="S985" s="8">
        <f t="shared" si="120"/>
        <v>1993</v>
      </c>
      <c r="T985" s="8">
        <v>1993</v>
      </c>
      <c r="U985" s="8">
        <f t="shared" si="121"/>
        <v>29</v>
      </c>
      <c r="V985" s="7">
        <v>34121</v>
      </c>
      <c r="W985" t="s">
        <v>1841</v>
      </c>
      <c r="X985" s="2">
        <v>0.51500000000000001</v>
      </c>
      <c r="Y985" s="6">
        <f t="shared" si="126"/>
        <v>1.374763086943755E-2</v>
      </c>
      <c r="AA985">
        <v>219169</v>
      </c>
      <c r="AB985">
        <v>30966</v>
      </c>
      <c r="AD985" t="s">
        <v>5</v>
      </c>
      <c r="AE985">
        <v>55</v>
      </c>
      <c r="AF985">
        <v>7</v>
      </c>
      <c r="AH985" t="s">
        <v>1905</v>
      </c>
      <c r="AI985" t="s">
        <v>1904</v>
      </c>
      <c r="AK985" t="s">
        <v>1903</v>
      </c>
      <c r="AL985">
        <v>22</v>
      </c>
      <c r="AM985" s="5">
        <f t="shared" si="122"/>
        <v>0.75862068965517238</v>
      </c>
      <c r="AN985" s="4">
        <f t="shared" si="127"/>
        <v>1.1489900638472887E-3</v>
      </c>
      <c r="AO985" s="3"/>
      <c r="AP985">
        <v>0</v>
      </c>
      <c r="AQ985" t="s">
        <v>761</v>
      </c>
      <c r="AR985" t="s">
        <v>1902</v>
      </c>
      <c r="AS985" t="s">
        <v>759</v>
      </c>
      <c r="AT985" s="2" t="s">
        <v>0</v>
      </c>
      <c r="AU985" s="1">
        <f t="shared" si="123"/>
        <v>0.99680386277604704</v>
      </c>
      <c r="AV985" s="1">
        <f t="shared" si="124"/>
        <v>0.74483104666424194</v>
      </c>
      <c r="AW985" s="1">
        <f t="shared" si="125"/>
        <v>0.49285823055243672</v>
      </c>
    </row>
    <row r="986" spans="1:49" x14ac:dyDescent="0.2">
      <c r="A986">
        <v>984</v>
      </c>
      <c r="B986" t="s">
        <v>1901</v>
      </c>
      <c r="C986" t="s">
        <v>1900</v>
      </c>
      <c r="D986">
        <v>21916993900679</v>
      </c>
      <c r="F986" t="s">
        <v>1899</v>
      </c>
      <c r="G986" t="s">
        <v>15</v>
      </c>
      <c r="H986" t="s">
        <v>14</v>
      </c>
      <c r="I986" t="s">
        <v>1898</v>
      </c>
      <c r="J986" t="s">
        <v>1897</v>
      </c>
      <c r="K986" t="s">
        <v>1896</v>
      </c>
      <c r="L986" t="s">
        <v>1895</v>
      </c>
      <c r="M986" t="s">
        <v>235</v>
      </c>
      <c r="N986">
        <v>2</v>
      </c>
      <c r="O986" t="s">
        <v>1894</v>
      </c>
      <c r="P986" t="s">
        <v>1893</v>
      </c>
      <c r="Q986" t="s">
        <v>1892</v>
      </c>
      <c r="R986" s="7">
        <v>33970</v>
      </c>
      <c r="S986" s="8">
        <f t="shared" si="120"/>
        <v>1993</v>
      </c>
      <c r="T986" s="8">
        <v>1993</v>
      </c>
      <c r="U986" s="8">
        <f t="shared" si="121"/>
        <v>29</v>
      </c>
      <c r="V986" s="7">
        <v>34029</v>
      </c>
      <c r="W986" t="s">
        <v>1841</v>
      </c>
      <c r="X986" s="2">
        <v>0.51500000000000001</v>
      </c>
      <c r="Y986" s="6">
        <f t="shared" si="126"/>
        <v>1.374763086943755E-2</v>
      </c>
      <c r="AA986">
        <v>219169</v>
      </c>
      <c r="AB986">
        <v>30966</v>
      </c>
      <c r="AD986" t="s">
        <v>5</v>
      </c>
      <c r="AE986">
        <v>55</v>
      </c>
      <c r="AF986">
        <v>3</v>
      </c>
      <c r="AH986" t="s">
        <v>1891</v>
      </c>
      <c r="AI986" t="s">
        <v>1890</v>
      </c>
      <c r="AK986" t="s">
        <v>1889</v>
      </c>
      <c r="AL986">
        <v>28</v>
      </c>
      <c r="AM986" s="5">
        <f t="shared" si="122"/>
        <v>0.96551724137931039</v>
      </c>
      <c r="AN986" s="4">
        <f t="shared" si="127"/>
        <v>1.4623509903510948E-3</v>
      </c>
      <c r="AO986" s="3"/>
      <c r="AP986">
        <v>0</v>
      </c>
      <c r="AQ986" t="s">
        <v>761</v>
      </c>
      <c r="AR986" t="s">
        <v>1888</v>
      </c>
      <c r="AS986" t="s">
        <v>759</v>
      </c>
      <c r="AT986" s="2" t="s">
        <v>0</v>
      </c>
      <c r="AU986" s="1">
        <f t="shared" si="123"/>
        <v>1.0062046905711612</v>
      </c>
      <c r="AV986" s="1">
        <f t="shared" si="124"/>
        <v>0.76049909298943219</v>
      </c>
      <c r="AW986" s="1">
        <f t="shared" si="125"/>
        <v>0.51479349540770314</v>
      </c>
    </row>
    <row r="987" spans="1:49" x14ac:dyDescent="0.2">
      <c r="A987">
        <v>985</v>
      </c>
      <c r="B987" t="s">
        <v>1887</v>
      </c>
      <c r="C987" t="s">
        <v>1886</v>
      </c>
      <c r="F987" t="s">
        <v>1885</v>
      </c>
      <c r="G987" t="s">
        <v>15</v>
      </c>
      <c r="H987" t="s">
        <v>14</v>
      </c>
      <c r="I987" t="s">
        <v>1884</v>
      </c>
      <c r="J987">
        <v>60031101</v>
      </c>
      <c r="K987" t="s">
        <v>495</v>
      </c>
      <c r="L987" t="s">
        <v>494</v>
      </c>
      <c r="M987" t="s">
        <v>493</v>
      </c>
      <c r="N987">
        <v>1</v>
      </c>
      <c r="O987" t="s">
        <v>1883</v>
      </c>
      <c r="P987">
        <v>7005121547</v>
      </c>
      <c r="Q987">
        <v>60031101</v>
      </c>
      <c r="R987" s="7">
        <v>33970</v>
      </c>
      <c r="S987" s="8">
        <f t="shared" si="120"/>
        <v>1993</v>
      </c>
      <c r="T987" s="8">
        <v>1993</v>
      </c>
      <c r="U987" s="8">
        <f t="shared" si="121"/>
        <v>29</v>
      </c>
      <c r="V987" s="7">
        <v>1993</v>
      </c>
      <c r="W987" t="s">
        <v>1882</v>
      </c>
      <c r="X987" s="2" t="s">
        <v>0</v>
      </c>
      <c r="Y987" s="6" t="e">
        <f t="shared" si="126"/>
        <v>#VALUE!</v>
      </c>
      <c r="AB987">
        <v>13602</v>
      </c>
      <c r="AD987" t="s">
        <v>5</v>
      </c>
      <c r="AE987">
        <v>339</v>
      </c>
      <c r="AF987">
        <v>1287</v>
      </c>
      <c r="AH987" t="s">
        <v>1881</v>
      </c>
      <c r="AI987" t="s">
        <v>1880</v>
      </c>
      <c r="AK987" t="s">
        <v>1879</v>
      </c>
      <c r="AL987">
        <v>26</v>
      </c>
      <c r="AM987" s="5">
        <f t="shared" si="122"/>
        <v>0.89655172413793105</v>
      </c>
      <c r="AN987" s="4">
        <f t="shared" si="127"/>
        <v>1.3578973481831594E-3</v>
      </c>
      <c r="AO987" s="3"/>
      <c r="AP987">
        <v>0</v>
      </c>
      <c r="AR987" t="s">
        <v>1</v>
      </c>
      <c r="AT987" s="2" t="s">
        <v>0</v>
      </c>
      <c r="AU987" s="1" t="e">
        <f t="shared" si="123"/>
        <v>#VALUE!</v>
      </c>
      <c r="AV987" s="1" t="e">
        <f t="shared" si="124"/>
        <v>#VALUE!</v>
      </c>
      <c r="AW987" s="1" t="e">
        <f t="shared" si="125"/>
        <v>#VALUE!</v>
      </c>
    </row>
    <row r="988" spans="1:49" x14ac:dyDescent="0.2">
      <c r="A988">
        <v>986</v>
      </c>
      <c r="B988" t="s">
        <v>1878</v>
      </c>
      <c r="C988" t="s">
        <v>1877</v>
      </c>
      <c r="E988">
        <v>8268634</v>
      </c>
      <c r="F988" t="s">
        <v>1876</v>
      </c>
      <c r="G988" t="s">
        <v>15</v>
      </c>
      <c r="H988" t="s">
        <v>14</v>
      </c>
      <c r="I988" t="s">
        <v>1875</v>
      </c>
      <c r="J988">
        <v>60026929</v>
      </c>
      <c r="K988" t="s">
        <v>1874</v>
      </c>
      <c r="L988" t="s">
        <v>1873</v>
      </c>
      <c r="M988" t="s">
        <v>1872</v>
      </c>
      <c r="N988">
        <v>7</v>
      </c>
      <c r="O988" t="s">
        <v>1871</v>
      </c>
      <c r="P988" t="s">
        <v>1870</v>
      </c>
      <c r="Q988" t="s">
        <v>1869</v>
      </c>
      <c r="R988" s="7">
        <v>33970</v>
      </c>
      <c r="S988" s="8">
        <f t="shared" si="120"/>
        <v>1993</v>
      </c>
      <c r="T988" s="8">
        <v>1993</v>
      </c>
      <c r="U988" s="8">
        <f t="shared" si="121"/>
        <v>29</v>
      </c>
      <c r="V988" s="7">
        <v>1993</v>
      </c>
      <c r="W988" t="s">
        <v>1868</v>
      </c>
      <c r="X988" s="2">
        <v>0.96099999999999997</v>
      </c>
      <c r="Y988" s="6">
        <f t="shared" si="126"/>
        <v>2.5653346146659192E-2</v>
      </c>
      <c r="AA988">
        <v>10582916</v>
      </c>
      <c r="AB988">
        <v>26471</v>
      </c>
      <c r="AD988" t="s">
        <v>5</v>
      </c>
      <c r="AE988">
        <v>39</v>
      </c>
      <c r="AF988">
        <v>3</v>
      </c>
      <c r="AI988" t="s">
        <v>1867</v>
      </c>
      <c r="AK988" t="s">
        <v>1866</v>
      </c>
      <c r="AL988">
        <v>40</v>
      </c>
      <c r="AM988" s="5">
        <f t="shared" si="122"/>
        <v>1.3793103448275863</v>
      </c>
      <c r="AN988" s="4">
        <f t="shared" si="127"/>
        <v>2.0890728433587071E-3</v>
      </c>
      <c r="AO988" s="3"/>
      <c r="AP988">
        <v>0</v>
      </c>
      <c r="AR988" t="s">
        <v>1</v>
      </c>
      <c r="AT988" s="2">
        <v>2.8719999999999999</v>
      </c>
      <c r="AU988" s="1">
        <f t="shared" si="123"/>
        <v>1.8584064155669044</v>
      </c>
      <c r="AV988" s="1">
        <f t="shared" si="124"/>
        <v>1.3871209495008949</v>
      </c>
      <c r="AW988" s="1">
        <f t="shared" si="125"/>
        <v>0.91583548343488508</v>
      </c>
    </row>
    <row r="989" spans="1:49" x14ac:dyDescent="0.2">
      <c r="A989">
        <v>987</v>
      </c>
      <c r="B989" t="s">
        <v>1865</v>
      </c>
      <c r="E989">
        <v>8407922</v>
      </c>
      <c r="F989" t="s">
        <v>1864</v>
      </c>
      <c r="G989" t="s">
        <v>15</v>
      </c>
      <c r="H989" t="s">
        <v>14</v>
      </c>
      <c r="I989" t="s">
        <v>1863</v>
      </c>
      <c r="J989">
        <v>60017563</v>
      </c>
      <c r="K989" t="s">
        <v>1862</v>
      </c>
      <c r="L989" t="s">
        <v>1861</v>
      </c>
      <c r="M989" t="s">
        <v>1118</v>
      </c>
      <c r="N989">
        <v>4</v>
      </c>
      <c r="O989" t="s">
        <v>1860</v>
      </c>
      <c r="P989" t="s">
        <v>1859</v>
      </c>
      <c r="Q989" t="s">
        <v>1858</v>
      </c>
      <c r="R989" s="7">
        <v>33970</v>
      </c>
      <c r="S989" s="8">
        <f t="shared" si="120"/>
        <v>1993</v>
      </c>
      <c r="T989" s="8">
        <v>1993</v>
      </c>
      <c r="U989" s="8">
        <f t="shared" si="121"/>
        <v>29</v>
      </c>
      <c r="V989" s="7">
        <v>1993</v>
      </c>
      <c r="W989" t="s">
        <v>953</v>
      </c>
      <c r="X989" s="2">
        <v>2.3610000000000002</v>
      </c>
      <c r="Y989" s="6">
        <f t="shared" si="126"/>
        <v>6.3025546568431179E-2</v>
      </c>
      <c r="AA989">
        <v>219258</v>
      </c>
      <c r="AB989">
        <v>17592</v>
      </c>
      <c r="AD989" t="s">
        <v>5</v>
      </c>
      <c r="AE989">
        <v>268</v>
      </c>
      <c r="AF989">
        <v>28</v>
      </c>
      <c r="AH989" t="s">
        <v>1857</v>
      </c>
      <c r="AI989" t="s">
        <v>1856</v>
      </c>
      <c r="AK989" t="s">
        <v>1855</v>
      </c>
      <c r="AL989">
        <v>62</v>
      </c>
      <c r="AM989" s="5">
        <f t="shared" si="122"/>
        <v>2.1379310344827585</v>
      </c>
      <c r="AN989" s="4">
        <f t="shared" si="127"/>
        <v>3.2380629072059955E-3</v>
      </c>
      <c r="AO989" s="3"/>
      <c r="AP989">
        <v>0</v>
      </c>
      <c r="AR989" t="s">
        <v>1</v>
      </c>
      <c r="AT989" s="2">
        <v>5.157</v>
      </c>
      <c r="AU989" s="1">
        <f t="shared" si="123"/>
        <v>4.5089301470063621</v>
      </c>
      <c r="AV989" s="1">
        <f t="shared" si="124"/>
        <v>3.3131804737818586</v>
      </c>
      <c r="AW989" s="1">
        <f t="shared" si="125"/>
        <v>2.1174308005573552</v>
      </c>
    </row>
    <row r="990" spans="1:49" x14ac:dyDescent="0.2">
      <c r="A990">
        <v>988</v>
      </c>
      <c r="B990" t="s">
        <v>1854</v>
      </c>
      <c r="C990" t="s">
        <v>1853</v>
      </c>
      <c r="D990" t="s">
        <v>1852</v>
      </c>
      <c r="F990" t="s">
        <v>1851</v>
      </c>
      <c r="G990" t="s">
        <v>15</v>
      </c>
      <c r="H990" t="s">
        <v>14</v>
      </c>
      <c r="I990" t="s">
        <v>1850</v>
      </c>
      <c r="J990" t="s">
        <v>1849</v>
      </c>
      <c r="K990" t="s">
        <v>1848</v>
      </c>
      <c r="L990" t="s">
        <v>1847</v>
      </c>
      <c r="M990" t="s">
        <v>1846</v>
      </c>
      <c r="N990">
        <v>3</v>
      </c>
      <c r="O990" t="s">
        <v>1845</v>
      </c>
      <c r="P990" t="s">
        <v>1844</v>
      </c>
      <c r="Q990" t="s">
        <v>1843</v>
      </c>
      <c r="R990" s="7">
        <v>33970</v>
      </c>
      <c r="S990" s="8">
        <f t="shared" si="120"/>
        <v>1993</v>
      </c>
      <c r="T990" s="8">
        <v>1993</v>
      </c>
      <c r="U990" s="8">
        <f t="shared" si="121"/>
        <v>29</v>
      </c>
      <c r="V990" s="7" t="s">
        <v>1842</v>
      </c>
      <c r="W990" t="s">
        <v>1841</v>
      </c>
      <c r="X990" s="2">
        <v>0.51500000000000001</v>
      </c>
      <c r="Y990" s="6">
        <f t="shared" si="126"/>
        <v>1.374763086943755E-2</v>
      </c>
      <c r="AA990">
        <v>219169</v>
      </c>
      <c r="AB990">
        <v>30966</v>
      </c>
      <c r="AD990" t="s">
        <v>5</v>
      </c>
      <c r="AE990">
        <v>55</v>
      </c>
      <c r="AF990" s="9">
        <v>44320</v>
      </c>
      <c r="AH990" t="s">
        <v>1840</v>
      </c>
      <c r="AI990" t="s">
        <v>1839</v>
      </c>
      <c r="AK990" t="s">
        <v>1838</v>
      </c>
      <c r="AL990">
        <v>1</v>
      </c>
      <c r="AM990" s="5">
        <f t="shared" si="122"/>
        <v>3.4482758620689655E-2</v>
      </c>
      <c r="AN990" s="4">
        <f t="shared" si="127"/>
        <v>5.2226821083967674E-5</v>
      </c>
      <c r="AO990" s="3"/>
      <c r="AP990">
        <v>0</v>
      </c>
      <c r="AR990" t="s">
        <v>1</v>
      </c>
      <c r="AT990" s="2" t="s">
        <v>0</v>
      </c>
      <c r="AU990" s="1">
        <f t="shared" si="123"/>
        <v>0.96390096549314741</v>
      </c>
      <c r="AV990" s="1">
        <f t="shared" si="124"/>
        <v>0.68999288452607588</v>
      </c>
      <c r="AW990" s="1">
        <f t="shared" si="125"/>
        <v>0.41608480355900423</v>
      </c>
    </row>
    <row r="991" spans="1:49" x14ac:dyDescent="0.2">
      <c r="A991">
        <v>989</v>
      </c>
      <c r="B991" t="s">
        <v>1837</v>
      </c>
      <c r="C991" t="s">
        <v>1836</v>
      </c>
      <c r="F991" t="s">
        <v>1835</v>
      </c>
      <c r="G991" t="s">
        <v>15</v>
      </c>
      <c r="H991" t="s">
        <v>14</v>
      </c>
      <c r="I991" t="s">
        <v>1834</v>
      </c>
      <c r="J991">
        <v>60027550</v>
      </c>
      <c r="K991" t="s">
        <v>1833</v>
      </c>
      <c r="L991" t="s">
        <v>1832</v>
      </c>
      <c r="M991" t="s">
        <v>10</v>
      </c>
      <c r="N991">
        <v>3</v>
      </c>
      <c r="O991" t="s">
        <v>1831</v>
      </c>
      <c r="P991" t="s">
        <v>1830</v>
      </c>
      <c r="Q991" t="s">
        <v>1829</v>
      </c>
      <c r="R991" s="7">
        <v>33970</v>
      </c>
      <c r="S991" s="8">
        <f t="shared" si="120"/>
        <v>1993</v>
      </c>
      <c r="T991" s="8">
        <v>1993</v>
      </c>
      <c r="U991" s="8">
        <f t="shared" si="121"/>
        <v>29</v>
      </c>
      <c r="V991" s="7">
        <v>33970</v>
      </c>
      <c r="W991" t="s">
        <v>1828</v>
      </c>
      <c r="X991" s="2" t="s">
        <v>0</v>
      </c>
      <c r="Y991" s="6" t="e">
        <f t="shared" si="126"/>
        <v>#VALUE!</v>
      </c>
      <c r="AA991" t="s">
        <v>1827</v>
      </c>
      <c r="AB991">
        <v>53590</v>
      </c>
      <c r="AC991" t="s">
        <v>1826</v>
      </c>
      <c r="AD991" t="s">
        <v>5</v>
      </c>
      <c r="AE991">
        <v>203</v>
      </c>
      <c r="AF991" s="9">
        <v>44228</v>
      </c>
      <c r="AH991" t="s">
        <v>1825</v>
      </c>
      <c r="AI991" t="s">
        <v>1824</v>
      </c>
      <c r="AJ991" t="s">
        <v>1823</v>
      </c>
      <c r="AK991" t="s">
        <v>1822</v>
      </c>
      <c r="AL991">
        <v>57</v>
      </c>
      <c r="AM991" s="5">
        <f t="shared" si="122"/>
        <v>1.9655172413793103</v>
      </c>
      <c r="AN991" s="4">
        <f t="shared" si="127"/>
        <v>2.9769288017861572E-3</v>
      </c>
      <c r="AO991" s="3"/>
      <c r="AP991">
        <v>0</v>
      </c>
      <c r="AR991" t="s">
        <v>1</v>
      </c>
      <c r="AT991" s="2" t="s">
        <v>0</v>
      </c>
      <c r="AU991" s="1" t="e">
        <f t="shared" si="123"/>
        <v>#VALUE!</v>
      </c>
      <c r="AV991" s="1" t="e">
        <f t="shared" si="124"/>
        <v>#VALUE!</v>
      </c>
      <c r="AW991" s="1" t="e">
        <f t="shared" si="125"/>
        <v>#VALUE!</v>
      </c>
    </row>
    <row r="992" spans="1:49" x14ac:dyDescent="0.2">
      <c r="A992">
        <v>990</v>
      </c>
      <c r="B992" t="s">
        <v>1821</v>
      </c>
      <c r="E992">
        <v>7916731</v>
      </c>
      <c r="F992" t="s">
        <v>1820</v>
      </c>
      <c r="G992" t="s">
        <v>15</v>
      </c>
      <c r="H992" t="s">
        <v>14</v>
      </c>
      <c r="I992" t="s">
        <v>1819</v>
      </c>
      <c r="J992">
        <v>60002746</v>
      </c>
      <c r="K992" t="s">
        <v>1818</v>
      </c>
      <c r="L992" t="s">
        <v>1817</v>
      </c>
      <c r="M992" t="s">
        <v>10</v>
      </c>
      <c r="N992">
        <v>3</v>
      </c>
      <c r="O992" t="s">
        <v>1816</v>
      </c>
      <c r="P992" t="s">
        <v>1815</v>
      </c>
      <c r="Q992" t="s">
        <v>1814</v>
      </c>
      <c r="R992" s="7">
        <v>33970</v>
      </c>
      <c r="S992" s="8">
        <f t="shared" si="120"/>
        <v>1993</v>
      </c>
      <c r="T992" s="8">
        <v>1993</v>
      </c>
      <c r="U992" s="8">
        <f t="shared" si="121"/>
        <v>29</v>
      </c>
      <c r="V992" s="7">
        <v>1993</v>
      </c>
      <c r="W992" t="s">
        <v>1813</v>
      </c>
      <c r="X992" s="2">
        <v>2.7919999999999998</v>
      </c>
      <c r="Y992" s="6">
        <f t="shared" si="126"/>
        <v>7.4530845412562399E-2</v>
      </c>
      <c r="AA992">
        <v>166731</v>
      </c>
      <c r="AB992">
        <v>22173</v>
      </c>
      <c r="AD992" t="s">
        <v>5</v>
      </c>
      <c r="AE992">
        <v>135</v>
      </c>
      <c r="AF992">
        <v>2</v>
      </c>
      <c r="AH992" t="s">
        <v>1812</v>
      </c>
      <c r="AI992" t="s">
        <v>1811</v>
      </c>
      <c r="AK992" t="s">
        <v>1810</v>
      </c>
      <c r="AL992">
        <v>38</v>
      </c>
      <c r="AM992" s="5">
        <f t="shared" si="122"/>
        <v>1.3103448275862069</v>
      </c>
      <c r="AN992" s="4">
        <f t="shared" si="127"/>
        <v>1.9846192011907715E-3</v>
      </c>
      <c r="AO992" s="3"/>
      <c r="AP992">
        <v>0</v>
      </c>
      <c r="AR992" t="s">
        <v>1</v>
      </c>
      <c r="AT992" s="2">
        <v>4.5620000000000003</v>
      </c>
      <c r="AU992" s="1">
        <f t="shared" si="123"/>
        <v>5.2766977549150909</v>
      </c>
      <c r="AV992" s="1">
        <f t="shared" si="124"/>
        <v>3.8257732306876582</v>
      </c>
      <c r="AW992" s="1">
        <f t="shared" si="125"/>
        <v>2.3748487064602259</v>
      </c>
    </row>
    <row r="993" spans="1:49" x14ac:dyDescent="0.2">
      <c r="A993">
        <v>991</v>
      </c>
      <c r="B993" t="s">
        <v>1809</v>
      </c>
      <c r="C993" t="s">
        <v>1808</v>
      </c>
      <c r="E993">
        <v>8262111</v>
      </c>
      <c r="F993" t="s">
        <v>1807</v>
      </c>
      <c r="G993" t="s">
        <v>15</v>
      </c>
      <c r="H993" t="s">
        <v>14</v>
      </c>
      <c r="I993" t="s">
        <v>1806</v>
      </c>
      <c r="J993">
        <v>60011766</v>
      </c>
      <c r="K993" t="s">
        <v>1805</v>
      </c>
      <c r="L993" t="s">
        <v>1804</v>
      </c>
      <c r="M993" t="s">
        <v>1118</v>
      </c>
      <c r="N993">
        <v>8</v>
      </c>
      <c r="O993" t="s">
        <v>1803</v>
      </c>
      <c r="P993" t="s">
        <v>1802</v>
      </c>
      <c r="Q993" t="s">
        <v>1801</v>
      </c>
      <c r="R993" s="7">
        <v>33970</v>
      </c>
      <c r="S993" s="8">
        <f t="shared" si="120"/>
        <v>1993</v>
      </c>
      <c r="T993" s="8">
        <v>1993</v>
      </c>
      <c r="U993" s="8">
        <f t="shared" si="121"/>
        <v>29</v>
      </c>
      <c r="V993" s="7">
        <v>1993</v>
      </c>
      <c r="W993" t="s">
        <v>1189</v>
      </c>
      <c r="X993" s="2">
        <v>9.7989999999999995</v>
      </c>
      <c r="Y993" s="6">
        <f t="shared" si="126"/>
        <v>0.26157870852353116</v>
      </c>
      <c r="AA993">
        <v>3022838</v>
      </c>
      <c r="AB993">
        <v>19897</v>
      </c>
      <c r="AD993" t="s">
        <v>5</v>
      </c>
      <c r="AE993">
        <v>24</v>
      </c>
      <c r="AF993">
        <v>3</v>
      </c>
      <c r="AH993" t="s">
        <v>1800</v>
      </c>
      <c r="AI993" t="s">
        <v>1799</v>
      </c>
      <c r="AJ993" t="s">
        <v>1798</v>
      </c>
      <c r="AK993" t="s">
        <v>1797</v>
      </c>
      <c r="AL993">
        <v>32</v>
      </c>
      <c r="AM993" s="5">
        <f t="shared" si="122"/>
        <v>1.103448275862069</v>
      </c>
      <c r="AN993" s="4">
        <f t="shared" si="127"/>
        <v>1.6712582746869656E-3</v>
      </c>
      <c r="AO993" s="3"/>
      <c r="AP993">
        <v>0</v>
      </c>
      <c r="AR993" t="s">
        <v>1</v>
      </c>
      <c r="AT993" s="2">
        <v>20.096</v>
      </c>
      <c r="AU993" s="1">
        <f t="shared" si="123"/>
        <v>18.360647344887788</v>
      </c>
      <c r="AV993" s="1">
        <f t="shared" si="124"/>
        <v>13.162498339910906</v>
      </c>
      <c r="AW993" s="1">
        <f t="shared" si="125"/>
        <v>7.9643493349340222</v>
      </c>
    </row>
    <row r="994" spans="1:49" x14ac:dyDescent="0.2">
      <c r="A994">
        <v>992</v>
      </c>
      <c r="B994" t="s">
        <v>1796</v>
      </c>
      <c r="F994" t="s">
        <v>1795</v>
      </c>
      <c r="G994" t="s">
        <v>15</v>
      </c>
      <c r="H994" t="s">
        <v>14</v>
      </c>
      <c r="I994" t="s">
        <v>1794</v>
      </c>
      <c r="N994">
        <v>1</v>
      </c>
      <c r="O994" t="s">
        <v>1793</v>
      </c>
      <c r="P994">
        <v>6602711218</v>
      </c>
      <c r="R994" s="7">
        <v>33970</v>
      </c>
      <c r="S994" s="8">
        <f t="shared" si="120"/>
        <v>1993</v>
      </c>
      <c r="T994" s="8">
        <v>1993</v>
      </c>
      <c r="U994" s="8">
        <f t="shared" si="121"/>
        <v>29</v>
      </c>
      <c r="V994" s="7">
        <v>33970</v>
      </c>
      <c r="W994" t="s">
        <v>1769</v>
      </c>
      <c r="X994" s="2">
        <v>0.14099999999999999</v>
      </c>
      <c r="Y994" s="6">
        <f t="shared" si="126"/>
        <v>3.7639144710498915E-3</v>
      </c>
      <c r="AA994">
        <v>402508</v>
      </c>
      <c r="AB994">
        <v>20868</v>
      </c>
      <c r="AD994" t="s">
        <v>5</v>
      </c>
      <c r="AE994">
        <v>48</v>
      </c>
      <c r="AF994">
        <v>1</v>
      </c>
      <c r="AH994" t="s">
        <v>1792</v>
      </c>
      <c r="AI994" t="s">
        <v>1791</v>
      </c>
      <c r="AK994" t="s">
        <v>1790</v>
      </c>
      <c r="AL994">
        <v>0</v>
      </c>
      <c r="AM994" s="5">
        <f t="shared" si="122"/>
        <v>0</v>
      </c>
      <c r="AN994" s="4">
        <f t="shared" si="127"/>
        <v>0</v>
      </c>
      <c r="AO994" s="3"/>
      <c r="AP994">
        <v>0</v>
      </c>
      <c r="AR994" t="s">
        <v>1</v>
      </c>
      <c r="AT994" s="2" t="s">
        <v>0</v>
      </c>
      <c r="AU994" s="1">
        <f t="shared" si="123"/>
        <v>0.26347401297349238</v>
      </c>
      <c r="AV994" s="1">
        <f t="shared" si="124"/>
        <v>0.18819572355249459</v>
      </c>
      <c r="AW994" s="1">
        <f t="shared" si="125"/>
        <v>0.11291743413149673</v>
      </c>
    </row>
    <row r="995" spans="1:49" x14ac:dyDescent="0.2">
      <c r="A995">
        <v>993</v>
      </c>
      <c r="B995" t="s">
        <v>1789</v>
      </c>
      <c r="C995" t="s">
        <v>1788</v>
      </c>
      <c r="F995" t="s">
        <v>1787</v>
      </c>
      <c r="G995" t="s">
        <v>15</v>
      </c>
      <c r="H995" t="s">
        <v>14</v>
      </c>
      <c r="I995" t="s">
        <v>1786</v>
      </c>
      <c r="J995">
        <v>60025555</v>
      </c>
      <c r="K995" t="s">
        <v>1785</v>
      </c>
      <c r="L995" t="s">
        <v>151</v>
      </c>
      <c r="M995" t="s">
        <v>150</v>
      </c>
      <c r="N995">
        <v>1</v>
      </c>
      <c r="O995" t="s">
        <v>1784</v>
      </c>
      <c r="P995">
        <v>6602715313</v>
      </c>
      <c r="Q995">
        <v>60025555</v>
      </c>
      <c r="R995" s="7">
        <v>33970</v>
      </c>
      <c r="S995" s="8">
        <f t="shared" si="120"/>
        <v>1993</v>
      </c>
      <c r="T995" s="8">
        <v>1993</v>
      </c>
      <c r="U995" s="8">
        <f t="shared" si="121"/>
        <v>29</v>
      </c>
      <c r="V995" s="7">
        <v>1993</v>
      </c>
      <c r="W995" t="s">
        <v>1720</v>
      </c>
      <c r="X995" s="2">
        <v>0.111</v>
      </c>
      <c r="Y995" s="6">
        <f t="shared" si="126"/>
        <v>2.9630816048690639E-3</v>
      </c>
      <c r="AA995">
        <v>87566621</v>
      </c>
      <c r="AB995">
        <v>24890</v>
      </c>
      <c r="AC995">
        <v>15206424</v>
      </c>
      <c r="AD995" t="s">
        <v>5</v>
      </c>
      <c r="AE995">
        <v>76</v>
      </c>
      <c r="AF995">
        <v>1</v>
      </c>
      <c r="AH995" t="s">
        <v>1783</v>
      </c>
      <c r="AI995" t="s">
        <v>1782</v>
      </c>
      <c r="AJ995" t="s">
        <v>1781</v>
      </c>
      <c r="AK995" t="s">
        <v>1780</v>
      </c>
      <c r="AL995">
        <v>0</v>
      </c>
      <c r="AM995" s="5">
        <f t="shared" si="122"/>
        <v>0</v>
      </c>
      <c r="AN995" s="4">
        <f t="shared" si="127"/>
        <v>0</v>
      </c>
      <c r="AO995" s="3"/>
      <c r="AP995">
        <v>0</v>
      </c>
      <c r="AR995" t="s">
        <v>1</v>
      </c>
      <c r="AT995" s="2" t="s">
        <v>0</v>
      </c>
      <c r="AU995" s="1">
        <f t="shared" si="123"/>
        <v>0.20741571234083445</v>
      </c>
      <c r="AV995" s="1">
        <f t="shared" si="124"/>
        <v>0.1481540802434532</v>
      </c>
      <c r="AW995" s="1">
        <f t="shared" si="125"/>
        <v>8.8892448146071903E-2</v>
      </c>
    </row>
    <row r="996" spans="1:49" x14ac:dyDescent="0.2">
      <c r="A996">
        <v>994</v>
      </c>
      <c r="B996" t="s">
        <v>1779</v>
      </c>
      <c r="E996">
        <v>8459362</v>
      </c>
      <c r="F996" t="s">
        <v>1778</v>
      </c>
      <c r="G996" t="s">
        <v>15</v>
      </c>
      <c r="H996" t="s">
        <v>14</v>
      </c>
      <c r="I996" t="s">
        <v>1777</v>
      </c>
      <c r="N996">
        <v>1</v>
      </c>
      <c r="O996" t="s">
        <v>1776</v>
      </c>
      <c r="P996">
        <v>57217628593</v>
      </c>
      <c r="R996" s="7">
        <v>33970</v>
      </c>
      <c r="S996" s="8">
        <f t="shared" si="120"/>
        <v>1993</v>
      </c>
      <c r="T996" s="8">
        <v>1993</v>
      </c>
      <c r="U996" s="8">
        <f t="shared" si="121"/>
        <v>29</v>
      </c>
      <c r="V996" s="7">
        <v>33970</v>
      </c>
      <c r="W996" t="s">
        <v>1775</v>
      </c>
      <c r="X996" s="2" t="s">
        <v>0</v>
      </c>
      <c r="Y996" s="6" t="e">
        <f t="shared" si="126"/>
        <v>#VALUE!</v>
      </c>
      <c r="AA996">
        <v>8979685</v>
      </c>
      <c r="AB996">
        <v>64085</v>
      </c>
      <c r="AD996" t="s">
        <v>5</v>
      </c>
      <c r="AE996">
        <v>6</v>
      </c>
      <c r="AF996">
        <v>1</v>
      </c>
      <c r="AH996" t="s">
        <v>1774</v>
      </c>
      <c r="AL996">
        <v>0</v>
      </c>
      <c r="AM996" s="5">
        <f t="shared" si="122"/>
        <v>0</v>
      </c>
      <c r="AN996" s="4">
        <f t="shared" si="127"/>
        <v>0</v>
      </c>
      <c r="AO996" s="3"/>
      <c r="AP996">
        <v>0</v>
      </c>
      <c r="AR996" t="s">
        <v>1</v>
      </c>
      <c r="AT996" s="2" t="s">
        <v>0</v>
      </c>
      <c r="AU996" s="1" t="e">
        <f t="shared" si="123"/>
        <v>#VALUE!</v>
      </c>
      <c r="AV996" s="1" t="e">
        <f t="shared" si="124"/>
        <v>#VALUE!</v>
      </c>
      <c r="AW996" s="1" t="e">
        <f t="shared" si="125"/>
        <v>#VALUE!</v>
      </c>
    </row>
    <row r="997" spans="1:49" x14ac:dyDescent="0.2">
      <c r="A997">
        <v>995</v>
      </c>
      <c r="B997" t="s">
        <v>1773</v>
      </c>
      <c r="F997" t="s">
        <v>1772</v>
      </c>
      <c r="G997" t="s">
        <v>15</v>
      </c>
      <c r="H997" t="s">
        <v>14</v>
      </c>
      <c r="I997" t="s">
        <v>1771</v>
      </c>
      <c r="N997">
        <v>1</v>
      </c>
      <c r="O997" t="s">
        <v>1770</v>
      </c>
      <c r="P997">
        <v>6506922364</v>
      </c>
      <c r="R997" s="7">
        <v>33970</v>
      </c>
      <c r="S997" s="8">
        <f t="shared" si="120"/>
        <v>1993</v>
      </c>
      <c r="T997" s="8">
        <v>1993</v>
      </c>
      <c r="U997" s="8">
        <f t="shared" si="121"/>
        <v>29</v>
      </c>
      <c r="V997" s="7">
        <v>33970</v>
      </c>
      <c r="W997" t="s">
        <v>1769</v>
      </c>
      <c r="X997" s="2">
        <v>0.14099999999999999</v>
      </c>
      <c r="Y997" s="6">
        <f t="shared" si="126"/>
        <v>3.7639144710498915E-3</v>
      </c>
      <c r="AA997">
        <v>402508</v>
      </c>
      <c r="AB997">
        <v>20868</v>
      </c>
      <c r="AD997" t="s">
        <v>5</v>
      </c>
      <c r="AE997">
        <v>48</v>
      </c>
      <c r="AF997">
        <v>1</v>
      </c>
      <c r="AH997">
        <v>148</v>
      </c>
      <c r="AI997" t="s">
        <v>1768</v>
      </c>
      <c r="AK997" t="s">
        <v>1767</v>
      </c>
      <c r="AL997">
        <v>0</v>
      </c>
      <c r="AM997" s="5">
        <f t="shared" si="122"/>
        <v>0</v>
      </c>
      <c r="AN997" s="4">
        <f t="shared" si="127"/>
        <v>0</v>
      </c>
      <c r="AO997" s="3"/>
      <c r="AP997">
        <v>0</v>
      </c>
      <c r="AR997" t="s">
        <v>1</v>
      </c>
      <c r="AT997" s="2" t="s">
        <v>0</v>
      </c>
      <c r="AU997" s="1">
        <f t="shared" si="123"/>
        <v>0.26347401297349238</v>
      </c>
      <c r="AV997" s="1">
        <f t="shared" si="124"/>
        <v>0.18819572355249459</v>
      </c>
      <c r="AW997" s="1">
        <f t="shared" si="125"/>
        <v>0.11291743413149673</v>
      </c>
    </row>
    <row r="998" spans="1:49" x14ac:dyDescent="0.2">
      <c r="A998">
        <v>996</v>
      </c>
      <c r="B998" t="s">
        <v>1766</v>
      </c>
      <c r="C998" t="s">
        <v>1765</v>
      </c>
      <c r="F998" t="s">
        <v>1764</v>
      </c>
      <c r="G998" t="s">
        <v>15</v>
      </c>
      <c r="H998" t="s">
        <v>14</v>
      </c>
      <c r="I998" t="s">
        <v>1763</v>
      </c>
      <c r="J998">
        <v>60021208</v>
      </c>
      <c r="K998" t="s">
        <v>1762</v>
      </c>
      <c r="L998" t="s">
        <v>151</v>
      </c>
      <c r="M998" t="s">
        <v>150</v>
      </c>
      <c r="N998">
        <v>2</v>
      </c>
      <c r="O998" t="s">
        <v>1761</v>
      </c>
      <c r="P998" t="s">
        <v>1760</v>
      </c>
      <c r="Q998" t="s">
        <v>1759</v>
      </c>
      <c r="R998" s="7">
        <v>33970</v>
      </c>
      <c r="S998" s="8">
        <f t="shared" si="120"/>
        <v>1993</v>
      </c>
      <c r="T998" s="8">
        <v>1993</v>
      </c>
      <c r="U998" s="8">
        <f t="shared" si="121"/>
        <v>29</v>
      </c>
      <c r="V998" s="7">
        <v>1993</v>
      </c>
      <c r="W998" t="s">
        <v>1720</v>
      </c>
      <c r="X998" s="2">
        <v>0.111</v>
      </c>
      <c r="Y998" s="6">
        <f t="shared" si="126"/>
        <v>2.9630816048690639E-3</v>
      </c>
      <c r="AA998">
        <v>87566621</v>
      </c>
      <c r="AB998">
        <v>24890</v>
      </c>
      <c r="AC998">
        <v>15206424</v>
      </c>
      <c r="AD998" t="s">
        <v>5</v>
      </c>
      <c r="AE998">
        <v>76</v>
      </c>
      <c r="AF998">
        <v>1</v>
      </c>
      <c r="AH998" t="s">
        <v>1758</v>
      </c>
      <c r="AI998" t="s">
        <v>1757</v>
      </c>
      <c r="AJ998" t="s">
        <v>1756</v>
      </c>
      <c r="AK998" t="s">
        <v>1755</v>
      </c>
      <c r="AL998">
        <v>0</v>
      </c>
      <c r="AM998" s="5">
        <f t="shared" si="122"/>
        <v>0</v>
      </c>
      <c r="AN998" s="4">
        <f t="shared" si="127"/>
        <v>0</v>
      </c>
      <c r="AO998" s="3"/>
      <c r="AP998">
        <v>0</v>
      </c>
      <c r="AR998" t="s">
        <v>1</v>
      </c>
      <c r="AT998" s="2" t="s">
        <v>0</v>
      </c>
      <c r="AU998" s="1">
        <f t="shared" si="123"/>
        <v>0.20741571234083445</v>
      </c>
      <c r="AV998" s="1">
        <f t="shared" si="124"/>
        <v>0.1481540802434532</v>
      </c>
      <c r="AW998" s="1">
        <f t="shared" si="125"/>
        <v>8.8892448146071903E-2</v>
      </c>
    </row>
    <row r="999" spans="1:49" x14ac:dyDescent="0.2">
      <c r="A999">
        <v>997</v>
      </c>
      <c r="B999" t="s">
        <v>1754</v>
      </c>
      <c r="C999" t="s">
        <v>1753</v>
      </c>
      <c r="F999" t="s">
        <v>1752</v>
      </c>
      <c r="G999" t="s">
        <v>15</v>
      </c>
      <c r="H999" t="s">
        <v>14</v>
      </c>
      <c r="I999" t="s">
        <v>1751</v>
      </c>
      <c r="J999">
        <v>60011023</v>
      </c>
      <c r="K999" t="s">
        <v>1750</v>
      </c>
      <c r="L999" t="s">
        <v>1749</v>
      </c>
      <c r="M999" t="s">
        <v>576</v>
      </c>
      <c r="N999">
        <v>1</v>
      </c>
      <c r="O999" t="s">
        <v>1748</v>
      </c>
      <c r="P999">
        <v>7402635385</v>
      </c>
      <c r="Q999">
        <v>60011023</v>
      </c>
      <c r="R999" s="7">
        <v>33970</v>
      </c>
      <c r="S999" s="8">
        <f t="shared" si="120"/>
        <v>1993</v>
      </c>
      <c r="T999" s="8">
        <v>1993</v>
      </c>
      <c r="U999" s="8">
        <f t="shared" si="121"/>
        <v>29</v>
      </c>
      <c r="V999" s="7" t="s">
        <v>1747</v>
      </c>
      <c r="W999" t="s">
        <v>1746</v>
      </c>
      <c r="X999" s="2">
        <v>0.218</v>
      </c>
      <c r="Y999" s="6">
        <f t="shared" si="126"/>
        <v>5.8193854942473512E-3</v>
      </c>
      <c r="AA999">
        <v>3772063</v>
      </c>
      <c r="AB999">
        <v>130012</v>
      </c>
      <c r="AD999" t="s">
        <v>5</v>
      </c>
      <c r="AE999">
        <v>39</v>
      </c>
      <c r="AF999">
        <v>1</v>
      </c>
      <c r="AH999" t="s">
        <v>1745</v>
      </c>
      <c r="AI999" t="s">
        <v>1744</v>
      </c>
      <c r="AK999" t="s">
        <v>1743</v>
      </c>
      <c r="AL999">
        <v>1</v>
      </c>
      <c r="AM999" s="5">
        <f t="shared" si="122"/>
        <v>3.4482758620689655E-2</v>
      </c>
      <c r="AN999" s="4">
        <f t="shared" si="127"/>
        <v>5.2226821083967674E-5</v>
      </c>
      <c r="AO999" s="3"/>
      <c r="AP999">
        <v>0</v>
      </c>
      <c r="AR999" t="s">
        <v>1</v>
      </c>
      <c r="AT999" s="2">
        <v>2.3330000000000002</v>
      </c>
      <c r="AU999" s="1">
        <f t="shared" si="123"/>
        <v>0.40892378922983358</v>
      </c>
      <c r="AV999" s="1">
        <f t="shared" si="124"/>
        <v>0.29358061576656597</v>
      </c>
      <c r="AW999" s="1">
        <f t="shared" si="125"/>
        <v>0.17823744230329827</v>
      </c>
    </row>
    <row r="1000" spans="1:49" x14ac:dyDescent="0.2">
      <c r="A1000">
        <v>998</v>
      </c>
      <c r="B1000" t="s">
        <v>1742</v>
      </c>
      <c r="F1000" t="s">
        <v>1741</v>
      </c>
      <c r="G1000" t="s">
        <v>15</v>
      </c>
      <c r="H1000" t="s">
        <v>14</v>
      </c>
      <c r="I1000" t="s">
        <v>1740</v>
      </c>
      <c r="J1000">
        <v>60019967</v>
      </c>
      <c r="K1000" t="s">
        <v>1739</v>
      </c>
      <c r="L1000" t="s">
        <v>1738</v>
      </c>
      <c r="M1000" t="s">
        <v>508</v>
      </c>
      <c r="N1000">
        <v>2</v>
      </c>
      <c r="O1000" t="s">
        <v>1737</v>
      </c>
      <c r="P1000" t="s">
        <v>1736</v>
      </c>
      <c r="Q1000" t="s">
        <v>1735</v>
      </c>
      <c r="R1000" s="7">
        <v>33970</v>
      </c>
      <c r="S1000" s="8">
        <f t="shared" si="120"/>
        <v>1993</v>
      </c>
      <c r="T1000" s="8">
        <v>1993</v>
      </c>
      <c r="U1000" s="8">
        <f t="shared" si="121"/>
        <v>29</v>
      </c>
      <c r="V1000" s="7">
        <v>33970</v>
      </c>
      <c r="W1000" t="s">
        <v>1734</v>
      </c>
      <c r="X1000" s="2" t="s">
        <v>0</v>
      </c>
      <c r="Y1000" s="6" t="e">
        <f t="shared" si="126"/>
        <v>#VALUE!</v>
      </c>
      <c r="AA1000" t="s">
        <v>1733</v>
      </c>
      <c r="AB1000">
        <v>37743</v>
      </c>
      <c r="AD1000" t="s">
        <v>5</v>
      </c>
      <c r="AE1000">
        <v>35</v>
      </c>
      <c r="AF1000">
        <v>1</v>
      </c>
      <c r="AH1000" t="s">
        <v>1732</v>
      </c>
      <c r="AI1000" t="s">
        <v>1731</v>
      </c>
      <c r="AK1000" t="s">
        <v>1730</v>
      </c>
      <c r="AL1000">
        <v>0</v>
      </c>
      <c r="AM1000" s="5">
        <f t="shared" si="122"/>
        <v>0</v>
      </c>
      <c r="AN1000" s="4">
        <f t="shared" si="127"/>
        <v>0</v>
      </c>
      <c r="AO1000" s="3"/>
      <c r="AP1000">
        <v>0</v>
      </c>
      <c r="AR1000" t="s">
        <v>1</v>
      </c>
      <c r="AT1000" s="2" t="s">
        <v>0</v>
      </c>
      <c r="AU1000" s="1" t="e">
        <f t="shared" si="123"/>
        <v>#VALUE!</v>
      </c>
      <c r="AV1000" s="1" t="e">
        <f t="shared" si="124"/>
        <v>#VALUE!</v>
      </c>
      <c r="AW1000" s="1" t="e">
        <f t="shared" si="125"/>
        <v>#VALUE!</v>
      </c>
    </row>
    <row r="1001" spans="1:49" x14ac:dyDescent="0.2">
      <c r="A1001">
        <v>999</v>
      </c>
      <c r="B1001" t="s">
        <v>1729</v>
      </c>
      <c r="C1001" t="s">
        <v>1728</v>
      </c>
      <c r="F1001" t="s">
        <v>1727</v>
      </c>
      <c r="G1001" t="s">
        <v>15</v>
      </c>
      <c r="H1001" t="s">
        <v>14</v>
      </c>
      <c r="I1001" t="s">
        <v>1726</v>
      </c>
      <c r="J1001">
        <v>60011846</v>
      </c>
      <c r="K1001" t="s">
        <v>1725</v>
      </c>
      <c r="L1001" t="s">
        <v>1724</v>
      </c>
      <c r="M1001" t="s">
        <v>150</v>
      </c>
      <c r="N1001">
        <v>4</v>
      </c>
      <c r="O1001" t="s">
        <v>1723</v>
      </c>
      <c r="P1001" t="s">
        <v>1722</v>
      </c>
      <c r="Q1001" t="s">
        <v>1721</v>
      </c>
      <c r="R1001" s="7">
        <v>33970</v>
      </c>
      <c r="S1001" s="8">
        <f t="shared" si="120"/>
        <v>1993</v>
      </c>
      <c r="T1001" s="8">
        <v>1993</v>
      </c>
      <c r="U1001" s="8">
        <f t="shared" si="121"/>
        <v>29</v>
      </c>
      <c r="V1001" s="7">
        <v>1993</v>
      </c>
      <c r="W1001" t="s">
        <v>1720</v>
      </c>
      <c r="X1001" s="2">
        <v>0.111</v>
      </c>
      <c r="Y1001" s="6">
        <f t="shared" si="126"/>
        <v>2.9630816048690639E-3</v>
      </c>
      <c r="AA1001">
        <v>87566621</v>
      </c>
      <c r="AB1001">
        <v>24890</v>
      </c>
      <c r="AC1001">
        <v>15206424</v>
      </c>
      <c r="AD1001" t="s">
        <v>5</v>
      </c>
      <c r="AE1001">
        <v>76</v>
      </c>
      <c r="AF1001">
        <v>1</v>
      </c>
      <c r="AH1001" t="s">
        <v>1719</v>
      </c>
      <c r="AI1001" t="s">
        <v>1718</v>
      </c>
      <c r="AJ1001" t="s">
        <v>1717</v>
      </c>
      <c r="AK1001" t="s">
        <v>1716</v>
      </c>
      <c r="AL1001">
        <v>0</v>
      </c>
      <c r="AM1001" s="5">
        <f t="shared" si="122"/>
        <v>0</v>
      </c>
      <c r="AN1001" s="4">
        <f t="shared" si="127"/>
        <v>0</v>
      </c>
      <c r="AO1001" s="3"/>
      <c r="AP1001">
        <v>0</v>
      </c>
      <c r="AR1001" t="s">
        <v>1</v>
      </c>
      <c r="AT1001" s="2" t="s">
        <v>0</v>
      </c>
      <c r="AU1001" s="1">
        <f t="shared" si="123"/>
        <v>0.20741571234083445</v>
      </c>
      <c r="AV1001" s="1">
        <f t="shared" si="124"/>
        <v>0.1481540802434532</v>
      </c>
      <c r="AW1001" s="1">
        <f t="shared" si="125"/>
        <v>8.8892448146071903E-2</v>
      </c>
    </row>
    <row r="1002" spans="1:49" x14ac:dyDescent="0.2">
      <c r="A1002">
        <v>1000</v>
      </c>
      <c r="B1002" t="s">
        <v>1715</v>
      </c>
      <c r="F1002" t="s">
        <v>1714</v>
      </c>
      <c r="G1002" t="s">
        <v>15</v>
      </c>
      <c r="H1002" t="s">
        <v>14</v>
      </c>
      <c r="I1002" t="s">
        <v>1713</v>
      </c>
      <c r="J1002">
        <v>60032325</v>
      </c>
      <c r="K1002" t="s">
        <v>1712</v>
      </c>
      <c r="L1002" t="s">
        <v>1711</v>
      </c>
      <c r="M1002" t="s">
        <v>150</v>
      </c>
      <c r="N1002">
        <v>3</v>
      </c>
      <c r="O1002" t="s">
        <v>1710</v>
      </c>
      <c r="P1002" t="s">
        <v>1709</v>
      </c>
      <c r="Q1002" t="s">
        <v>1708</v>
      </c>
      <c r="R1002" s="7">
        <v>33970</v>
      </c>
      <c r="S1002" s="8">
        <f t="shared" si="120"/>
        <v>1993</v>
      </c>
      <c r="T1002" s="8">
        <v>1993</v>
      </c>
      <c r="U1002" s="8">
        <f t="shared" si="121"/>
        <v>29</v>
      </c>
      <c r="V1002" s="7">
        <v>33970</v>
      </c>
      <c r="W1002" t="s">
        <v>1707</v>
      </c>
      <c r="X1002" s="2">
        <v>0.21099999999999999</v>
      </c>
      <c r="Y1002" s="6">
        <f t="shared" si="126"/>
        <v>5.6325244921384904E-3</v>
      </c>
      <c r="AA1002">
        <v>9168516</v>
      </c>
      <c r="AB1002">
        <v>18936</v>
      </c>
      <c r="AD1002" t="s">
        <v>5</v>
      </c>
      <c r="AE1002" t="s">
        <v>1706</v>
      </c>
      <c r="AF1002">
        <v>1</v>
      </c>
      <c r="AH1002" t="s">
        <v>547</v>
      </c>
      <c r="AI1002" t="s">
        <v>1705</v>
      </c>
      <c r="AK1002" t="s">
        <v>1704</v>
      </c>
      <c r="AL1002">
        <v>5</v>
      </c>
      <c r="AM1002" s="5">
        <f t="shared" si="122"/>
        <v>0.17241379310344829</v>
      </c>
      <c r="AN1002" s="4">
        <f t="shared" si="127"/>
        <v>2.6113410541983838E-4</v>
      </c>
      <c r="AO1002" s="3"/>
      <c r="AP1002">
        <v>0</v>
      </c>
      <c r="AR1002" t="s">
        <v>1</v>
      </c>
      <c r="AT1002" s="2">
        <v>0.52500000000000002</v>
      </c>
      <c r="AU1002" s="1">
        <f t="shared" si="123"/>
        <v>0.40211073761228944</v>
      </c>
      <c r="AV1002" s="1">
        <f t="shared" si="124"/>
        <v>0.29468292987791644</v>
      </c>
      <c r="AW1002" s="1">
        <f t="shared" si="125"/>
        <v>0.1872551221435434</v>
      </c>
    </row>
    <row r="1003" spans="1:49" x14ac:dyDescent="0.2">
      <c r="A1003">
        <v>1001</v>
      </c>
      <c r="B1003" t="s">
        <v>1703</v>
      </c>
      <c r="C1003" t="s">
        <v>1702</v>
      </c>
      <c r="D1003" t="s">
        <v>1701</v>
      </c>
      <c r="F1003" t="s">
        <v>1700</v>
      </c>
      <c r="G1003" t="s">
        <v>15</v>
      </c>
      <c r="H1003" t="s">
        <v>14</v>
      </c>
      <c r="I1003" t="s">
        <v>1699</v>
      </c>
      <c r="J1003">
        <v>60032318</v>
      </c>
      <c r="K1003" t="s">
        <v>1698</v>
      </c>
      <c r="L1003" t="s">
        <v>1697</v>
      </c>
      <c r="M1003" t="s">
        <v>10</v>
      </c>
      <c r="N1003">
        <v>1</v>
      </c>
      <c r="O1003" t="s">
        <v>1696</v>
      </c>
      <c r="P1003">
        <v>7401516165</v>
      </c>
      <c r="Q1003">
        <v>60032318</v>
      </c>
      <c r="R1003" s="7">
        <v>33970</v>
      </c>
      <c r="S1003" s="8">
        <f t="shared" si="120"/>
        <v>1993</v>
      </c>
      <c r="T1003" s="8">
        <v>1993</v>
      </c>
      <c r="U1003" s="8">
        <f t="shared" si="121"/>
        <v>29</v>
      </c>
      <c r="V1003" s="7">
        <v>34121</v>
      </c>
      <c r="W1003" t="s">
        <v>1695</v>
      </c>
      <c r="X1003" s="2">
        <v>2.96</v>
      </c>
      <c r="Y1003" s="6">
        <f t="shared" si="126"/>
        <v>7.9015509463175038E-2</v>
      </c>
      <c r="AA1003">
        <v>9242716</v>
      </c>
      <c r="AB1003">
        <v>29161</v>
      </c>
      <c r="AD1003" t="s">
        <v>5</v>
      </c>
      <c r="AE1003">
        <v>48</v>
      </c>
      <c r="AF1003">
        <v>3</v>
      </c>
      <c r="AH1003" s="10">
        <v>45261</v>
      </c>
      <c r="AI1003" t="s">
        <v>1694</v>
      </c>
      <c r="AK1003" t="s">
        <v>1693</v>
      </c>
      <c r="AL1003">
        <v>21</v>
      </c>
      <c r="AM1003" s="5">
        <f t="shared" si="122"/>
        <v>0.72413793103448276</v>
      </c>
      <c r="AN1003" s="4">
        <f t="shared" si="127"/>
        <v>1.0967632427633211E-3</v>
      </c>
      <c r="AO1003" s="3"/>
      <c r="AP1003">
        <v>0</v>
      </c>
      <c r="AR1003" t="s">
        <v>1</v>
      </c>
      <c r="AT1003" s="2" t="s">
        <v>0</v>
      </c>
      <c r="AU1003" s="1">
        <f t="shared" si="123"/>
        <v>5.5639885597051508</v>
      </c>
      <c r="AV1003" s="1">
        <f t="shared" si="124"/>
        <v>4.0056136352969185</v>
      </c>
      <c r="AW1003" s="1">
        <f t="shared" si="125"/>
        <v>2.4472387108886835</v>
      </c>
    </row>
    <row r="1004" spans="1:49" x14ac:dyDescent="0.2">
      <c r="A1004">
        <v>1002</v>
      </c>
      <c r="B1004" t="s">
        <v>1692</v>
      </c>
      <c r="C1004" t="s">
        <v>1691</v>
      </c>
      <c r="F1004" t="s">
        <v>1690</v>
      </c>
      <c r="G1004" t="s">
        <v>15</v>
      </c>
      <c r="H1004" t="s">
        <v>14</v>
      </c>
      <c r="I1004" t="s">
        <v>1689</v>
      </c>
      <c r="J1004">
        <v>60121579</v>
      </c>
      <c r="K1004" t="s">
        <v>619</v>
      </c>
      <c r="L1004" t="s">
        <v>618</v>
      </c>
      <c r="M1004" t="s">
        <v>10</v>
      </c>
      <c r="N1004">
        <v>1</v>
      </c>
      <c r="O1004" t="s">
        <v>1688</v>
      </c>
      <c r="P1004">
        <v>7006920413</v>
      </c>
      <c r="Q1004">
        <v>60121579</v>
      </c>
      <c r="R1004" s="7">
        <v>33970</v>
      </c>
      <c r="S1004" s="8">
        <f t="shared" si="120"/>
        <v>1993</v>
      </c>
      <c r="T1004" s="8">
        <v>1993</v>
      </c>
      <c r="U1004" s="8">
        <f t="shared" si="121"/>
        <v>29</v>
      </c>
      <c r="V1004" s="7">
        <v>33970</v>
      </c>
      <c r="W1004" t="s">
        <v>1687</v>
      </c>
      <c r="X1004" s="2">
        <v>0.752</v>
      </c>
      <c r="Y1004" s="6">
        <f t="shared" si="126"/>
        <v>2.0074210512266089E-2</v>
      </c>
      <c r="AA1004">
        <v>3649059</v>
      </c>
      <c r="AB1004">
        <v>17277</v>
      </c>
      <c r="AC1004">
        <v>15581691</v>
      </c>
      <c r="AD1004" t="s">
        <v>5</v>
      </c>
      <c r="AE1004">
        <v>18</v>
      </c>
      <c r="AF1004">
        <v>1</v>
      </c>
      <c r="AH1004" t="s">
        <v>1686</v>
      </c>
      <c r="AI1004" t="s">
        <v>1685</v>
      </c>
      <c r="AK1004" t="s">
        <v>1684</v>
      </c>
      <c r="AL1004">
        <v>3</v>
      </c>
      <c r="AM1004" s="5">
        <f t="shared" si="122"/>
        <v>0.10344827586206896</v>
      </c>
      <c r="AN1004" s="4">
        <f t="shared" si="127"/>
        <v>1.5668046325190301E-4</v>
      </c>
      <c r="AO1004" s="3"/>
      <c r="AP1004">
        <v>0</v>
      </c>
      <c r="AQ1004" t="s">
        <v>1358</v>
      </c>
      <c r="AR1004" t="s">
        <v>1683</v>
      </c>
      <c r="AS1004" t="s">
        <v>1356</v>
      </c>
      <c r="AT1004" s="2">
        <v>3.5539999999999998</v>
      </c>
      <c r="AU1004" s="1">
        <f t="shared" si="123"/>
        <v>1.4098951497561831</v>
      </c>
      <c r="AV1004" s="1">
        <f t="shared" si="124"/>
        <v>1.0115445487758996</v>
      </c>
      <c r="AW1004" s="1">
        <f t="shared" si="125"/>
        <v>0.61319394779561587</v>
      </c>
    </row>
    <row r="1005" spans="1:49" x14ac:dyDescent="0.2">
      <c r="A1005">
        <v>1003</v>
      </c>
      <c r="B1005" t="s">
        <v>1682</v>
      </c>
      <c r="C1005" t="s">
        <v>1681</v>
      </c>
      <c r="F1005" t="s">
        <v>1680</v>
      </c>
      <c r="G1005" t="s">
        <v>15</v>
      </c>
      <c r="H1005" t="s">
        <v>14</v>
      </c>
      <c r="I1005" t="s">
        <v>1679</v>
      </c>
      <c r="J1005">
        <v>100344509</v>
      </c>
      <c r="K1005" t="s">
        <v>1678</v>
      </c>
      <c r="L1005" t="s">
        <v>1677</v>
      </c>
      <c r="M1005" t="s">
        <v>10</v>
      </c>
      <c r="N1005">
        <v>4</v>
      </c>
      <c r="O1005" t="s">
        <v>1676</v>
      </c>
      <c r="P1005" t="s">
        <v>1675</v>
      </c>
      <c r="Q1005" t="s">
        <v>1674</v>
      </c>
      <c r="R1005" s="7">
        <v>33970</v>
      </c>
      <c r="S1005" s="8">
        <f t="shared" si="120"/>
        <v>1993</v>
      </c>
      <c r="T1005" s="8">
        <v>1993</v>
      </c>
      <c r="U1005" s="8">
        <f t="shared" si="121"/>
        <v>29</v>
      </c>
      <c r="V1005" s="7">
        <v>34029</v>
      </c>
      <c r="W1005" t="s">
        <v>1673</v>
      </c>
      <c r="X1005" s="2">
        <v>0.58799999999999997</v>
      </c>
      <c r="Y1005" s="6">
        <f t="shared" si="126"/>
        <v>1.5696324177144231E-2</v>
      </c>
      <c r="AA1005">
        <v>7339453</v>
      </c>
      <c r="AB1005">
        <v>16307</v>
      </c>
      <c r="AD1005" t="s">
        <v>5</v>
      </c>
      <c r="AE1005">
        <v>119</v>
      </c>
      <c r="AF1005">
        <v>1</v>
      </c>
      <c r="AH1005" t="s">
        <v>1672</v>
      </c>
      <c r="AI1005" t="s">
        <v>1671</v>
      </c>
      <c r="AK1005" t="s">
        <v>1670</v>
      </c>
      <c r="AL1005">
        <v>3</v>
      </c>
      <c r="AM1005" s="5">
        <f t="shared" si="122"/>
        <v>0.10344827586206896</v>
      </c>
      <c r="AN1005" s="4">
        <f t="shared" si="127"/>
        <v>1.5668046325190301E-4</v>
      </c>
      <c r="AO1005" s="3"/>
      <c r="AP1005">
        <v>0</v>
      </c>
      <c r="AR1005" t="s">
        <v>1</v>
      </c>
      <c r="AT1005" s="2">
        <v>2.1840000000000002</v>
      </c>
      <c r="AU1005" s="1">
        <f t="shared" si="123"/>
        <v>1.1034431062976531</v>
      </c>
      <c r="AV1005" s="1">
        <f t="shared" si="124"/>
        <v>0.79265023201980667</v>
      </c>
      <c r="AW1005" s="1">
        <f t="shared" si="125"/>
        <v>0.48185735774196015</v>
      </c>
    </row>
    <row r="1006" spans="1:49" x14ac:dyDescent="0.2">
      <c r="A1006">
        <v>1004</v>
      </c>
      <c r="B1006" t="s">
        <v>1669</v>
      </c>
      <c r="C1006" t="s">
        <v>1668</v>
      </c>
      <c r="F1006" t="s">
        <v>1667</v>
      </c>
      <c r="G1006" t="s">
        <v>15</v>
      </c>
      <c r="H1006" t="s">
        <v>14</v>
      </c>
      <c r="I1006" t="s">
        <v>1666</v>
      </c>
      <c r="J1006" t="s">
        <v>1665</v>
      </c>
      <c r="K1006" t="s">
        <v>1664</v>
      </c>
      <c r="L1006" t="s">
        <v>1663</v>
      </c>
      <c r="M1006" t="s">
        <v>1662</v>
      </c>
      <c r="N1006">
        <v>3</v>
      </c>
      <c r="O1006" t="s">
        <v>1661</v>
      </c>
      <c r="P1006" t="s">
        <v>1660</v>
      </c>
      <c r="Q1006" t="s">
        <v>1659</v>
      </c>
      <c r="R1006" s="7">
        <v>33970</v>
      </c>
      <c r="S1006" s="8">
        <f t="shared" si="120"/>
        <v>1993</v>
      </c>
      <c r="T1006" s="8">
        <v>1993</v>
      </c>
      <c r="U1006" s="8">
        <f t="shared" si="121"/>
        <v>29</v>
      </c>
      <c r="V1006" s="7">
        <v>34060</v>
      </c>
      <c r="W1006" t="s">
        <v>1658</v>
      </c>
      <c r="X1006" s="2" t="s">
        <v>0</v>
      </c>
      <c r="Y1006" s="6" t="e">
        <f t="shared" si="126"/>
        <v>#VALUE!</v>
      </c>
      <c r="AA1006" t="s">
        <v>1657</v>
      </c>
      <c r="AB1006">
        <v>32565</v>
      </c>
      <c r="AD1006" t="s">
        <v>5</v>
      </c>
      <c r="AE1006">
        <v>119</v>
      </c>
      <c r="AF1006">
        <v>4</v>
      </c>
      <c r="AH1006" t="s">
        <v>1656</v>
      </c>
      <c r="AI1006" t="s">
        <v>1655</v>
      </c>
      <c r="AK1006" t="s">
        <v>1654</v>
      </c>
      <c r="AL1006">
        <v>25</v>
      </c>
      <c r="AM1006" s="5">
        <f t="shared" si="122"/>
        <v>0.86206896551724133</v>
      </c>
      <c r="AN1006" s="4">
        <f t="shared" si="127"/>
        <v>1.3056705270991916E-3</v>
      </c>
      <c r="AO1006" s="3"/>
      <c r="AP1006">
        <v>0</v>
      </c>
      <c r="AR1006" t="s">
        <v>1</v>
      </c>
      <c r="AT1006" s="2" t="s">
        <v>0</v>
      </c>
      <c r="AU1006" s="1" t="e">
        <f t="shared" si="123"/>
        <v>#VALUE!</v>
      </c>
      <c r="AV1006" s="1" t="e">
        <f t="shared" si="124"/>
        <v>#VALUE!</v>
      </c>
      <c r="AW1006" s="1" t="e">
        <f t="shared" si="125"/>
        <v>#VALUE!</v>
      </c>
    </row>
    <row r="1007" spans="1:49" x14ac:dyDescent="0.2">
      <c r="A1007">
        <v>1005</v>
      </c>
      <c r="B1007" t="s">
        <v>1653</v>
      </c>
      <c r="C1007" t="s">
        <v>1652</v>
      </c>
      <c r="F1007" t="s">
        <v>1651</v>
      </c>
      <c r="G1007" t="s">
        <v>15</v>
      </c>
      <c r="H1007" t="s">
        <v>14</v>
      </c>
      <c r="I1007" t="s">
        <v>1650</v>
      </c>
      <c r="J1007">
        <v>60014652</v>
      </c>
      <c r="K1007" t="s">
        <v>1649</v>
      </c>
      <c r="L1007" t="s">
        <v>1648</v>
      </c>
      <c r="M1007" t="s">
        <v>150</v>
      </c>
      <c r="N1007">
        <v>1</v>
      </c>
      <c r="O1007" t="s">
        <v>1647</v>
      </c>
      <c r="P1007">
        <v>56187707000</v>
      </c>
      <c r="Q1007">
        <v>60014652</v>
      </c>
      <c r="R1007" s="7">
        <v>33970</v>
      </c>
      <c r="S1007" s="8">
        <f t="shared" si="120"/>
        <v>1993</v>
      </c>
      <c r="T1007" s="8">
        <v>1993</v>
      </c>
      <c r="U1007" s="8">
        <f t="shared" si="121"/>
        <v>29</v>
      </c>
      <c r="V1007" s="7" t="s">
        <v>1646</v>
      </c>
      <c r="W1007" t="s">
        <v>148</v>
      </c>
      <c r="X1007" s="2">
        <v>0.51100000000000001</v>
      </c>
      <c r="Y1007" s="6">
        <f t="shared" si="126"/>
        <v>1.3640853153946772E-2</v>
      </c>
      <c r="AA1007">
        <v>222933</v>
      </c>
      <c r="AB1007">
        <v>29630</v>
      </c>
      <c r="AC1007">
        <v>14645262</v>
      </c>
      <c r="AD1007" t="s">
        <v>5</v>
      </c>
      <c r="AE1007">
        <v>27</v>
      </c>
      <c r="AF1007">
        <v>6</v>
      </c>
      <c r="AH1007" t="s">
        <v>1645</v>
      </c>
      <c r="AI1007" t="s">
        <v>1644</v>
      </c>
      <c r="AJ1007" t="s">
        <v>1643</v>
      </c>
      <c r="AK1007" t="s">
        <v>1642</v>
      </c>
      <c r="AL1007">
        <v>38</v>
      </c>
      <c r="AM1007" s="5">
        <f t="shared" si="122"/>
        <v>1.3103448275862069</v>
      </c>
      <c r="AN1007" s="4">
        <f t="shared" si="127"/>
        <v>1.9846192011907715E-3</v>
      </c>
      <c r="AO1007" s="3"/>
      <c r="AP1007">
        <v>0</v>
      </c>
      <c r="AR1007">
        <v>2041033</v>
      </c>
      <c r="AS1007" t="s">
        <v>1641</v>
      </c>
      <c r="AT1007" s="2">
        <v>1.016</v>
      </c>
      <c r="AU1007" s="1">
        <f t="shared" si="123"/>
        <v>1.0143982968119971</v>
      </c>
      <c r="AV1007" s="1">
        <f t="shared" si="124"/>
        <v>0.78127361775687709</v>
      </c>
      <c r="AW1007" s="1">
        <f t="shared" si="125"/>
        <v>0.54814893870175718</v>
      </c>
    </row>
    <row r="1008" spans="1:49" x14ac:dyDescent="0.2">
      <c r="A1008">
        <v>1006</v>
      </c>
      <c r="B1008" t="s">
        <v>1640</v>
      </c>
      <c r="C1008" t="s">
        <v>1639</v>
      </c>
      <c r="E1008">
        <v>8515145</v>
      </c>
      <c r="F1008" t="s">
        <v>1638</v>
      </c>
      <c r="G1008" t="s">
        <v>15</v>
      </c>
      <c r="H1008" t="s">
        <v>14</v>
      </c>
      <c r="I1008" t="s">
        <v>1637</v>
      </c>
      <c r="J1008" t="s">
        <v>1521</v>
      </c>
      <c r="K1008" t="s">
        <v>1520</v>
      </c>
      <c r="L1008" t="s">
        <v>1519</v>
      </c>
      <c r="M1008" t="s">
        <v>1518</v>
      </c>
      <c r="N1008">
        <v>8</v>
      </c>
      <c r="O1008" t="s">
        <v>1636</v>
      </c>
      <c r="P1008" t="s">
        <v>1635</v>
      </c>
      <c r="Q1008" t="s">
        <v>1634</v>
      </c>
      <c r="R1008" s="7">
        <v>33970</v>
      </c>
      <c r="S1008" s="8">
        <f t="shared" si="120"/>
        <v>1993</v>
      </c>
      <c r="T1008" s="8">
        <v>1993</v>
      </c>
      <c r="U1008" s="8">
        <f t="shared" si="121"/>
        <v>29</v>
      </c>
      <c r="V1008" s="7">
        <v>1993</v>
      </c>
      <c r="W1008" t="s">
        <v>701</v>
      </c>
      <c r="X1008" s="2">
        <v>0.89600000000000002</v>
      </c>
      <c r="Y1008" s="6">
        <f t="shared" si="126"/>
        <v>2.3918208269934065E-2</v>
      </c>
      <c r="AA1008">
        <v>2656736</v>
      </c>
      <c r="AB1008">
        <v>29901</v>
      </c>
      <c r="AD1008" t="s">
        <v>5</v>
      </c>
      <c r="AE1008">
        <v>9</v>
      </c>
      <c r="AF1008">
        <v>3</v>
      </c>
      <c r="AH1008" t="s">
        <v>1633</v>
      </c>
      <c r="AI1008" t="s">
        <v>1632</v>
      </c>
      <c r="AJ1008" t="s">
        <v>1631</v>
      </c>
      <c r="AK1008" t="s">
        <v>1630</v>
      </c>
      <c r="AL1008">
        <v>11</v>
      </c>
      <c r="AM1008" s="5">
        <f t="shared" si="122"/>
        <v>0.37931034482758619</v>
      </c>
      <c r="AN1008" s="4">
        <f t="shared" si="127"/>
        <v>5.7449503192364435E-4</v>
      </c>
      <c r="AO1008" s="3"/>
      <c r="AP1008">
        <v>0</v>
      </c>
      <c r="AR1008" t="s">
        <v>1</v>
      </c>
      <c r="AT1008" s="2">
        <v>3.9140000000000001</v>
      </c>
      <c r="AU1008" s="1">
        <f t="shared" si="123"/>
        <v>1.6915094298530935</v>
      </c>
      <c r="AV1008" s="1">
        <f t="shared" si="124"/>
        <v>1.2246351650928855</v>
      </c>
      <c r="AW1008" s="1">
        <f t="shared" si="125"/>
        <v>0.75776090033267707</v>
      </c>
    </row>
    <row r="1009" spans="1:49" x14ac:dyDescent="0.2">
      <c r="A1009">
        <v>1007</v>
      </c>
      <c r="B1009" t="s">
        <v>1629</v>
      </c>
      <c r="C1009" t="s">
        <v>1628</v>
      </c>
      <c r="E1009">
        <v>8409976</v>
      </c>
      <c r="F1009" t="s">
        <v>1627</v>
      </c>
      <c r="G1009" t="s">
        <v>15</v>
      </c>
      <c r="H1009" t="s">
        <v>14</v>
      </c>
      <c r="I1009" t="s">
        <v>1626</v>
      </c>
      <c r="J1009">
        <v>60023324</v>
      </c>
      <c r="K1009" t="s">
        <v>1625</v>
      </c>
      <c r="L1009" t="s">
        <v>1428</v>
      </c>
      <c r="M1009" t="s">
        <v>10</v>
      </c>
      <c r="N1009">
        <v>2</v>
      </c>
      <c r="O1009" t="s">
        <v>1624</v>
      </c>
      <c r="P1009" t="s">
        <v>1623</v>
      </c>
      <c r="Q1009" t="s">
        <v>1622</v>
      </c>
      <c r="R1009" s="7">
        <v>33970</v>
      </c>
      <c r="S1009" s="8">
        <f t="shared" si="120"/>
        <v>1993</v>
      </c>
      <c r="T1009" s="8">
        <v>1993</v>
      </c>
      <c r="U1009" s="8">
        <f t="shared" si="121"/>
        <v>29</v>
      </c>
      <c r="V1009" s="7">
        <v>34213</v>
      </c>
      <c r="W1009" t="s">
        <v>1621</v>
      </c>
      <c r="X1009" s="2" t="s">
        <v>0</v>
      </c>
      <c r="Y1009" s="6" t="e">
        <f t="shared" si="126"/>
        <v>#VALUE!</v>
      </c>
      <c r="AA1009">
        <v>223034</v>
      </c>
      <c r="AB1009">
        <v>23463</v>
      </c>
      <c r="AC1009">
        <v>10974695</v>
      </c>
      <c r="AD1009" t="s">
        <v>5</v>
      </c>
      <c r="AE1009">
        <v>24</v>
      </c>
      <c r="AF1009">
        <v>9</v>
      </c>
      <c r="AH1009" t="s">
        <v>1620</v>
      </c>
      <c r="AI1009" t="s">
        <v>1619</v>
      </c>
      <c r="AJ1009" t="s">
        <v>1618</v>
      </c>
      <c r="AK1009" t="s">
        <v>1617</v>
      </c>
      <c r="AL1009">
        <v>34</v>
      </c>
      <c r="AM1009" s="5">
        <f t="shared" si="122"/>
        <v>1.1724137931034482</v>
      </c>
      <c r="AN1009" s="4">
        <f t="shared" si="127"/>
        <v>1.7757119168549007E-3</v>
      </c>
      <c r="AO1009" s="3"/>
      <c r="AP1009">
        <v>0</v>
      </c>
      <c r="AQ1009" t="s">
        <v>1616</v>
      </c>
      <c r="AR1009" t="s">
        <v>1615</v>
      </c>
      <c r="AS1009" t="s">
        <v>1614</v>
      </c>
      <c r="AT1009" s="2" t="s">
        <v>0</v>
      </c>
      <c r="AU1009" s="1" t="e">
        <f t="shared" si="123"/>
        <v>#VALUE!</v>
      </c>
      <c r="AV1009" s="1" t="e">
        <f t="shared" si="124"/>
        <v>#VALUE!</v>
      </c>
      <c r="AW1009" s="1" t="e">
        <f t="shared" si="125"/>
        <v>#VALUE!</v>
      </c>
    </row>
    <row r="1010" spans="1:49" x14ac:dyDescent="0.2">
      <c r="A1010">
        <v>1008</v>
      </c>
      <c r="B1010" t="s">
        <v>1613</v>
      </c>
      <c r="C1010" t="s">
        <v>1612</v>
      </c>
      <c r="D1010" t="s">
        <v>1611</v>
      </c>
      <c r="E1010">
        <v>8519144</v>
      </c>
      <c r="F1010" t="s">
        <v>1610</v>
      </c>
      <c r="G1010" t="s">
        <v>15</v>
      </c>
      <c r="H1010" t="s">
        <v>14</v>
      </c>
      <c r="I1010" t="s">
        <v>1609</v>
      </c>
      <c r="J1010">
        <v>60030816</v>
      </c>
      <c r="K1010" t="s">
        <v>1608</v>
      </c>
      <c r="L1010" t="s">
        <v>1607</v>
      </c>
      <c r="M1010" t="s">
        <v>493</v>
      </c>
      <c r="N1010">
        <v>2</v>
      </c>
      <c r="O1010" t="s">
        <v>1606</v>
      </c>
      <c r="P1010" t="s">
        <v>1605</v>
      </c>
      <c r="Q1010" t="s">
        <v>1604</v>
      </c>
      <c r="R1010" s="7">
        <v>33970</v>
      </c>
      <c r="S1010" s="8">
        <f t="shared" si="120"/>
        <v>1993</v>
      </c>
      <c r="T1010" s="8">
        <v>1993</v>
      </c>
      <c r="U1010" s="8">
        <f t="shared" si="121"/>
        <v>29</v>
      </c>
      <c r="V1010" s="7">
        <v>1993</v>
      </c>
      <c r="W1010" t="s">
        <v>1603</v>
      </c>
      <c r="X1010" s="2">
        <v>0.77800000000000002</v>
      </c>
      <c r="Y1010" s="6">
        <f t="shared" si="126"/>
        <v>2.0768265662956142E-2</v>
      </c>
      <c r="AA1010">
        <v>99260</v>
      </c>
      <c r="AB1010">
        <v>16616</v>
      </c>
      <c r="AD1010" t="s">
        <v>5</v>
      </c>
      <c r="AE1010">
        <v>47</v>
      </c>
      <c r="AF1010">
        <v>6</v>
      </c>
      <c r="AH1010" t="s">
        <v>1602</v>
      </c>
      <c r="AI1010" t="s">
        <v>1601</v>
      </c>
      <c r="AK1010" t="s">
        <v>1600</v>
      </c>
      <c r="AL1010">
        <v>55</v>
      </c>
      <c r="AM1010" s="5">
        <f t="shared" si="122"/>
        <v>1.896551724137931</v>
      </c>
      <c r="AN1010" s="4">
        <f t="shared" si="127"/>
        <v>2.8724751596182221E-3</v>
      </c>
      <c r="AO1010" s="3"/>
      <c r="AP1010">
        <v>0</v>
      </c>
      <c r="AR1010" t="s">
        <v>1</v>
      </c>
      <c r="AT1010" s="2">
        <v>2.35</v>
      </c>
      <c r="AU1010" s="1">
        <f t="shared" si="123"/>
        <v>1.5399528511954765</v>
      </c>
      <c r="AV1010" s="1">
        <f t="shared" si="124"/>
        <v>1.1820370411287182</v>
      </c>
      <c r="AW1010" s="1">
        <f t="shared" si="125"/>
        <v>0.82412123106195967</v>
      </c>
    </row>
    <row r="1011" spans="1:49" x14ac:dyDescent="0.2">
      <c r="A1011">
        <v>1009</v>
      </c>
      <c r="B1011" t="s">
        <v>1599</v>
      </c>
      <c r="C1011" t="s">
        <v>1598</v>
      </c>
      <c r="F1011" t="s">
        <v>1597</v>
      </c>
      <c r="G1011" t="s">
        <v>15</v>
      </c>
      <c r="H1011" t="s">
        <v>14</v>
      </c>
      <c r="I1011" t="s">
        <v>1596</v>
      </c>
      <c r="J1011">
        <v>60009512</v>
      </c>
      <c r="K1011" t="s">
        <v>1595</v>
      </c>
      <c r="L1011" t="s">
        <v>1594</v>
      </c>
      <c r="M1011" t="s">
        <v>818</v>
      </c>
      <c r="N1011">
        <v>3</v>
      </c>
      <c r="O1011" t="s">
        <v>1593</v>
      </c>
      <c r="P1011" t="s">
        <v>1592</v>
      </c>
      <c r="Q1011" t="s">
        <v>1591</v>
      </c>
      <c r="R1011" s="7">
        <v>33970</v>
      </c>
      <c r="S1011" s="8">
        <f t="shared" si="120"/>
        <v>1993</v>
      </c>
      <c r="T1011" s="8">
        <v>1993</v>
      </c>
      <c r="U1011" s="8">
        <f t="shared" si="121"/>
        <v>29</v>
      </c>
      <c r="V1011" s="7">
        <v>33970</v>
      </c>
      <c r="W1011" t="s">
        <v>814</v>
      </c>
      <c r="X1011" s="2">
        <v>1.6519999999999999</v>
      </c>
      <c r="Y1011" s="6">
        <f t="shared" si="126"/>
        <v>4.409919649769093E-2</v>
      </c>
      <c r="AA1011" t="s">
        <v>813</v>
      </c>
      <c r="AB1011">
        <v>17337</v>
      </c>
      <c r="AC1011">
        <v>15582221</v>
      </c>
      <c r="AD1011" t="s">
        <v>5</v>
      </c>
      <c r="AE1011">
        <v>41</v>
      </c>
      <c r="AF1011">
        <v>1</v>
      </c>
      <c r="AH1011" t="s">
        <v>1590</v>
      </c>
      <c r="AI1011" t="s">
        <v>1589</v>
      </c>
      <c r="AK1011" t="s">
        <v>1588</v>
      </c>
      <c r="AL1011">
        <v>10</v>
      </c>
      <c r="AM1011" s="5">
        <f t="shared" si="122"/>
        <v>0.34482758620689657</v>
      </c>
      <c r="AN1011" s="4">
        <f t="shared" si="127"/>
        <v>5.2226821083967677E-4</v>
      </c>
      <c r="AO1011" s="3"/>
      <c r="AP1011">
        <v>0</v>
      </c>
      <c r="AR1011" t="s">
        <v>1</v>
      </c>
      <c r="AT1011" s="2" t="s">
        <v>0</v>
      </c>
      <c r="AU1011" s="1">
        <f t="shared" si="123"/>
        <v>3.1026118011635551</v>
      </c>
      <c r="AV1011" s="1">
        <f t="shared" si="124"/>
        <v>2.2310732354265306</v>
      </c>
      <c r="AW1011" s="1">
        <f t="shared" si="125"/>
        <v>1.3595346696895052</v>
      </c>
    </row>
    <row r="1012" spans="1:49" x14ac:dyDescent="0.2">
      <c r="A1012">
        <v>1010</v>
      </c>
      <c r="B1012" t="s">
        <v>1587</v>
      </c>
      <c r="C1012" t="s">
        <v>1586</v>
      </c>
      <c r="E1012">
        <v>8343515</v>
      </c>
      <c r="F1012" t="s">
        <v>1585</v>
      </c>
      <c r="G1012" t="s">
        <v>15</v>
      </c>
      <c r="H1012" t="s">
        <v>14</v>
      </c>
      <c r="I1012" t="s">
        <v>1584</v>
      </c>
      <c r="J1012" t="s">
        <v>1583</v>
      </c>
      <c r="K1012" t="s">
        <v>1582</v>
      </c>
      <c r="L1012" t="s">
        <v>1581</v>
      </c>
      <c r="M1012" t="s">
        <v>235</v>
      </c>
      <c r="N1012">
        <v>4</v>
      </c>
      <c r="O1012" t="s">
        <v>1580</v>
      </c>
      <c r="P1012" t="s">
        <v>1579</v>
      </c>
      <c r="Q1012" t="s">
        <v>1578</v>
      </c>
      <c r="R1012" s="7">
        <v>33970</v>
      </c>
      <c r="S1012" s="8">
        <f t="shared" si="120"/>
        <v>1993</v>
      </c>
      <c r="T1012" s="8">
        <v>1993</v>
      </c>
      <c r="U1012" s="8">
        <f t="shared" si="121"/>
        <v>29</v>
      </c>
      <c r="V1012" s="7">
        <v>1993</v>
      </c>
      <c r="W1012" t="s">
        <v>828</v>
      </c>
      <c r="X1012" s="2">
        <v>1.43</v>
      </c>
      <c r="Y1012" s="6">
        <f t="shared" si="126"/>
        <v>3.8173033287952803E-2</v>
      </c>
      <c r="AA1012">
        <v>62960</v>
      </c>
      <c r="AB1012">
        <v>16867</v>
      </c>
      <c r="AC1012">
        <v>15204995</v>
      </c>
      <c r="AD1012" t="s">
        <v>5</v>
      </c>
      <c r="AE1012">
        <v>32</v>
      </c>
      <c r="AF1012">
        <v>28</v>
      </c>
      <c r="AH1012" t="s">
        <v>1577</v>
      </c>
      <c r="AI1012" t="s">
        <v>1576</v>
      </c>
      <c r="AK1012" t="s">
        <v>1575</v>
      </c>
      <c r="AL1012">
        <v>39</v>
      </c>
      <c r="AM1012" s="5">
        <f t="shared" si="122"/>
        <v>1.3448275862068966</v>
      </c>
      <c r="AN1012" s="4">
        <f t="shared" si="127"/>
        <v>2.0368460222747391E-3</v>
      </c>
      <c r="AO1012" s="3"/>
      <c r="AP1012">
        <v>0</v>
      </c>
      <c r="AQ1012" t="s">
        <v>1574</v>
      </c>
      <c r="AR1012" t="s">
        <v>1573</v>
      </c>
      <c r="AS1012" t="s">
        <v>1572</v>
      </c>
      <c r="AT1012" s="2">
        <v>3.1619999999999999</v>
      </c>
      <c r="AU1012" s="1">
        <f t="shared" si="123"/>
        <v>2.7332177108249383</v>
      </c>
      <c r="AV1012" s="1">
        <f t="shared" si="124"/>
        <v>2.0104939655113769</v>
      </c>
      <c r="AW1012" s="1">
        <f t="shared" si="125"/>
        <v>1.2877702201978158</v>
      </c>
    </row>
    <row r="1013" spans="1:49" x14ac:dyDescent="0.2">
      <c r="A1013">
        <v>1011</v>
      </c>
      <c r="B1013" t="s">
        <v>1571</v>
      </c>
      <c r="C1013" t="s">
        <v>1570</v>
      </c>
      <c r="F1013" t="s">
        <v>1569</v>
      </c>
      <c r="G1013" t="s">
        <v>15</v>
      </c>
      <c r="H1013" t="s">
        <v>14</v>
      </c>
      <c r="I1013" t="s">
        <v>1568</v>
      </c>
      <c r="N1013">
        <v>2</v>
      </c>
      <c r="O1013" t="s">
        <v>1567</v>
      </c>
      <c r="P1013" t="s">
        <v>1566</v>
      </c>
      <c r="Q1013" t="s">
        <v>1557</v>
      </c>
      <c r="R1013" s="7">
        <v>33970</v>
      </c>
      <c r="S1013" s="8">
        <f t="shared" si="120"/>
        <v>1993</v>
      </c>
      <c r="T1013" s="8">
        <v>1993</v>
      </c>
      <c r="U1013" s="8">
        <f t="shared" si="121"/>
        <v>29</v>
      </c>
      <c r="V1013" s="7">
        <v>33970</v>
      </c>
      <c r="W1013" t="s">
        <v>814</v>
      </c>
      <c r="X1013" s="2">
        <v>1.6519999999999999</v>
      </c>
      <c r="Y1013" s="6">
        <f t="shared" si="126"/>
        <v>4.409919649769093E-2</v>
      </c>
      <c r="AA1013" t="s">
        <v>813</v>
      </c>
      <c r="AB1013">
        <v>17337</v>
      </c>
      <c r="AC1013">
        <v>15582221</v>
      </c>
      <c r="AD1013" t="s">
        <v>5</v>
      </c>
      <c r="AE1013">
        <v>41</v>
      </c>
      <c r="AF1013">
        <v>1</v>
      </c>
      <c r="AH1013" s="9">
        <v>44501</v>
      </c>
      <c r="AI1013" t="s">
        <v>1565</v>
      </c>
      <c r="AK1013" t="s">
        <v>1564</v>
      </c>
      <c r="AL1013">
        <v>29</v>
      </c>
      <c r="AM1013" s="5">
        <f t="shared" si="122"/>
        <v>1</v>
      </c>
      <c r="AN1013" s="4">
        <f t="shared" si="127"/>
        <v>1.5145778114350624E-3</v>
      </c>
      <c r="AO1013" s="3"/>
      <c r="AP1013">
        <v>0</v>
      </c>
      <c r="AR1013" t="s">
        <v>1</v>
      </c>
      <c r="AT1013" s="2" t="s">
        <v>0</v>
      </c>
      <c r="AU1013" s="1">
        <f t="shared" si="123"/>
        <v>3.132381089181417</v>
      </c>
      <c r="AV1013" s="1">
        <f t="shared" si="124"/>
        <v>2.2806887154562996</v>
      </c>
      <c r="AW1013" s="1">
        <f t="shared" si="125"/>
        <v>1.4289963417311822</v>
      </c>
    </row>
    <row r="1014" spans="1:49" x14ac:dyDescent="0.2">
      <c r="A1014">
        <v>1012</v>
      </c>
      <c r="B1014" t="s">
        <v>1563</v>
      </c>
      <c r="C1014" t="s">
        <v>1562</v>
      </c>
      <c r="F1014" t="s">
        <v>1561</v>
      </c>
      <c r="G1014" t="s">
        <v>15</v>
      </c>
      <c r="H1014" t="s">
        <v>14</v>
      </c>
      <c r="I1014" t="s">
        <v>1560</v>
      </c>
      <c r="N1014">
        <v>2</v>
      </c>
      <c r="O1014" t="s">
        <v>1559</v>
      </c>
      <c r="P1014" t="s">
        <v>1558</v>
      </c>
      <c r="Q1014" t="s">
        <v>1557</v>
      </c>
      <c r="R1014" s="7">
        <v>33970</v>
      </c>
      <c r="S1014" s="8">
        <f t="shared" si="120"/>
        <v>1993</v>
      </c>
      <c r="T1014" s="8">
        <v>1993</v>
      </c>
      <c r="U1014" s="8">
        <f t="shared" si="121"/>
        <v>29</v>
      </c>
      <c r="V1014" s="7" t="s">
        <v>1556</v>
      </c>
      <c r="W1014" t="s">
        <v>1555</v>
      </c>
      <c r="X1014" s="2">
        <v>0.371</v>
      </c>
      <c r="Y1014" s="6">
        <f t="shared" si="126"/>
        <v>9.9036331117695747E-3</v>
      </c>
      <c r="AA1014">
        <v>486604</v>
      </c>
      <c r="AB1014">
        <v>28580</v>
      </c>
      <c r="AC1014" t="s">
        <v>1554</v>
      </c>
      <c r="AD1014" t="s">
        <v>5</v>
      </c>
      <c r="AE1014">
        <v>28</v>
      </c>
      <c r="AF1014">
        <v>1</v>
      </c>
      <c r="AH1014" t="s">
        <v>1553</v>
      </c>
      <c r="AI1014" t="s">
        <v>1552</v>
      </c>
      <c r="AK1014" t="s">
        <v>1551</v>
      </c>
      <c r="AL1014">
        <v>1</v>
      </c>
      <c r="AM1014" s="5">
        <f t="shared" si="122"/>
        <v>3.4482758620689655E-2</v>
      </c>
      <c r="AN1014" s="4">
        <f t="shared" si="127"/>
        <v>5.2226821083967674E-5</v>
      </c>
      <c r="AO1014" s="3"/>
      <c r="AP1014">
        <v>0</v>
      </c>
      <c r="AR1014" t="s">
        <v>1</v>
      </c>
      <c r="AT1014" s="2">
        <v>1.431</v>
      </c>
      <c r="AU1014" s="1">
        <f t="shared" si="123"/>
        <v>0.69482112245638916</v>
      </c>
      <c r="AV1014" s="1">
        <f t="shared" si="124"/>
        <v>0.49779299664267707</v>
      </c>
      <c r="AW1014" s="1">
        <f t="shared" si="125"/>
        <v>0.30076487082896497</v>
      </c>
    </row>
    <row r="1015" spans="1:49" x14ac:dyDescent="0.2">
      <c r="A1015">
        <v>1013</v>
      </c>
      <c r="B1015" t="s">
        <v>1550</v>
      </c>
      <c r="C1015" t="s">
        <v>1549</v>
      </c>
      <c r="F1015" t="s">
        <v>1548</v>
      </c>
      <c r="G1015" t="s">
        <v>15</v>
      </c>
      <c r="H1015" t="s">
        <v>14</v>
      </c>
      <c r="I1015" t="s">
        <v>1547</v>
      </c>
      <c r="J1015">
        <v>60010818</v>
      </c>
      <c r="K1015" t="s">
        <v>1546</v>
      </c>
      <c r="L1015" t="s">
        <v>1545</v>
      </c>
      <c r="M1015" t="s">
        <v>493</v>
      </c>
      <c r="N1015">
        <v>1</v>
      </c>
      <c r="O1015" t="s">
        <v>1544</v>
      </c>
      <c r="P1015">
        <v>56020461500</v>
      </c>
      <c r="Q1015">
        <v>60010818</v>
      </c>
      <c r="R1015" s="7">
        <v>33970</v>
      </c>
      <c r="S1015" s="8">
        <f t="shared" si="120"/>
        <v>1993</v>
      </c>
      <c r="T1015" s="8">
        <v>1993</v>
      </c>
      <c r="U1015" s="8">
        <f t="shared" si="121"/>
        <v>29</v>
      </c>
      <c r="V1015" s="7">
        <v>33970</v>
      </c>
      <c r="W1015" t="s">
        <v>1272</v>
      </c>
      <c r="X1015" s="2">
        <v>0.94</v>
      </c>
      <c r="Y1015" s="6">
        <f t="shared" si="126"/>
        <v>2.5092763140332611E-2</v>
      </c>
      <c r="AA1015">
        <v>10518207</v>
      </c>
      <c r="AB1015">
        <v>63372</v>
      </c>
      <c r="AD1015" t="s">
        <v>5</v>
      </c>
      <c r="AE1015">
        <v>3</v>
      </c>
      <c r="AF1015">
        <v>1</v>
      </c>
      <c r="AH1015" s="9">
        <v>44478</v>
      </c>
      <c r="AI1015" t="s">
        <v>1543</v>
      </c>
      <c r="AK1015" t="s">
        <v>1542</v>
      </c>
      <c r="AL1015">
        <v>5</v>
      </c>
      <c r="AM1015" s="5">
        <f t="shared" si="122"/>
        <v>0.17241379310344829</v>
      </c>
      <c r="AN1015" s="4">
        <f t="shared" si="127"/>
        <v>2.6113410541983838E-4</v>
      </c>
      <c r="AO1015" s="3"/>
      <c r="AP1015">
        <v>0</v>
      </c>
      <c r="AR1015" t="s">
        <v>1</v>
      </c>
      <c r="AT1015" s="2" t="s">
        <v>0</v>
      </c>
      <c r="AU1015" s="1">
        <f t="shared" si="123"/>
        <v>1.7643274429858777</v>
      </c>
      <c r="AV1015" s="1">
        <f t="shared" si="124"/>
        <v>1.2676948622876225</v>
      </c>
      <c r="AW1015" s="1">
        <f t="shared" si="125"/>
        <v>0.77106228158936696</v>
      </c>
    </row>
    <row r="1016" spans="1:49" x14ac:dyDescent="0.2">
      <c r="A1016">
        <v>1014</v>
      </c>
      <c r="B1016" t="s">
        <v>1541</v>
      </c>
      <c r="C1016" t="s">
        <v>1540</v>
      </c>
      <c r="E1016">
        <v>8515149</v>
      </c>
      <c r="F1016" t="s">
        <v>1539</v>
      </c>
      <c r="G1016" t="s">
        <v>15</v>
      </c>
      <c r="H1016" t="s">
        <v>14</v>
      </c>
      <c r="I1016" t="s">
        <v>1538</v>
      </c>
      <c r="J1016">
        <v>60015615</v>
      </c>
      <c r="K1016" t="s">
        <v>1537</v>
      </c>
      <c r="L1016" t="s">
        <v>1536</v>
      </c>
      <c r="M1016" t="s">
        <v>10</v>
      </c>
      <c r="N1016">
        <v>2</v>
      </c>
      <c r="O1016" t="s">
        <v>1535</v>
      </c>
      <c r="P1016" t="s">
        <v>1534</v>
      </c>
      <c r="Q1016" t="s">
        <v>1533</v>
      </c>
      <c r="R1016" s="7">
        <v>33970</v>
      </c>
      <c r="S1016" s="8">
        <f t="shared" si="120"/>
        <v>1993</v>
      </c>
      <c r="T1016" s="8">
        <v>1993</v>
      </c>
      <c r="U1016" s="8">
        <f t="shared" si="121"/>
        <v>29</v>
      </c>
      <c r="V1016" s="7">
        <v>1993</v>
      </c>
      <c r="W1016" t="s">
        <v>701</v>
      </c>
      <c r="X1016" s="2">
        <v>0.89600000000000002</v>
      </c>
      <c r="Y1016" s="6">
        <f t="shared" si="126"/>
        <v>2.3918208269934065E-2</v>
      </c>
      <c r="AA1016">
        <v>2656736</v>
      </c>
      <c r="AB1016">
        <v>29901</v>
      </c>
      <c r="AD1016" t="s">
        <v>5</v>
      </c>
      <c r="AE1016">
        <v>9</v>
      </c>
      <c r="AF1016">
        <v>3</v>
      </c>
      <c r="AH1016" t="s">
        <v>1532</v>
      </c>
      <c r="AI1016" t="s">
        <v>1531</v>
      </c>
      <c r="AJ1016" t="s">
        <v>1530</v>
      </c>
      <c r="AK1016" t="s">
        <v>1529</v>
      </c>
      <c r="AL1016">
        <v>11</v>
      </c>
      <c r="AM1016" s="5">
        <f t="shared" si="122"/>
        <v>0.37931034482758619</v>
      </c>
      <c r="AN1016" s="4">
        <f t="shared" si="127"/>
        <v>5.7449503192364435E-4</v>
      </c>
      <c r="AO1016" s="3"/>
      <c r="AP1016">
        <v>0</v>
      </c>
      <c r="AQ1016" t="s">
        <v>1528</v>
      </c>
      <c r="AR1016" t="s">
        <v>1527</v>
      </c>
      <c r="AS1016" t="s">
        <v>1526</v>
      </c>
      <c r="AT1016" s="2">
        <v>3.9140000000000001</v>
      </c>
      <c r="AU1016" s="1">
        <f t="shared" si="123"/>
        <v>1.6915094298530935</v>
      </c>
      <c r="AV1016" s="1">
        <f t="shared" si="124"/>
        <v>1.2246351650928855</v>
      </c>
      <c r="AW1016" s="1">
        <f t="shared" si="125"/>
        <v>0.75776090033267707</v>
      </c>
    </row>
    <row r="1017" spans="1:49" x14ac:dyDescent="0.2">
      <c r="A1017">
        <v>1015</v>
      </c>
      <c r="B1017" t="s">
        <v>1525</v>
      </c>
      <c r="C1017" t="s">
        <v>1524</v>
      </c>
      <c r="E1017">
        <v>8515147</v>
      </c>
      <c r="F1017" t="s">
        <v>1523</v>
      </c>
      <c r="G1017" t="s">
        <v>15</v>
      </c>
      <c r="H1017" t="s">
        <v>14</v>
      </c>
      <c r="I1017" t="s">
        <v>1522</v>
      </c>
      <c r="J1017" t="s">
        <v>1521</v>
      </c>
      <c r="K1017" t="s">
        <v>1520</v>
      </c>
      <c r="L1017" t="s">
        <v>1519</v>
      </c>
      <c r="M1017" t="s">
        <v>1518</v>
      </c>
      <c r="N1017">
        <v>7</v>
      </c>
      <c r="O1017" t="s">
        <v>1517</v>
      </c>
      <c r="P1017" t="s">
        <v>1516</v>
      </c>
      <c r="Q1017" t="s">
        <v>1515</v>
      </c>
      <c r="R1017" s="7">
        <v>33970</v>
      </c>
      <c r="S1017" s="8">
        <f t="shared" si="120"/>
        <v>1993</v>
      </c>
      <c r="T1017" s="8">
        <v>1993</v>
      </c>
      <c r="U1017" s="8">
        <f t="shared" si="121"/>
        <v>29</v>
      </c>
      <c r="V1017" s="7">
        <v>1993</v>
      </c>
      <c r="W1017" t="s">
        <v>701</v>
      </c>
      <c r="X1017" s="2">
        <v>0.89600000000000002</v>
      </c>
      <c r="Y1017" s="6">
        <f t="shared" si="126"/>
        <v>2.3918208269934065E-2</v>
      </c>
      <c r="AA1017">
        <v>2656736</v>
      </c>
      <c r="AB1017">
        <v>29901</v>
      </c>
      <c r="AD1017" t="s">
        <v>5</v>
      </c>
      <c r="AE1017">
        <v>9</v>
      </c>
      <c r="AF1017">
        <v>3</v>
      </c>
      <c r="AH1017" t="s">
        <v>1514</v>
      </c>
      <c r="AI1017" t="s">
        <v>1513</v>
      </c>
      <c r="AJ1017" t="s">
        <v>1512</v>
      </c>
      <c r="AK1017" t="s">
        <v>1511</v>
      </c>
      <c r="AL1017">
        <v>6</v>
      </c>
      <c r="AM1017" s="5">
        <f t="shared" si="122"/>
        <v>0.20689655172413793</v>
      </c>
      <c r="AN1017" s="4">
        <f t="shared" si="127"/>
        <v>3.1336092650380602E-4</v>
      </c>
      <c r="AO1017" s="3"/>
      <c r="AP1017">
        <v>0</v>
      </c>
      <c r="AR1017" t="s">
        <v>1</v>
      </c>
      <c r="AT1017" s="2">
        <v>3.9140000000000001</v>
      </c>
      <c r="AU1017" s="1">
        <f t="shared" si="123"/>
        <v>1.6836754066904984</v>
      </c>
      <c r="AV1017" s="1">
        <f t="shared" si="124"/>
        <v>1.2115784598218935</v>
      </c>
      <c r="AW1017" s="1">
        <f t="shared" si="125"/>
        <v>0.73948151295328834</v>
      </c>
    </row>
    <row r="1018" spans="1:49" x14ac:dyDescent="0.2">
      <c r="A1018">
        <v>1016</v>
      </c>
      <c r="B1018" t="s">
        <v>1510</v>
      </c>
      <c r="C1018" t="s">
        <v>1509</v>
      </c>
      <c r="D1018" t="s">
        <v>1508</v>
      </c>
      <c r="F1018" t="s">
        <v>1507</v>
      </c>
      <c r="G1018" t="s">
        <v>15</v>
      </c>
      <c r="H1018" t="s">
        <v>14</v>
      </c>
      <c r="I1018" t="s">
        <v>1506</v>
      </c>
      <c r="J1018">
        <v>60003729</v>
      </c>
      <c r="K1018" t="s">
        <v>1505</v>
      </c>
      <c r="L1018" t="s">
        <v>1504</v>
      </c>
      <c r="M1018" t="s">
        <v>303</v>
      </c>
      <c r="N1018">
        <v>1</v>
      </c>
      <c r="O1018" t="s">
        <v>1503</v>
      </c>
      <c r="P1018">
        <v>57207602542</v>
      </c>
      <c r="Q1018">
        <v>60003729</v>
      </c>
      <c r="R1018" s="7">
        <v>33970</v>
      </c>
      <c r="S1018" s="8">
        <f t="shared" si="120"/>
        <v>1993</v>
      </c>
      <c r="T1018" s="8">
        <v>1993</v>
      </c>
      <c r="U1018" s="8">
        <f t="shared" si="121"/>
        <v>29</v>
      </c>
      <c r="V1018" s="7">
        <v>34151</v>
      </c>
      <c r="W1018" t="s">
        <v>1486</v>
      </c>
      <c r="X1018" s="2" t="s">
        <v>0</v>
      </c>
      <c r="Y1018" s="6" t="e">
        <f t="shared" si="126"/>
        <v>#VALUE!</v>
      </c>
      <c r="AA1018">
        <v>10111344</v>
      </c>
      <c r="AB1018">
        <v>17622</v>
      </c>
      <c r="AD1018" t="s">
        <v>5</v>
      </c>
      <c r="AE1018">
        <v>19</v>
      </c>
      <c r="AF1018">
        <v>2</v>
      </c>
      <c r="AH1018" t="s">
        <v>1502</v>
      </c>
      <c r="AI1018" t="s">
        <v>1501</v>
      </c>
      <c r="AJ1018" t="s">
        <v>1500</v>
      </c>
      <c r="AK1018" t="s">
        <v>1499</v>
      </c>
      <c r="AL1018">
        <v>4</v>
      </c>
      <c r="AM1018" s="5">
        <f t="shared" si="122"/>
        <v>0.13793103448275862</v>
      </c>
      <c r="AN1018" s="4">
        <f t="shared" si="127"/>
        <v>2.089072843358707E-4</v>
      </c>
      <c r="AO1018" s="3"/>
      <c r="AP1018">
        <v>0</v>
      </c>
      <c r="AR1018" t="s">
        <v>1</v>
      </c>
      <c r="AT1018" s="2" t="s">
        <v>0</v>
      </c>
      <c r="AU1018" s="1" t="e">
        <f t="shared" si="123"/>
        <v>#VALUE!</v>
      </c>
      <c r="AV1018" s="1" t="e">
        <f t="shared" si="124"/>
        <v>#VALUE!</v>
      </c>
      <c r="AW1018" s="1" t="e">
        <f t="shared" si="125"/>
        <v>#VALUE!</v>
      </c>
    </row>
    <row r="1019" spans="1:49" x14ac:dyDescent="0.2">
      <c r="A1019">
        <v>1017</v>
      </c>
      <c r="B1019" t="s">
        <v>1498</v>
      </c>
      <c r="C1019" t="s">
        <v>1497</v>
      </c>
      <c r="D1019" t="s">
        <v>1496</v>
      </c>
      <c r="F1019" t="s">
        <v>1495</v>
      </c>
      <c r="G1019" t="s">
        <v>15</v>
      </c>
      <c r="H1019" t="s">
        <v>14</v>
      </c>
      <c r="I1019" t="s">
        <v>1494</v>
      </c>
      <c r="J1019" t="s">
        <v>1493</v>
      </c>
      <c r="K1019" t="s">
        <v>1492</v>
      </c>
      <c r="L1019" t="s">
        <v>1491</v>
      </c>
      <c r="M1019" t="s">
        <v>1490</v>
      </c>
      <c r="N1019">
        <v>6</v>
      </c>
      <c r="O1019" t="s">
        <v>1489</v>
      </c>
      <c r="P1019" t="s">
        <v>1488</v>
      </c>
      <c r="Q1019" t="s">
        <v>1487</v>
      </c>
      <c r="R1019" s="7">
        <v>33970</v>
      </c>
      <c r="S1019" s="8">
        <f t="shared" si="120"/>
        <v>1993</v>
      </c>
      <c r="T1019" s="8">
        <v>1993</v>
      </c>
      <c r="U1019" s="8">
        <f t="shared" si="121"/>
        <v>29</v>
      </c>
      <c r="V1019" s="7">
        <v>34090</v>
      </c>
      <c r="W1019" t="s">
        <v>1486</v>
      </c>
      <c r="X1019" s="2" t="s">
        <v>0</v>
      </c>
      <c r="Y1019" s="6" t="e">
        <f t="shared" si="126"/>
        <v>#VALUE!</v>
      </c>
      <c r="AA1019">
        <v>10111344</v>
      </c>
      <c r="AB1019">
        <v>17622</v>
      </c>
      <c r="AD1019" t="s">
        <v>5</v>
      </c>
      <c r="AE1019">
        <v>18</v>
      </c>
      <c r="AF1019" s="9">
        <v>44257</v>
      </c>
      <c r="AH1019" t="s">
        <v>1485</v>
      </c>
      <c r="AI1019" t="s">
        <v>1484</v>
      </c>
      <c r="AJ1019" t="s">
        <v>1483</v>
      </c>
      <c r="AK1019" t="s">
        <v>1482</v>
      </c>
      <c r="AL1019">
        <v>30</v>
      </c>
      <c r="AM1019" s="5">
        <f t="shared" si="122"/>
        <v>1.0344827586206897</v>
      </c>
      <c r="AN1019" s="4">
        <f t="shared" si="127"/>
        <v>1.5668046325190302E-3</v>
      </c>
      <c r="AO1019" s="3"/>
      <c r="AP1019">
        <v>0</v>
      </c>
      <c r="AR1019" t="s">
        <v>1</v>
      </c>
      <c r="AS1019" t="s">
        <v>1481</v>
      </c>
      <c r="AT1019" s="2" t="s">
        <v>0</v>
      </c>
      <c r="AU1019" s="1" t="e">
        <f t="shared" si="123"/>
        <v>#VALUE!</v>
      </c>
      <c r="AV1019" s="1" t="e">
        <f t="shared" si="124"/>
        <v>#VALUE!</v>
      </c>
      <c r="AW1019" s="1" t="e">
        <f t="shared" si="125"/>
        <v>#VALUE!</v>
      </c>
    </row>
    <row r="1020" spans="1:49" x14ac:dyDescent="0.2">
      <c r="A1020">
        <v>1018</v>
      </c>
      <c r="B1020" t="s">
        <v>1480</v>
      </c>
      <c r="C1020" t="s">
        <v>1479</v>
      </c>
      <c r="D1020" t="s">
        <v>1478</v>
      </c>
      <c r="F1020" t="s">
        <v>1477</v>
      </c>
      <c r="G1020" t="s">
        <v>15</v>
      </c>
      <c r="H1020" t="s">
        <v>14</v>
      </c>
      <c r="I1020" t="s">
        <v>1476</v>
      </c>
      <c r="J1020">
        <v>60072285</v>
      </c>
      <c r="K1020" t="s">
        <v>1475</v>
      </c>
      <c r="L1020" t="s">
        <v>1474</v>
      </c>
      <c r="M1020" t="s">
        <v>59</v>
      </c>
      <c r="N1020">
        <v>4</v>
      </c>
      <c r="O1020" t="s">
        <v>1473</v>
      </c>
      <c r="P1020" t="s">
        <v>1472</v>
      </c>
      <c r="Q1020" t="s">
        <v>1471</v>
      </c>
      <c r="R1020" s="7">
        <v>33970</v>
      </c>
      <c r="S1020" s="8">
        <f t="shared" si="120"/>
        <v>1993</v>
      </c>
      <c r="T1020" s="8">
        <v>1993</v>
      </c>
      <c r="U1020" s="8">
        <f t="shared" si="121"/>
        <v>29</v>
      </c>
      <c r="V1020" s="7">
        <v>1993</v>
      </c>
      <c r="W1020" t="s">
        <v>1470</v>
      </c>
      <c r="X1020" s="2">
        <v>1.7130000000000001</v>
      </c>
      <c r="Y1020" s="6">
        <f t="shared" si="126"/>
        <v>4.5727556658925285E-2</v>
      </c>
      <c r="AA1020">
        <v>63495</v>
      </c>
      <c r="AB1020">
        <v>14859</v>
      </c>
      <c r="AD1020" t="s">
        <v>5</v>
      </c>
      <c r="AE1020">
        <v>64</v>
      </c>
      <c r="AF1020">
        <v>6</v>
      </c>
      <c r="AH1020" t="s">
        <v>1469</v>
      </c>
      <c r="AI1020" t="s">
        <v>1468</v>
      </c>
      <c r="AK1020" t="s">
        <v>1467</v>
      </c>
      <c r="AL1020">
        <v>104</v>
      </c>
      <c r="AM1020" s="5">
        <f t="shared" si="122"/>
        <v>3.5862068965517242</v>
      </c>
      <c r="AN1020" s="4">
        <f t="shared" si="127"/>
        <v>5.4315893927326378E-3</v>
      </c>
      <c r="AO1020" s="3"/>
      <c r="AP1020">
        <v>1</v>
      </c>
      <c r="AQ1020" t="s">
        <v>172</v>
      </c>
      <c r="AR1020" t="s">
        <v>1466</v>
      </c>
      <c r="AS1020" t="s">
        <v>170</v>
      </c>
      <c r="AT1020" s="2">
        <v>4.0330000000000004</v>
      </c>
      <c r="AU1020" s="1">
        <f t="shared" si="123"/>
        <v>3.3638766479067486</v>
      </c>
      <c r="AV1020" s="1">
        <f t="shared" si="124"/>
        <v>2.5579573025828961</v>
      </c>
      <c r="AW1020" s="1">
        <f t="shared" si="125"/>
        <v>1.752037957259043</v>
      </c>
    </row>
    <row r="1021" spans="1:49" x14ac:dyDescent="0.2">
      <c r="A1021">
        <v>1019</v>
      </c>
      <c r="B1021" t="s">
        <v>1465</v>
      </c>
      <c r="C1021" t="s">
        <v>1464</v>
      </c>
      <c r="F1021" t="s">
        <v>1463</v>
      </c>
      <c r="G1021" t="s">
        <v>15</v>
      </c>
      <c r="H1021" t="s">
        <v>14</v>
      </c>
      <c r="I1021" t="s">
        <v>971</v>
      </c>
      <c r="J1021">
        <v>60005510</v>
      </c>
      <c r="K1021" t="s">
        <v>1462</v>
      </c>
      <c r="L1021" t="s">
        <v>1461</v>
      </c>
      <c r="M1021" t="s">
        <v>1460</v>
      </c>
      <c r="N1021">
        <v>1</v>
      </c>
      <c r="O1021" t="s">
        <v>1459</v>
      </c>
      <c r="P1021">
        <v>7102842938</v>
      </c>
      <c r="Q1021">
        <v>60005510</v>
      </c>
      <c r="R1021" s="7">
        <v>33970</v>
      </c>
      <c r="S1021" s="8">
        <f t="shared" si="120"/>
        <v>1993</v>
      </c>
      <c r="T1021" s="8">
        <v>1993</v>
      </c>
      <c r="U1021" s="8">
        <f t="shared" si="121"/>
        <v>29</v>
      </c>
      <c r="V1021" s="7">
        <v>33970</v>
      </c>
      <c r="W1021" t="s">
        <v>616</v>
      </c>
      <c r="X1021" s="2">
        <v>1.6379999999999999</v>
      </c>
      <c r="Y1021" s="6">
        <f t="shared" si="126"/>
        <v>4.3725474493473214E-2</v>
      </c>
      <c r="AA1021" t="s">
        <v>615</v>
      </c>
      <c r="AB1021">
        <v>17391</v>
      </c>
      <c r="AC1021">
        <v>19410476</v>
      </c>
      <c r="AD1021" t="s">
        <v>5</v>
      </c>
      <c r="AE1021">
        <v>41</v>
      </c>
      <c r="AF1021">
        <v>1</v>
      </c>
      <c r="AH1021">
        <v>418</v>
      </c>
      <c r="AI1021" t="s">
        <v>1458</v>
      </c>
      <c r="AK1021" t="s">
        <v>1457</v>
      </c>
      <c r="AL1021">
        <v>8</v>
      </c>
      <c r="AM1021" s="5">
        <f t="shared" si="122"/>
        <v>0.27586206896551724</v>
      </c>
      <c r="AN1021" s="4">
        <f t="shared" si="127"/>
        <v>4.1781456867174139E-4</v>
      </c>
      <c r="AO1021" s="3"/>
      <c r="AP1021">
        <v>0</v>
      </c>
      <c r="AR1021" t="s">
        <v>1</v>
      </c>
      <c r="AT1021" s="2">
        <v>4.931</v>
      </c>
      <c r="AU1021" s="1">
        <f t="shared" si="123"/>
        <v>3.073317651603277</v>
      </c>
      <c r="AV1021" s="1">
        <f t="shared" si="124"/>
        <v>2.2071644531072478</v>
      </c>
      <c r="AW1021" s="1">
        <f t="shared" si="125"/>
        <v>1.3410112546112183</v>
      </c>
    </row>
    <row r="1022" spans="1:49" x14ac:dyDescent="0.2">
      <c r="A1022">
        <v>1020</v>
      </c>
      <c r="B1022" t="s">
        <v>1456</v>
      </c>
      <c r="C1022" t="s">
        <v>1455</v>
      </c>
      <c r="F1022" t="s">
        <v>1454</v>
      </c>
      <c r="G1022" t="s">
        <v>15</v>
      </c>
      <c r="H1022" t="s">
        <v>14</v>
      </c>
      <c r="I1022" t="s">
        <v>1453</v>
      </c>
      <c r="J1022">
        <v>60068535</v>
      </c>
      <c r="K1022" t="s">
        <v>1452</v>
      </c>
      <c r="L1022" t="s">
        <v>1451</v>
      </c>
      <c r="M1022" t="s">
        <v>1450</v>
      </c>
      <c r="N1022">
        <v>2</v>
      </c>
      <c r="O1022" t="s">
        <v>1449</v>
      </c>
      <c r="P1022" t="s">
        <v>1448</v>
      </c>
      <c r="Q1022" t="s">
        <v>1447</v>
      </c>
      <c r="R1022" s="7">
        <v>33970</v>
      </c>
      <c r="S1022" s="8">
        <f t="shared" si="120"/>
        <v>1993</v>
      </c>
      <c r="T1022" s="8">
        <v>1993</v>
      </c>
      <c r="U1022" s="8">
        <f t="shared" si="121"/>
        <v>29</v>
      </c>
      <c r="V1022" s="7">
        <v>33970</v>
      </c>
      <c r="W1022" t="s">
        <v>1446</v>
      </c>
      <c r="X1022" s="2">
        <v>0.22500000000000001</v>
      </c>
      <c r="Y1022" s="6">
        <f t="shared" si="126"/>
        <v>6.0062464963562111E-3</v>
      </c>
      <c r="AA1022">
        <v>2726343</v>
      </c>
      <c r="AB1022">
        <v>16128</v>
      </c>
      <c r="AC1022" t="s">
        <v>1445</v>
      </c>
      <c r="AD1022" t="s">
        <v>5</v>
      </c>
      <c r="AE1022">
        <v>13</v>
      </c>
      <c r="AF1022">
        <v>1</v>
      </c>
      <c r="AH1022" t="s">
        <v>1444</v>
      </c>
      <c r="AL1022">
        <v>16</v>
      </c>
      <c r="AM1022" s="5">
        <f t="shared" si="122"/>
        <v>0.55172413793103448</v>
      </c>
      <c r="AN1022" s="4">
        <f t="shared" si="127"/>
        <v>8.3562913734348278E-4</v>
      </c>
      <c r="AO1022" s="3"/>
      <c r="AP1022">
        <v>0</v>
      </c>
      <c r="AR1022" t="s">
        <v>1</v>
      </c>
      <c r="AT1022" s="2">
        <v>1.099</v>
      </c>
      <c r="AU1022" s="1">
        <f t="shared" si="123"/>
        <v>0.44550612886523927</v>
      </c>
      <c r="AV1022" s="1">
        <f t="shared" si="124"/>
        <v>0.34209378168498472</v>
      </c>
      <c r="AW1022" s="1">
        <f t="shared" si="125"/>
        <v>0.23868143450473012</v>
      </c>
    </row>
    <row r="1023" spans="1:49" x14ac:dyDescent="0.2">
      <c r="A1023">
        <v>1021</v>
      </c>
      <c r="B1023" t="s">
        <v>1443</v>
      </c>
      <c r="F1023" t="s">
        <v>1442</v>
      </c>
      <c r="G1023" t="s">
        <v>15</v>
      </c>
      <c r="H1023" t="s">
        <v>14</v>
      </c>
      <c r="I1023" t="s">
        <v>1441</v>
      </c>
      <c r="J1023">
        <v>60009697</v>
      </c>
      <c r="K1023" t="s">
        <v>1440</v>
      </c>
      <c r="L1023" t="s">
        <v>1439</v>
      </c>
      <c r="M1023" t="s">
        <v>508</v>
      </c>
      <c r="N1023">
        <v>2</v>
      </c>
      <c r="O1023" t="s">
        <v>1438</v>
      </c>
      <c r="P1023" t="s">
        <v>1437</v>
      </c>
      <c r="Q1023" t="s">
        <v>1436</v>
      </c>
      <c r="R1023" s="7">
        <v>33970</v>
      </c>
      <c r="S1023" s="8">
        <f t="shared" si="120"/>
        <v>1993</v>
      </c>
      <c r="T1023" s="8">
        <v>1993</v>
      </c>
      <c r="U1023" s="8">
        <f t="shared" si="121"/>
        <v>29</v>
      </c>
      <c r="V1023" s="7">
        <v>33970</v>
      </c>
      <c r="W1023" t="s">
        <v>777</v>
      </c>
      <c r="X1023" s="2">
        <v>0.54700000000000004</v>
      </c>
      <c r="Y1023" s="6">
        <f t="shared" si="126"/>
        <v>1.4601852593363766E-2</v>
      </c>
      <c r="AA1023">
        <v>11096</v>
      </c>
      <c r="AB1023">
        <v>31211</v>
      </c>
      <c r="AD1023" t="s">
        <v>5</v>
      </c>
      <c r="AE1023">
        <v>47</v>
      </c>
      <c r="AF1023">
        <v>1</v>
      </c>
      <c r="AH1023" s="9">
        <v>44536</v>
      </c>
      <c r="AI1023" t="s">
        <v>1435</v>
      </c>
      <c r="AK1023" t="s">
        <v>1434</v>
      </c>
      <c r="AL1023">
        <v>0</v>
      </c>
      <c r="AM1023" s="5">
        <f t="shared" si="122"/>
        <v>0</v>
      </c>
      <c r="AN1023" s="4">
        <f t="shared" si="127"/>
        <v>0</v>
      </c>
      <c r="AO1023" s="3"/>
      <c r="AP1023">
        <v>0</v>
      </c>
      <c r="AR1023" t="s">
        <v>1</v>
      </c>
      <c r="AT1023" s="2" t="s">
        <v>0</v>
      </c>
      <c r="AU1023" s="1">
        <f t="shared" si="123"/>
        <v>1.0221296815354637</v>
      </c>
      <c r="AV1023" s="1">
        <f t="shared" si="124"/>
        <v>0.73009262966818833</v>
      </c>
      <c r="AW1023" s="1">
        <f t="shared" si="125"/>
        <v>0.43805557780091298</v>
      </c>
    </row>
    <row r="1024" spans="1:49" x14ac:dyDescent="0.2">
      <c r="A1024">
        <v>1022</v>
      </c>
      <c r="B1024" t="s">
        <v>1433</v>
      </c>
      <c r="C1024" t="s">
        <v>1432</v>
      </c>
      <c r="F1024" t="s">
        <v>1431</v>
      </c>
      <c r="G1024" t="s">
        <v>15</v>
      </c>
      <c r="H1024" t="s">
        <v>14</v>
      </c>
      <c r="I1024" t="s">
        <v>1430</v>
      </c>
      <c r="J1024">
        <v>60010065</v>
      </c>
      <c r="K1024" t="s">
        <v>1429</v>
      </c>
      <c r="L1024" t="s">
        <v>1428</v>
      </c>
      <c r="M1024" t="s">
        <v>10</v>
      </c>
      <c r="N1024">
        <v>2</v>
      </c>
      <c r="O1024" t="s">
        <v>1427</v>
      </c>
      <c r="P1024" t="s">
        <v>1426</v>
      </c>
      <c r="Q1024" t="s">
        <v>1425</v>
      </c>
      <c r="R1024" s="7">
        <v>33970</v>
      </c>
      <c r="S1024" s="8">
        <f t="shared" si="120"/>
        <v>1993</v>
      </c>
      <c r="T1024" s="8">
        <v>1993</v>
      </c>
      <c r="U1024" s="8">
        <f t="shared" si="121"/>
        <v>29</v>
      </c>
      <c r="V1024" s="7">
        <v>33970</v>
      </c>
      <c r="W1024" t="s">
        <v>1424</v>
      </c>
      <c r="X1024" s="2">
        <v>0.62</v>
      </c>
      <c r="Y1024" s="6">
        <f t="shared" si="126"/>
        <v>1.6550545901070447E-2</v>
      </c>
      <c r="AA1024">
        <v>189464</v>
      </c>
      <c r="AB1024">
        <v>17364</v>
      </c>
      <c r="AC1024">
        <v>19410069</v>
      </c>
      <c r="AD1024" t="s">
        <v>5</v>
      </c>
      <c r="AE1024">
        <v>29</v>
      </c>
      <c r="AF1024">
        <v>1</v>
      </c>
      <c r="AH1024" t="s">
        <v>1423</v>
      </c>
      <c r="AI1024" t="s">
        <v>1422</v>
      </c>
      <c r="AK1024" t="s">
        <v>1421</v>
      </c>
      <c r="AL1024">
        <v>0</v>
      </c>
      <c r="AM1024" s="5">
        <f t="shared" si="122"/>
        <v>0</v>
      </c>
      <c r="AN1024" s="4">
        <f t="shared" si="127"/>
        <v>0</v>
      </c>
      <c r="AO1024" s="3"/>
      <c r="AP1024">
        <v>0</v>
      </c>
      <c r="AR1024" t="s">
        <v>1</v>
      </c>
      <c r="AT1024" s="2">
        <v>1.7</v>
      </c>
      <c r="AU1024" s="1">
        <f t="shared" si="123"/>
        <v>1.1585382130749313</v>
      </c>
      <c r="AV1024" s="1">
        <f t="shared" si="124"/>
        <v>0.8275272950535224</v>
      </c>
      <c r="AW1024" s="1">
        <f t="shared" si="125"/>
        <v>0.49651637703211338</v>
      </c>
    </row>
    <row r="1025" spans="1:49" x14ac:dyDescent="0.2">
      <c r="A1025">
        <v>1023</v>
      </c>
      <c r="B1025" t="s">
        <v>1420</v>
      </c>
      <c r="E1025">
        <v>8314780</v>
      </c>
      <c r="F1025" t="s">
        <v>1419</v>
      </c>
      <c r="G1025" t="s">
        <v>15</v>
      </c>
      <c r="H1025" t="s">
        <v>14</v>
      </c>
      <c r="I1025" t="s">
        <v>1418</v>
      </c>
      <c r="J1025">
        <v>60009839</v>
      </c>
      <c r="K1025" t="s">
        <v>1417</v>
      </c>
      <c r="L1025" t="s">
        <v>1416</v>
      </c>
      <c r="M1025" t="s">
        <v>508</v>
      </c>
      <c r="N1025">
        <v>5</v>
      </c>
      <c r="O1025" t="s">
        <v>1415</v>
      </c>
      <c r="P1025" t="s">
        <v>1414</v>
      </c>
      <c r="Q1025" t="s">
        <v>1413</v>
      </c>
      <c r="R1025" s="7">
        <v>33970</v>
      </c>
      <c r="S1025" s="8">
        <f t="shared" ref="S1025:S1088" si="128">YEAR(R1025)</f>
        <v>1993</v>
      </c>
      <c r="T1025" s="8">
        <v>1993</v>
      </c>
      <c r="U1025" s="8">
        <f t="shared" ref="U1025:U1088" si="129">2022-T1025</f>
        <v>29</v>
      </c>
      <c r="V1025" s="7">
        <v>1993</v>
      </c>
      <c r="W1025" t="s">
        <v>953</v>
      </c>
      <c r="X1025" s="2">
        <v>2.3610000000000002</v>
      </c>
      <c r="Y1025" s="6">
        <f t="shared" si="126"/>
        <v>6.3025546568431179E-2</v>
      </c>
      <c r="AA1025">
        <v>219258</v>
      </c>
      <c r="AB1025">
        <v>17592</v>
      </c>
      <c r="AD1025" t="s">
        <v>5</v>
      </c>
      <c r="AE1025">
        <v>268</v>
      </c>
      <c r="AF1025">
        <v>19</v>
      </c>
      <c r="AH1025" t="s">
        <v>1412</v>
      </c>
      <c r="AI1025" t="s">
        <v>1411</v>
      </c>
      <c r="AK1025" t="s">
        <v>1410</v>
      </c>
      <c r="AL1025">
        <v>92</v>
      </c>
      <c r="AM1025" s="5">
        <f t="shared" ref="AM1025:AM1088" si="130">AL1025/U1025</f>
        <v>3.1724137931034484</v>
      </c>
      <c r="AN1025" s="4">
        <f t="shared" si="127"/>
        <v>4.8048675397250259E-3</v>
      </c>
      <c r="AO1025" s="3"/>
      <c r="AP1025">
        <v>0</v>
      </c>
      <c r="AR1025" t="s">
        <v>1</v>
      </c>
      <c r="AT1025" s="2">
        <v>5.157</v>
      </c>
      <c r="AU1025" s="1">
        <f t="shared" ref="AU1025:AU1088" si="131">(Y1025*0.7+AN1025*0.3)*100</f>
        <v>4.555934285981933</v>
      </c>
      <c r="AV1025" s="1">
        <f t="shared" ref="AV1025:AV1088" si="132">(Y1025*0.5+AN1025*0.5)*100</f>
        <v>3.3915207054078107</v>
      </c>
      <c r="AW1025" s="1">
        <f t="shared" ref="AW1025:AW1088" si="133">(Y1025*0.3+AN1025*0.7)*100</f>
        <v>2.2271071248336871</v>
      </c>
    </row>
    <row r="1026" spans="1:49" x14ac:dyDescent="0.2">
      <c r="A1026">
        <v>1024</v>
      </c>
      <c r="B1026" t="s">
        <v>1409</v>
      </c>
      <c r="C1026" t="s">
        <v>1408</v>
      </c>
      <c r="D1026" t="s">
        <v>1407</v>
      </c>
      <c r="F1026" t="s">
        <v>1406</v>
      </c>
      <c r="G1026" t="s">
        <v>15</v>
      </c>
      <c r="H1026" t="s">
        <v>14</v>
      </c>
      <c r="I1026" t="s">
        <v>1405</v>
      </c>
      <c r="J1026">
        <v>60005460</v>
      </c>
      <c r="K1026" t="s">
        <v>1404</v>
      </c>
      <c r="L1026" t="s">
        <v>1403</v>
      </c>
      <c r="M1026" t="s">
        <v>59</v>
      </c>
      <c r="N1026">
        <v>2</v>
      </c>
      <c r="O1026" t="s">
        <v>1402</v>
      </c>
      <c r="P1026" t="s">
        <v>1401</v>
      </c>
      <c r="Q1026" t="s">
        <v>1400</v>
      </c>
      <c r="R1026" s="7">
        <v>33970</v>
      </c>
      <c r="S1026" s="8">
        <f t="shared" si="128"/>
        <v>1993</v>
      </c>
      <c r="T1026" s="8">
        <v>1993</v>
      </c>
      <c r="U1026" s="8">
        <f t="shared" si="129"/>
        <v>29</v>
      </c>
      <c r="V1026" s="7">
        <v>34121</v>
      </c>
      <c r="W1026" t="s">
        <v>1399</v>
      </c>
      <c r="X1026" s="2">
        <v>0.58399999999999996</v>
      </c>
      <c r="Y1026" s="6">
        <f t="shared" ref="Y1026:Y1089" si="134">(X1026-$Z$4)/($Z$3-$Z$4)</f>
        <v>1.5589546461653453E-2</v>
      </c>
      <c r="AA1026">
        <v>408166</v>
      </c>
      <c r="AB1026">
        <v>19057</v>
      </c>
      <c r="AD1026" t="s">
        <v>5</v>
      </c>
      <c r="AE1026">
        <v>25</v>
      </c>
      <c r="AF1026">
        <v>3</v>
      </c>
      <c r="AH1026" t="s">
        <v>1398</v>
      </c>
      <c r="AI1026" t="s">
        <v>1397</v>
      </c>
      <c r="AJ1026" t="s">
        <v>1396</v>
      </c>
      <c r="AK1026" t="s">
        <v>1395</v>
      </c>
      <c r="AL1026">
        <v>5</v>
      </c>
      <c r="AM1026" s="5">
        <f t="shared" si="130"/>
        <v>0.17241379310344829</v>
      </c>
      <c r="AN1026" s="4">
        <f t="shared" ref="AN1026:AN1089" si="135">(AM1026-$AO$4)/($AO$3-$AO$4)</f>
        <v>2.6113410541983838E-4</v>
      </c>
      <c r="AO1026" s="3"/>
      <c r="AP1026">
        <v>0</v>
      </c>
      <c r="AQ1026" t="s">
        <v>172</v>
      </c>
      <c r="AR1026" t="s">
        <v>1</v>
      </c>
      <c r="AS1026" t="s">
        <v>170</v>
      </c>
      <c r="AT1026" s="2" t="s">
        <v>0</v>
      </c>
      <c r="AU1026" s="1">
        <f t="shared" si="131"/>
        <v>1.0991022754783368</v>
      </c>
      <c r="AV1026" s="1">
        <f t="shared" si="132"/>
        <v>0.79253402835366449</v>
      </c>
      <c r="AW1026" s="1">
        <f t="shared" si="133"/>
        <v>0.48596578122899226</v>
      </c>
    </row>
    <row r="1027" spans="1:49" x14ac:dyDescent="0.2">
      <c r="A1027">
        <v>1025</v>
      </c>
      <c r="B1027" t="s">
        <v>1394</v>
      </c>
      <c r="C1027" t="s">
        <v>1393</v>
      </c>
      <c r="F1027" t="s">
        <v>1392</v>
      </c>
      <c r="G1027" t="s">
        <v>15</v>
      </c>
      <c r="H1027" t="s">
        <v>14</v>
      </c>
      <c r="I1027" t="s">
        <v>1391</v>
      </c>
      <c r="J1027">
        <v>60021097</v>
      </c>
      <c r="K1027" t="s">
        <v>1390</v>
      </c>
      <c r="L1027" t="s">
        <v>1389</v>
      </c>
      <c r="M1027" t="s">
        <v>493</v>
      </c>
      <c r="N1027">
        <v>2</v>
      </c>
      <c r="O1027" t="s">
        <v>1388</v>
      </c>
      <c r="P1027" t="s">
        <v>1387</v>
      </c>
      <c r="Q1027" t="s">
        <v>1386</v>
      </c>
      <c r="R1027" s="7">
        <v>33970</v>
      </c>
      <c r="S1027" s="8">
        <f t="shared" si="128"/>
        <v>1993</v>
      </c>
      <c r="T1027" s="8">
        <v>1993</v>
      </c>
      <c r="U1027" s="8">
        <f t="shared" si="129"/>
        <v>29</v>
      </c>
      <c r="V1027" s="7">
        <v>1993</v>
      </c>
      <c r="W1027" t="s">
        <v>1385</v>
      </c>
      <c r="X1027" s="2">
        <v>0.39100000000000001</v>
      </c>
      <c r="Y1027" s="6">
        <f t="shared" si="134"/>
        <v>1.043752168922346E-2</v>
      </c>
      <c r="AA1027">
        <v>2663511</v>
      </c>
      <c r="AB1027">
        <v>78854</v>
      </c>
      <c r="AD1027" t="s">
        <v>5</v>
      </c>
      <c r="AE1027">
        <v>8</v>
      </c>
      <c r="AF1027">
        <v>3</v>
      </c>
      <c r="AH1027" t="s">
        <v>1384</v>
      </c>
      <c r="AI1027" t="s">
        <v>1383</v>
      </c>
      <c r="AK1027" t="s">
        <v>1382</v>
      </c>
      <c r="AL1027">
        <v>8</v>
      </c>
      <c r="AM1027" s="5">
        <f t="shared" si="130"/>
        <v>0.27586206896551724</v>
      </c>
      <c r="AN1027" s="4">
        <f t="shared" si="135"/>
        <v>4.1781456867174139E-4</v>
      </c>
      <c r="AO1027" s="3"/>
      <c r="AP1027">
        <v>0</v>
      </c>
      <c r="AR1027" t="s">
        <v>1</v>
      </c>
      <c r="AT1027" s="2" t="s">
        <v>0</v>
      </c>
      <c r="AU1027" s="1">
        <f t="shared" si="131"/>
        <v>0.74316095530579429</v>
      </c>
      <c r="AV1027" s="1">
        <f t="shared" si="132"/>
        <v>0.54276681289476003</v>
      </c>
      <c r="AW1027" s="1">
        <f t="shared" si="133"/>
        <v>0.34237267048372572</v>
      </c>
    </row>
    <row r="1028" spans="1:49" x14ac:dyDescent="0.2">
      <c r="A1028">
        <v>1026</v>
      </c>
      <c r="B1028" t="s">
        <v>1381</v>
      </c>
      <c r="C1028" t="s">
        <v>1380</v>
      </c>
      <c r="F1028" t="s">
        <v>1379</v>
      </c>
      <c r="G1028" t="s">
        <v>15</v>
      </c>
      <c r="H1028" t="s">
        <v>14</v>
      </c>
      <c r="I1028" t="s">
        <v>1378</v>
      </c>
      <c r="J1028">
        <v>60000745</v>
      </c>
      <c r="K1028" t="s">
        <v>769</v>
      </c>
      <c r="L1028" t="s">
        <v>768</v>
      </c>
      <c r="M1028" t="s">
        <v>10</v>
      </c>
      <c r="N1028">
        <v>2</v>
      </c>
      <c r="O1028" t="s">
        <v>1377</v>
      </c>
      <c r="P1028" t="s">
        <v>1376</v>
      </c>
      <c r="Q1028" t="s">
        <v>765</v>
      </c>
      <c r="R1028" s="7">
        <v>33970</v>
      </c>
      <c r="S1028" s="8">
        <f t="shared" si="128"/>
        <v>1993</v>
      </c>
      <c r="T1028" s="8">
        <v>1993</v>
      </c>
      <c r="U1028" s="8">
        <f t="shared" si="129"/>
        <v>29</v>
      </c>
      <c r="V1028" s="7">
        <v>33970</v>
      </c>
      <c r="W1028" t="s">
        <v>814</v>
      </c>
      <c r="X1028" s="2">
        <v>1.6519999999999999</v>
      </c>
      <c r="Y1028" s="6">
        <f t="shared" si="134"/>
        <v>4.409919649769093E-2</v>
      </c>
      <c r="AA1028" t="s">
        <v>813</v>
      </c>
      <c r="AB1028">
        <v>17337</v>
      </c>
      <c r="AC1028">
        <v>15582221</v>
      </c>
      <c r="AD1028" t="s">
        <v>5</v>
      </c>
      <c r="AE1028">
        <v>41</v>
      </c>
      <c r="AF1028">
        <v>1</v>
      </c>
      <c r="AH1028" t="s">
        <v>1375</v>
      </c>
      <c r="AI1028" t="s">
        <v>1374</v>
      </c>
      <c r="AK1028" t="s">
        <v>1373</v>
      </c>
      <c r="AL1028">
        <v>9</v>
      </c>
      <c r="AM1028" s="5">
        <f t="shared" si="130"/>
        <v>0.31034482758620691</v>
      </c>
      <c r="AN1028" s="4">
        <f t="shared" si="135"/>
        <v>4.7004138975570908E-4</v>
      </c>
      <c r="AO1028" s="3"/>
      <c r="AP1028">
        <v>0</v>
      </c>
      <c r="AQ1028" t="s">
        <v>761</v>
      </c>
      <c r="AR1028" t="s">
        <v>1372</v>
      </c>
      <c r="AS1028" t="s">
        <v>759</v>
      </c>
      <c r="AT1028" s="2" t="s">
        <v>0</v>
      </c>
      <c r="AU1028" s="1">
        <f t="shared" si="131"/>
        <v>3.1010449965310363</v>
      </c>
      <c r="AV1028" s="1">
        <f t="shared" si="132"/>
        <v>2.228461894372332</v>
      </c>
      <c r="AW1028" s="1">
        <f t="shared" si="133"/>
        <v>1.3558787922136275</v>
      </c>
    </row>
    <row r="1029" spans="1:49" x14ac:dyDescent="0.2">
      <c r="A1029">
        <v>1027</v>
      </c>
      <c r="B1029" t="s">
        <v>1371</v>
      </c>
      <c r="C1029" t="s">
        <v>1370</v>
      </c>
      <c r="F1029" t="s">
        <v>1369</v>
      </c>
      <c r="G1029" t="s">
        <v>15</v>
      </c>
      <c r="H1029" t="s">
        <v>14</v>
      </c>
      <c r="I1029" t="s">
        <v>1368</v>
      </c>
      <c r="J1029" t="s">
        <v>1367</v>
      </c>
      <c r="K1029" t="s">
        <v>1366</v>
      </c>
      <c r="L1029" t="s">
        <v>1365</v>
      </c>
      <c r="M1029" t="s">
        <v>235</v>
      </c>
      <c r="N1029">
        <v>2</v>
      </c>
      <c r="O1029" t="s">
        <v>1364</v>
      </c>
      <c r="P1029" t="s">
        <v>1363</v>
      </c>
      <c r="Q1029" t="s">
        <v>1362</v>
      </c>
      <c r="R1029" s="7">
        <v>33970</v>
      </c>
      <c r="S1029" s="8">
        <f t="shared" si="128"/>
        <v>1993</v>
      </c>
      <c r="T1029" s="8">
        <v>1993</v>
      </c>
      <c r="U1029" s="8">
        <f t="shared" si="129"/>
        <v>29</v>
      </c>
      <c r="V1029" s="7">
        <v>33970</v>
      </c>
      <c r="W1029" t="s">
        <v>587</v>
      </c>
      <c r="X1029" s="2">
        <v>1.137</v>
      </c>
      <c r="Y1029" s="6">
        <f t="shared" si="134"/>
        <v>3.0351565628253384E-2</v>
      </c>
      <c r="AA1029">
        <v>189251</v>
      </c>
      <c r="AB1029">
        <v>17336</v>
      </c>
      <c r="AD1029" t="s">
        <v>5</v>
      </c>
      <c r="AE1029">
        <v>29</v>
      </c>
      <c r="AF1029">
        <v>1</v>
      </c>
      <c r="AH1029" t="s">
        <v>1361</v>
      </c>
      <c r="AI1029" t="s">
        <v>1360</v>
      </c>
      <c r="AK1029" t="s">
        <v>1359</v>
      </c>
      <c r="AL1029">
        <v>155</v>
      </c>
      <c r="AM1029" s="5">
        <f t="shared" si="130"/>
        <v>5.3448275862068968</v>
      </c>
      <c r="AN1029" s="4">
        <f t="shared" si="135"/>
        <v>8.0951572680149891E-3</v>
      </c>
      <c r="AO1029" s="3"/>
      <c r="AP1029">
        <v>0</v>
      </c>
      <c r="AQ1029" t="s">
        <v>1358</v>
      </c>
      <c r="AR1029" t="s">
        <v>1357</v>
      </c>
      <c r="AS1029" t="s">
        <v>1356</v>
      </c>
      <c r="AT1029" s="2" t="s">
        <v>0</v>
      </c>
      <c r="AU1029" s="1">
        <f t="shared" si="131"/>
        <v>2.3674643120181864</v>
      </c>
      <c r="AV1029" s="1">
        <f t="shared" si="132"/>
        <v>1.9223361448134186</v>
      </c>
      <c r="AW1029" s="1">
        <f t="shared" si="133"/>
        <v>1.4772079776086509</v>
      </c>
    </row>
    <row r="1030" spans="1:49" x14ac:dyDescent="0.2">
      <c r="A1030">
        <v>1028</v>
      </c>
      <c r="B1030" t="s">
        <v>1355</v>
      </c>
      <c r="C1030" t="s">
        <v>1354</v>
      </c>
      <c r="F1030" t="s">
        <v>1353</v>
      </c>
      <c r="G1030" t="s">
        <v>15</v>
      </c>
      <c r="H1030" t="s">
        <v>14</v>
      </c>
      <c r="I1030" t="s">
        <v>1352</v>
      </c>
      <c r="J1030">
        <v>60029284</v>
      </c>
      <c r="K1030" t="s">
        <v>1351</v>
      </c>
      <c r="L1030" t="s">
        <v>1350</v>
      </c>
      <c r="M1030" t="s">
        <v>576</v>
      </c>
      <c r="N1030">
        <v>2</v>
      </c>
      <c r="O1030" t="s">
        <v>1349</v>
      </c>
      <c r="P1030" t="s">
        <v>1348</v>
      </c>
      <c r="Q1030" t="s">
        <v>1347</v>
      </c>
      <c r="R1030" s="7">
        <v>33970</v>
      </c>
      <c r="S1030" s="8">
        <f t="shared" si="128"/>
        <v>1993</v>
      </c>
      <c r="T1030" s="8">
        <v>1993</v>
      </c>
      <c r="U1030" s="8">
        <f t="shared" si="129"/>
        <v>29</v>
      </c>
      <c r="V1030" s="7">
        <v>33970</v>
      </c>
      <c r="W1030" t="s">
        <v>548</v>
      </c>
      <c r="X1030" s="2">
        <v>1.3720000000000001</v>
      </c>
      <c r="Y1030" s="6">
        <f t="shared" si="134"/>
        <v>3.662475641333654E-2</v>
      </c>
      <c r="AA1030">
        <v>189480</v>
      </c>
      <c r="AB1030">
        <v>17366</v>
      </c>
      <c r="AC1030">
        <v>15579670</v>
      </c>
      <c r="AD1030" t="s">
        <v>5</v>
      </c>
      <c r="AE1030">
        <v>41</v>
      </c>
      <c r="AF1030">
        <v>1</v>
      </c>
      <c r="AH1030" t="s">
        <v>1346</v>
      </c>
      <c r="AI1030" t="s">
        <v>1345</v>
      </c>
      <c r="AK1030" t="s">
        <v>1344</v>
      </c>
      <c r="AL1030">
        <v>43</v>
      </c>
      <c r="AM1030" s="5">
        <f t="shared" si="130"/>
        <v>1.4827586206896552</v>
      </c>
      <c r="AN1030" s="4">
        <f t="shared" si="135"/>
        <v>2.2457533066106098E-3</v>
      </c>
      <c r="AO1030" s="3"/>
      <c r="AP1030">
        <v>0</v>
      </c>
      <c r="AR1030" t="s">
        <v>1</v>
      </c>
      <c r="AT1030" s="2" t="s">
        <v>0</v>
      </c>
      <c r="AU1030" s="1">
        <f t="shared" si="131"/>
        <v>2.6311055481318757</v>
      </c>
      <c r="AV1030" s="1">
        <f t="shared" si="132"/>
        <v>1.9435254859973574</v>
      </c>
      <c r="AW1030" s="1">
        <f t="shared" si="133"/>
        <v>1.2559454238628389</v>
      </c>
    </row>
    <row r="1031" spans="1:49" x14ac:dyDescent="0.2">
      <c r="A1031">
        <v>1029</v>
      </c>
      <c r="B1031" t="s">
        <v>1343</v>
      </c>
      <c r="C1031" t="s">
        <v>1342</v>
      </c>
      <c r="F1031" t="s">
        <v>1341</v>
      </c>
      <c r="G1031" t="s">
        <v>15</v>
      </c>
      <c r="H1031" t="s">
        <v>14</v>
      </c>
      <c r="I1031" t="s">
        <v>1340</v>
      </c>
      <c r="J1031" t="s">
        <v>1339</v>
      </c>
      <c r="K1031" t="s">
        <v>1338</v>
      </c>
      <c r="L1031" t="s">
        <v>1337</v>
      </c>
      <c r="M1031" t="s">
        <v>235</v>
      </c>
      <c r="N1031">
        <v>1</v>
      </c>
      <c r="O1031" t="s">
        <v>1336</v>
      </c>
      <c r="P1031">
        <v>7103174511</v>
      </c>
      <c r="Q1031" t="s">
        <v>1335</v>
      </c>
      <c r="R1031" s="7">
        <v>33970</v>
      </c>
      <c r="S1031" s="8">
        <f t="shared" si="128"/>
        <v>1993</v>
      </c>
      <c r="T1031" s="8">
        <v>1993</v>
      </c>
      <c r="U1031" s="8">
        <f t="shared" si="129"/>
        <v>29</v>
      </c>
      <c r="V1031" s="7">
        <v>33970</v>
      </c>
      <c r="W1031" t="s">
        <v>1064</v>
      </c>
      <c r="X1031" s="2">
        <v>2.141</v>
      </c>
      <c r="Y1031" s="6">
        <f t="shared" si="134"/>
        <v>5.7152772216438434E-2</v>
      </c>
      <c r="AA1031">
        <v>1962892</v>
      </c>
      <c r="AB1031">
        <v>17360</v>
      </c>
      <c r="AC1031">
        <v>15580644</v>
      </c>
      <c r="AD1031" t="s">
        <v>5</v>
      </c>
      <c r="AE1031">
        <v>31</v>
      </c>
      <c r="AF1031">
        <v>1</v>
      </c>
      <c r="AH1031" t="s">
        <v>1334</v>
      </c>
      <c r="AI1031" t="s">
        <v>1333</v>
      </c>
      <c r="AK1031" t="s">
        <v>1332</v>
      </c>
      <c r="AL1031">
        <v>137</v>
      </c>
      <c r="AM1031" s="5">
        <f t="shared" si="130"/>
        <v>4.7241379310344831</v>
      </c>
      <c r="AN1031" s="4">
        <f t="shared" si="135"/>
        <v>7.1550744885035718E-3</v>
      </c>
      <c r="AO1031" s="3"/>
      <c r="AP1031">
        <v>0</v>
      </c>
      <c r="AQ1031" t="s">
        <v>639</v>
      </c>
      <c r="AR1031" t="s">
        <v>1</v>
      </c>
      <c r="AS1031" t="s">
        <v>638</v>
      </c>
      <c r="AT1031" s="2" t="s">
        <v>0</v>
      </c>
      <c r="AU1031" s="1">
        <f t="shared" si="131"/>
        <v>4.2153462898057974</v>
      </c>
      <c r="AV1031" s="1">
        <f t="shared" si="132"/>
        <v>3.2153923352471003</v>
      </c>
      <c r="AW1031" s="1">
        <f t="shared" si="133"/>
        <v>2.2154383806884033</v>
      </c>
    </row>
    <row r="1032" spans="1:49" x14ac:dyDescent="0.2">
      <c r="A1032">
        <v>1030</v>
      </c>
      <c r="B1032" t="s">
        <v>1331</v>
      </c>
      <c r="F1032" t="s">
        <v>1330</v>
      </c>
      <c r="G1032" t="s">
        <v>15</v>
      </c>
      <c r="H1032" t="s">
        <v>14</v>
      </c>
      <c r="I1032" t="s">
        <v>1329</v>
      </c>
      <c r="J1032">
        <v>60028668</v>
      </c>
      <c r="K1032" t="s">
        <v>1328</v>
      </c>
      <c r="L1032" t="s">
        <v>1327</v>
      </c>
      <c r="M1032" t="s">
        <v>10</v>
      </c>
      <c r="N1032">
        <v>1</v>
      </c>
      <c r="O1032" t="s">
        <v>1326</v>
      </c>
      <c r="P1032">
        <v>6602793687</v>
      </c>
      <c r="Q1032">
        <v>60028668</v>
      </c>
      <c r="R1032" s="7">
        <v>33970</v>
      </c>
      <c r="S1032" s="8">
        <f t="shared" si="128"/>
        <v>1993</v>
      </c>
      <c r="T1032" s="8">
        <v>1993</v>
      </c>
      <c r="U1032" s="8">
        <f t="shared" si="129"/>
        <v>29</v>
      </c>
      <c r="V1032" s="7">
        <v>1993</v>
      </c>
      <c r="W1032" t="s">
        <v>561</v>
      </c>
      <c r="X1032" s="2">
        <v>0.216</v>
      </c>
      <c r="Y1032" s="6">
        <f t="shared" si="134"/>
        <v>5.765996636501962E-3</v>
      </c>
      <c r="AA1032">
        <v>10544887</v>
      </c>
      <c r="AB1032">
        <v>13200</v>
      </c>
      <c r="AD1032" t="s">
        <v>5</v>
      </c>
      <c r="AE1032">
        <v>8</v>
      </c>
      <c r="AF1032">
        <v>2</v>
      </c>
      <c r="AH1032" t="s">
        <v>1325</v>
      </c>
      <c r="AI1032" t="s">
        <v>1324</v>
      </c>
      <c r="AK1032" t="s">
        <v>1323</v>
      </c>
      <c r="AL1032">
        <v>0</v>
      </c>
      <c r="AM1032" s="5">
        <f t="shared" si="130"/>
        <v>0</v>
      </c>
      <c r="AN1032" s="4">
        <f t="shared" si="135"/>
        <v>0</v>
      </c>
      <c r="AO1032" s="3"/>
      <c r="AP1032">
        <v>0</v>
      </c>
      <c r="AR1032" t="s">
        <v>1</v>
      </c>
      <c r="AT1032" s="2" t="s">
        <v>0</v>
      </c>
      <c r="AU1032" s="1">
        <f t="shared" si="131"/>
        <v>0.40361976455513726</v>
      </c>
      <c r="AV1032" s="1">
        <f t="shared" si="132"/>
        <v>0.28829983182509811</v>
      </c>
      <c r="AW1032" s="1">
        <f t="shared" si="133"/>
        <v>0.17297989909505887</v>
      </c>
    </row>
    <row r="1033" spans="1:49" x14ac:dyDescent="0.2">
      <c r="A1033">
        <v>1031</v>
      </c>
      <c r="B1033" t="s">
        <v>1322</v>
      </c>
      <c r="C1033" t="s">
        <v>1321</v>
      </c>
      <c r="E1033">
        <v>7690947</v>
      </c>
      <c r="F1033" t="s">
        <v>1320</v>
      </c>
      <c r="G1033" t="s">
        <v>15</v>
      </c>
      <c r="H1033" t="s">
        <v>14</v>
      </c>
      <c r="I1033" t="s">
        <v>1319</v>
      </c>
      <c r="J1033">
        <v>60007200</v>
      </c>
      <c r="K1033" t="s">
        <v>1318</v>
      </c>
      <c r="L1033" t="s">
        <v>1317</v>
      </c>
      <c r="M1033" t="s">
        <v>10</v>
      </c>
      <c r="N1033">
        <v>5</v>
      </c>
      <c r="O1033" t="s">
        <v>1316</v>
      </c>
      <c r="P1033" t="s">
        <v>1315</v>
      </c>
      <c r="Q1033" t="s">
        <v>1314</v>
      </c>
      <c r="R1033" s="7">
        <v>33970</v>
      </c>
      <c r="S1033" s="8">
        <f t="shared" si="128"/>
        <v>1993</v>
      </c>
      <c r="T1033" s="8">
        <v>1993</v>
      </c>
      <c r="U1033" s="8">
        <f t="shared" si="129"/>
        <v>29</v>
      </c>
      <c r="V1033" s="7">
        <v>34182</v>
      </c>
      <c r="W1033" t="s">
        <v>1313</v>
      </c>
      <c r="X1033" s="2" t="s">
        <v>0</v>
      </c>
      <c r="Y1033" s="6" t="e">
        <f t="shared" si="134"/>
        <v>#VALUE!</v>
      </c>
      <c r="AA1033">
        <v>1478389</v>
      </c>
      <c r="AB1033">
        <v>20516</v>
      </c>
      <c r="AC1033">
        <v>15408159</v>
      </c>
      <c r="AD1033" t="s">
        <v>5</v>
      </c>
      <c r="AE1033">
        <v>16</v>
      </c>
      <c r="AF1033">
        <v>8</v>
      </c>
      <c r="AH1033" t="s">
        <v>1312</v>
      </c>
      <c r="AI1033" t="s">
        <v>1311</v>
      </c>
      <c r="AJ1033" t="s">
        <v>1310</v>
      </c>
      <c r="AK1033" t="s">
        <v>1309</v>
      </c>
      <c r="AL1033">
        <v>42</v>
      </c>
      <c r="AM1033" s="5">
        <f t="shared" si="130"/>
        <v>1.4482758620689655</v>
      </c>
      <c r="AN1033" s="4">
        <f t="shared" si="135"/>
        <v>2.1935264855266422E-3</v>
      </c>
      <c r="AO1033" s="3"/>
      <c r="AP1033">
        <v>0</v>
      </c>
      <c r="AR1033" t="s">
        <v>1</v>
      </c>
      <c r="AT1033" s="2" t="s">
        <v>0</v>
      </c>
      <c r="AU1033" s="1" t="e">
        <f t="shared" si="131"/>
        <v>#VALUE!</v>
      </c>
      <c r="AV1033" s="1" t="e">
        <f t="shared" si="132"/>
        <v>#VALUE!</v>
      </c>
      <c r="AW1033" s="1" t="e">
        <f t="shared" si="133"/>
        <v>#VALUE!</v>
      </c>
    </row>
    <row r="1034" spans="1:49" x14ac:dyDescent="0.2">
      <c r="A1034">
        <v>1032</v>
      </c>
      <c r="B1034" t="s">
        <v>1308</v>
      </c>
      <c r="C1034" t="s">
        <v>1307</v>
      </c>
      <c r="F1034" t="s">
        <v>1306</v>
      </c>
      <c r="G1034" t="s">
        <v>15</v>
      </c>
      <c r="H1034" t="s">
        <v>14</v>
      </c>
      <c r="I1034" t="s">
        <v>1305</v>
      </c>
      <c r="J1034" t="s">
        <v>1299</v>
      </c>
      <c r="K1034" t="s">
        <v>1304</v>
      </c>
      <c r="L1034" t="s">
        <v>1303</v>
      </c>
      <c r="M1034" t="s">
        <v>1302</v>
      </c>
      <c r="N1034">
        <v>2</v>
      </c>
      <c r="O1034" t="s">
        <v>1301</v>
      </c>
      <c r="P1034" t="s">
        <v>1300</v>
      </c>
      <c r="Q1034" t="s">
        <v>1299</v>
      </c>
      <c r="R1034" s="7">
        <v>33970</v>
      </c>
      <c r="S1034" s="8">
        <f t="shared" si="128"/>
        <v>1993</v>
      </c>
      <c r="T1034" s="8">
        <v>1993</v>
      </c>
      <c r="U1034" s="8">
        <f t="shared" si="129"/>
        <v>29</v>
      </c>
      <c r="V1034" s="7">
        <v>33970</v>
      </c>
      <c r="W1034" t="s">
        <v>814</v>
      </c>
      <c r="X1034" s="2">
        <v>1.6519999999999999</v>
      </c>
      <c r="Y1034" s="6">
        <f t="shared" si="134"/>
        <v>4.409919649769093E-2</v>
      </c>
      <c r="AA1034" t="s">
        <v>813</v>
      </c>
      <c r="AB1034">
        <v>17337</v>
      </c>
      <c r="AC1034">
        <v>15582221</v>
      </c>
      <c r="AD1034" t="s">
        <v>5</v>
      </c>
      <c r="AE1034">
        <v>41</v>
      </c>
      <c r="AF1034">
        <v>1</v>
      </c>
      <c r="AH1034" t="s">
        <v>1298</v>
      </c>
      <c r="AI1034" t="s">
        <v>1297</v>
      </c>
      <c r="AK1034" t="s">
        <v>1296</v>
      </c>
      <c r="AL1034">
        <v>122</v>
      </c>
      <c r="AM1034" s="5">
        <f t="shared" si="130"/>
        <v>4.2068965517241379</v>
      </c>
      <c r="AN1034" s="4">
        <f t="shared" si="135"/>
        <v>6.3716721722440559E-3</v>
      </c>
      <c r="AO1034" s="3"/>
      <c r="AP1034">
        <v>0</v>
      </c>
      <c r="AR1034" t="s">
        <v>1295</v>
      </c>
      <c r="AS1034" t="s">
        <v>1294</v>
      </c>
      <c r="AT1034" s="2" t="s">
        <v>0</v>
      </c>
      <c r="AU1034" s="1">
        <f t="shared" si="131"/>
        <v>3.2780939200056869</v>
      </c>
      <c r="AV1034" s="1">
        <f t="shared" si="132"/>
        <v>2.5235434334967493</v>
      </c>
      <c r="AW1034" s="1">
        <f t="shared" si="133"/>
        <v>1.7689929469878116</v>
      </c>
    </row>
    <row r="1035" spans="1:49" x14ac:dyDescent="0.2">
      <c r="A1035">
        <v>1033</v>
      </c>
      <c r="B1035" t="s">
        <v>1293</v>
      </c>
      <c r="C1035" t="s">
        <v>1292</v>
      </c>
      <c r="F1035" t="s">
        <v>1291</v>
      </c>
      <c r="G1035" t="s">
        <v>15</v>
      </c>
      <c r="H1035" t="s">
        <v>14</v>
      </c>
      <c r="I1035" t="s">
        <v>1290</v>
      </c>
      <c r="J1035">
        <v>60008447</v>
      </c>
      <c r="K1035" t="s">
        <v>1289</v>
      </c>
      <c r="L1035" t="s">
        <v>1288</v>
      </c>
      <c r="M1035" t="s">
        <v>303</v>
      </c>
      <c r="N1035">
        <v>2</v>
      </c>
      <c r="O1035" t="s">
        <v>1287</v>
      </c>
      <c r="P1035" t="s">
        <v>1286</v>
      </c>
      <c r="Q1035" t="s">
        <v>1285</v>
      </c>
      <c r="R1035" s="7">
        <v>33970</v>
      </c>
      <c r="S1035" s="8">
        <f t="shared" si="128"/>
        <v>1993</v>
      </c>
      <c r="T1035" s="8">
        <v>1993</v>
      </c>
      <c r="U1035" s="8">
        <f t="shared" si="129"/>
        <v>29</v>
      </c>
      <c r="V1035" s="7">
        <v>33970</v>
      </c>
      <c r="W1035" t="s">
        <v>1284</v>
      </c>
      <c r="X1035" s="2">
        <v>0.33500000000000002</v>
      </c>
      <c r="Y1035" s="6">
        <f t="shared" si="134"/>
        <v>8.94263367235258E-3</v>
      </c>
      <c r="AA1035">
        <v>10501827</v>
      </c>
      <c r="AB1035">
        <v>78233</v>
      </c>
      <c r="AC1035">
        <v>15226301</v>
      </c>
      <c r="AD1035" t="s">
        <v>5</v>
      </c>
      <c r="AE1035">
        <v>3</v>
      </c>
      <c r="AF1035">
        <v>1</v>
      </c>
      <c r="AH1035" t="s">
        <v>1283</v>
      </c>
      <c r="AI1035" t="s">
        <v>1282</v>
      </c>
      <c r="AK1035" t="s">
        <v>1281</v>
      </c>
      <c r="AL1035">
        <v>18</v>
      </c>
      <c r="AM1035" s="5">
        <f t="shared" si="130"/>
        <v>0.62068965517241381</v>
      </c>
      <c r="AN1035" s="4">
        <f t="shared" si="135"/>
        <v>9.4008277951141816E-4</v>
      </c>
      <c r="AO1035" s="3"/>
      <c r="AP1035">
        <v>0</v>
      </c>
      <c r="AR1035" t="s">
        <v>1</v>
      </c>
      <c r="AT1035" s="2" t="s">
        <v>0</v>
      </c>
      <c r="AU1035" s="1">
        <f t="shared" si="131"/>
        <v>0.65418684045002307</v>
      </c>
      <c r="AV1035" s="1">
        <f t="shared" si="132"/>
        <v>0.49413582259319988</v>
      </c>
      <c r="AW1035" s="1">
        <f t="shared" si="133"/>
        <v>0.33408480473637664</v>
      </c>
    </row>
    <row r="1036" spans="1:49" x14ac:dyDescent="0.2">
      <c r="A1036">
        <v>1034</v>
      </c>
      <c r="B1036" t="s">
        <v>1280</v>
      </c>
      <c r="C1036" t="s">
        <v>1279</v>
      </c>
      <c r="F1036" t="s">
        <v>1278</v>
      </c>
      <c r="G1036" t="s">
        <v>15</v>
      </c>
      <c r="H1036" t="s">
        <v>14</v>
      </c>
      <c r="I1036" t="s">
        <v>1277</v>
      </c>
      <c r="J1036">
        <v>60014662</v>
      </c>
      <c r="K1036" t="s">
        <v>1276</v>
      </c>
      <c r="L1036" t="s">
        <v>896</v>
      </c>
      <c r="M1036" t="s">
        <v>10</v>
      </c>
      <c r="N1036">
        <v>2</v>
      </c>
      <c r="O1036" t="s">
        <v>1275</v>
      </c>
      <c r="P1036" t="s">
        <v>1274</v>
      </c>
      <c r="Q1036" t="s">
        <v>1273</v>
      </c>
      <c r="R1036" s="7">
        <v>33970</v>
      </c>
      <c r="S1036" s="8">
        <f t="shared" si="128"/>
        <v>1993</v>
      </c>
      <c r="T1036" s="8">
        <v>1993</v>
      </c>
      <c r="U1036" s="8">
        <f t="shared" si="129"/>
        <v>29</v>
      </c>
      <c r="V1036" s="7">
        <v>33970</v>
      </c>
      <c r="W1036" t="s">
        <v>1272</v>
      </c>
      <c r="X1036" s="2">
        <v>0.94</v>
      </c>
      <c r="Y1036" s="6">
        <f t="shared" si="134"/>
        <v>2.5092763140332611E-2</v>
      </c>
      <c r="AA1036">
        <v>10518207</v>
      </c>
      <c r="AB1036">
        <v>63372</v>
      </c>
      <c r="AD1036" t="s">
        <v>5</v>
      </c>
      <c r="AE1036">
        <v>3</v>
      </c>
      <c r="AF1036">
        <v>1</v>
      </c>
      <c r="AH1036" t="s">
        <v>1271</v>
      </c>
      <c r="AI1036" t="s">
        <v>1270</v>
      </c>
      <c r="AK1036" t="s">
        <v>1269</v>
      </c>
      <c r="AL1036">
        <v>25</v>
      </c>
      <c r="AM1036" s="5">
        <f t="shared" si="130"/>
        <v>0.86206896551724133</v>
      </c>
      <c r="AN1036" s="4">
        <f t="shared" si="135"/>
        <v>1.3056705270991916E-3</v>
      </c>
      <c r="AO1036" s="3"/>
      <c r="AP1036">
        <v>0</v>
      </c>
      <c r="AR1036" t="s">
        <v>1</v>
      </c>
      <c r="AT1036" s="2" t="s">
        <v>0</v>
      </c>
      <c r="AU1036" s="1">
        <f t="shared" si="131"/>
        <v>1.7956635356362585</v>
      </c>
      <c r="AV1036" s="1">
        <f t="shared" si="132"/>
        <v>1.3199216833715901</v>
      </c>
      <c r="AW1036" s="1">
        <f t="shared" si="133"/>
        <v>0.84417983110692174</v>
      </c>
    </row>
    <row r="1037" spans="1:49" x14ac:dyDescent="0.2">
      <c r="A1037">
        <v>1035</v>
      </c>
      <c r="B1037" t="s">
        <v>1268</v>
      </c>
      <c r="C1037" t="s">
        <v>1267</v>
      </c>
      <c r="F1037" t="s">
        <v>1266</v>
      </c>
      <c r="G1037" t="s">
        <v>15</v>
      </c>
      <c r="H1037" t="s">
        <v>14</v>
      </c>
      <c r="I1037" t="s">
        <v>1265</v>
      </c>
      <c r="J1037">
        <v>60015009</v>
      </c>
      <c r="K1037" t="s">
        <v>1264</v>
      </c>
      <c r="L1037" t="s">
        <v>1263</v>
      </c>
      <c r="M1037" t="s">
        <v>10</v>
      </c>
      <c r="N1037">
        <v>4</v>
      </c>
      <c r="O1037" t="s">
        <v>1262</v>
      </c>
      <c r="P1037" t="s">
        <v>1261</v>
      </c>
      <c r="Q1037" t="s">
        <v>1260</v>
      </c>
      <c r="R1037" s="7">
        <v>33970</v>
      </c>
      <c r="S1037" s="8">
        <f t="shared" si="128"/>
        <v>1993</v>
      </c>
      <c r="T1037" s="8">
        <v>1993</v>
      </c>
      <c r="U1037" s="8">
        <f t="shared" si="129"/>
        <v>29</v>
      </c>
      <c r="V1037" s="7">
        <v>33970</v>
      </c>
      <c r="W1037" t="s">
        <v>814</v>
      </c>
      <c r="X1037" s="2">
        <v>1.6519999999999999</v>
      </c>
      <c r="Y1037" s="6">
        <f t="shared" si="134"/>
        <v>4.409919649769093E-2</v>
      </c>
      <c r="AA1037" t="s">
        <v>813</v>
      </c>
      <c r="AB1037">
        <v>17337</v>
      </c>
      <c r="AC1037">
        <v>15582221</v>
      </c>
      <c r="AD1037" t="s">
        <v>5</v>
      </c>
      <c r="AE1037">
        <v>41</v>
      </c>
      <c r="AF1037">
        <v>1</v>
      </c>
      <c r="AH1037" t="s">
        <v>1259</v>
      </c>
      <c r="AI1037" t="s">
        <v>1258</v>
      </c>
      <c r="AK1037" t="s">
        <v>1257</v>
      </c>
      <c r="AL1037">
        <v>8</v>
      </c>
      <c r="AM1037" s="5">
        <f t="shared" si="130"/>
        <v>0.27586206896551724</v>
      </c>
      <c r="AN1037" s="4">
        <f t="shared" si="135"/>
        <v>4.1781456867174139E-4</v>
      </c>
      <c r="AO1037" s="3"/>
      <c r="AP1037">
        <v>0</v>
      </c>
      <c r="AQ1037" t="s">
        <v>761</v>
      </c>
      <c r="AR1037" t="s">
        <v>1</v>
      </c>
      <c r="AS1037" t="s">
        <v>759</v>
      </c>
      <c r="AT1037" s="2" t="s">
        <v>0</v>
      </c>
      <c r="AU1037" s="1">
        <f t="shared" si="131"/>
        <v>3.099478191898517</v>
      </c>
      <c r="AV1037" s="1">
        <f t="shared" si="132"/>
        <v>2.2258505533181339</v>
      </c>
      <c r="AW1037" s="1">
        <f t="shared" si="133"/>
        <v>1.3522229147377498</v>
      </c>
    </row>
    <row r="1038" spans="1:49" x14ac:dyDescent="0.2">
      <c r="A1038">
        <v>1036</v>
      </c>
      <c r="B1038" t="s">
        <v>1256</v>
      </c>
      <c r="C1038" t="s">
        <v>1255</v>
      </c>
      <c r="F1038" t="s">
        <v>1254</v>
      </c>
      <c r="G1038" t="s">
        <v>15</v>
      </c>
      <c r="H1038" t="s">
        <v>14</v>
      </c>
      <c r="I1038" t="s">
        <v>1253</v>
      </c>
      <c r="J1038" t="s">
        <v>1252</v>
      </c>
      <c r="K1038" t="s">
        <v>1251</v>
      </c>
      <c r="L1038" t="s">
        <v>1250</v>
      </c>
      <c r="M1038" t="s">
        <v>235</v>
      </c>
      <c r="N1038">
        <v>5</v>
      </c>
      <c r="O1038" t="s">
        <v>1249</v>
      </c>
      <c r="P1038" t="s">
        <v>1248</v>
      </c>
      <c r="Q1038" t="s">
        <v>1247</v>
      </c>
      <c r="R1038" s="7">
        <v>33970</v>
      </c>
      <c r="S1038" s="8">
        <f t="shared" si="128"/>
        <v>1993</v>
      </c>
      <c r="T1038" s="8">
        <v>1993</v>
      </c>
      <c r="U1038" s="8">
        <f t="shared" si="129"/>
        <v>29</v>
      </c>
      <c r="V1038" s="7">
        <v>33970</v>
      </c>
      <c r="W1038" t="s">
        <v>1246</v>
      </c>
      <c r="X1038" s="2">
        <v>0.39600000000000002</v>
      </c>
      <c r="Y1038" s="6">
        <f t="shared" si="134"/>
        <v>1.0570993833586931E-2</v>
      </c>
      <c r="AA1038">
        <v>8858985</v>
      </c>
      <c r="AB1038">
        <v>25993</v>
      </c>
      <c r="AD1038" t="s">
        <v>5</v>
      </c>
      <c r="AE1038">
        <v>8</v>
      </c>
      <c r="AF1038">
        <v>1</v>
      </c>
      <c r="AH1038" s="10">
        <v>44075</v>
      </c>
      <c r="AI1038" t="s">
        <v>1245</v>
      </c>
      <c r="AK1038" t="s">
        <v>1244</v>
      </c>
      <c r="AL1038">
        <v>0</v>
      </c>
      <c r="AM1038" s="5">
        <f t="shared" si="130"/>
        <v>0</v>
      </c>
      <c r="AN1038" s="4">
        <f t="shared" si="135"/>
        <v>0</v>
      </c>
      <c r="AO1038" s="3"/>
      <c r="AP1038">
        <v>0</v>
      </c>
      <c r="AR1038" t="s">
        <v>1</v>
      </c>
      <c r="AT1038" s="2" t="s">
        <v>0</v>
      </c>
      <c r="AU1038" s="1">
        <f t="shared" si="131"/>
        <v>0.73996956835108518</v>
      </c>
      <c r="AV1038" s="1">
        <f t="shared" si="132"/>
        <v>0.52854969167934651</v>
      </c>
      <c r="AW1038" s="1">
        <f t="shared" si="133"/>
        <v>0.3171298150076079</v>
      </c>
    </row>
    <row r="1039" spans="1:49" x14ac:dyDescent="0.2">
      <c r="A1039">
        <v>1037</v>
      </c>
      <c r="B1039" t="s">
        <v>1243</v>
      </c>
      <c r="C1039" t="s">
        <v>1242</v>
      </c>
      <c r="F1039" t="s">
        <v>1241</v>
      </c>
      <c r="G1039" t="s">
        <v>15</v>
      </c>
      <c r="H1039" t="s">
        <v>14</v>
      </c>
      <c r="I1039" t="s">
        <v>1240</v>
      </c>
      <c r="J1039" t="s">
        <v>1239</v>
      </c>
      <c r="K1039" t="s">
        <v>1238</v>
      </c>
      <c r="L1039" t="s">
        <v>1237</v>
      </c>
      <c r="M1039" t="s">
        <v>1236</v>
      </c>
      <c r="N1039">
        <v>3</v>
      </c>
      <c r="O1039" t="s">
        <v>1235</v>
      </c>
      <c r="P1039" t="s">
        <v>1234</v>
      </c>
      <c r="Q1039" t="s">
        <v>1233</v>
      </c>
      <c r="R1039" s="7">
        <v>33970</v>
      </c>
      <c r="S1039" s="8">
        <f t="shared" si="128"/>
        <v>1993</v>
      </c>
      <c r="T1039" s="8">
        <v>1993</v>
      </c>
      <c r="U1039" s="8">
        <f t="shared" si="129"/>
        <v>29</v>
      </c>
      <c r="V1039" s="7">
        <v>33970</v>
      </c>
      <c r="W1039" t="s">
        <v>814</v>
      </c>
      <c r="X1039" s="2">
        <v>1.6519999999999999</v>
      </c>
      <c r="Y1039" s="6">
        <f t="shared" si="134"/>
        <v>4.409919649769093E-2</v>
      </c>
      <c r="AA1039" t="s">
        <v>813</v>
      </c>
      <c r="AB1039">
        <v>17337</v>
      </c>
      <c r="AC1039">
        <v>15582221</v>
      </c>
      <c r="AD1039" t="s">
        <v>5</v>
      </c>
      <c r="AE1039">
        <v>41</v>
      </c>
      <c r="AF1039">
        <v>1</v>
      </c>
      <c r="AH1039" t="s">
        <v>1232</v>
      </c>
      <c r="AI1039" t="s">
        <v>1231</v>
      </c>
      <c r="AK1039" t="s">
        <v>1230</v>
      </c>
      <c r="AL1039">
        <v>5</v>
      </c>
      <c r="AM1039" s="5">
        <f t="shared" si="130"/>
        <v>0.17241379310344829</v>
      </c>
      <c r="AN1039" s="4">
        <f t="shared" si="135"/>
        <v>2.6113410541983838E-4</v>
      </c>
      <c r="AO1039" s="3"/>
      <c r="AP1039">
        <v>0</v>
      </c>
      <c r="AR1039" t="s">
        <v>1</v>
      </c>
      <c r="AT1039" s="2" t="s">
        <v>0</v>
      </c>
      <c r="AU1039" s="1">
        <f t="shared" si="131"/>
        <v>3.0947777780009602</v>
      </c>
      <c r="AV1039" s="1">
        <f t="shared" si="132"/>
        <v>2.2180165301555381</v>
      </c>
      <c r="AW1039" s="1">
        <f t="shared" si="133"/>
        <v>1.3412552823101165</v>
      </c>
    </row>
    <row r="1040" spans="1:49" x14ac:dyDescent="0.2">
      <c r="A1040">
        <v>1038</v>
      </c>
      <c r="B1040" t="s">
        <v>1229</v>
      </c>
      <c r="C1040" t="s">
        <v>1228</v>
      </c>
      <c r="D1040" t="s">
        <v>1227</v>
      </c>
      <c r="F1040" t="s">
        <v>1226</v>
      </c>
      <c r="G1040" t="s">
        <v>15</v>
      </c>
      <c r="H1040" t="s">
        <v>14</v>
      </c>
      <c r="I1040" t="s">
        <v>1225</v>
      </c>
      <c r="J1040">
        <v>60016649</v>
      </c>
      <c r="K1040" t="s">
        <v>1224</v>
      </c>
      <c r="L1040" t="s">
        <v>1223</v>
      </c>
      <c r="M1040" t="s">
        <v>576</v>
      </c>
      <c r="N1040">
        <v>3</v>
      </c>
      <c r="O1040" t="s">
        <v>1222</v>
      </c>
      <c r="P1040" t="s">
        <v>1221</v>
      </c>
      <c r="Q1040" t="s">
        <v>1220</v>
      </c>
      <c r="R1040" s="7">
        <v>33970</v>
      </c>
      <c r="S1040" s="8">
        <f t="shared" si="128"/>
        <v>1993</v>
      </c>
      <c r="T1040" s="8">
        <v>1993</v>
      </c>
      <c r="U1040" s="8">
        <f t="shared" si="129"/>
        <v>29</v>
      </c>
      <c r="V1040" s="7">
        <v>33970</v>
      </c>
      <c r="W1040" t="s">
        <v>574</v>
      </c>
      <c r="X1040" s="2">
        <v>0.44500000000000001</v>
      </c>
      <c r="Y1040" s="6">
        <f t="shared" si="134"/>
        <v>1.1879020848348951E-2</v>
      </c>
      <c r="AA1040">
        <v>262714</v>
      </c>
      <c r="AB1040">
        <v>26717</v>
      </c>
      <c r="AD1040" t="s">
        <v>5</v>
      </c>
      <c r="AE1040">
        <v>33</v>
      </c>
      <c r="AF1040">
        <v>2</v>
      </c>
      <c r="AH1040" t="s">
        <v>1219</v>
      </c>
      <c r="AI1040" t="s">
        <v>1218</v>
      </c>
      <c r="AK1040" t="s">
        <v>1217</v>
      </c>
      <c r="AL1040">
        <v>4</v>
      </c>
      <c r="AM1040" s="5">
        <f t="shared" si="130"/>
        <v>0.13793103448275862</v>
      </c>
      <c r="AN1040" s="4">
        <f t="shared" si="135"/>
        <v>2.089072843358707E-4</v>
      </c>
      <c r="AO1040" s="3"/>
      <c r="AP1040">
        <v>0</v>
      </c>
      <c r="AR1040" t="s">
        <v>1</v>
      </c>
      <c r="AT1040" s="2">
        <v>1.589</v>
      </c>
      <c r="AU1040" s="1">
        <f t="shared" si="131"/>
        <v>0.83779867791450247</v>
      </c>
      <c r="AV1040" s="1">
        <f t="shared" si="132"/>
        <v>0.6043964066342411</v>
      </c>
      <c r="AW1040" s="1">
        <f t="shared" si="133"/>
        <v>0.3709941353539794</v>
      </c>
    </row>
    <row r="1041" spans="1:49" x14ac:dyDescent="0.2">
      <c r="A1041">
        <v>1039</v>
      </c>
      <c r="B1041" t="s">
        <v>1216</v>
      </c>
      <c r="F1041" t="s">
        <v>1215</v>
      </c>
      <c r="G1041" t="s">
        <v>15</v>
      </c>
      <c r="H1041" t="s">
        <v>14</v>
      </c>
      <c r="I1041" t="s">
        <v>1092</v>
      </c>
      <c r="N1041">
        <v>1</v>
      </c>
      <c r="O1041" t="s">
        <v>1091</v>
      </c>
      <c r="P1041">
        <v>7403577519</v>
      </c>
      <c r="R1041" s="7">
        <v>33970</v>
      </c>
      <c r="S1041" s="8">
        <f t="shared" si="128"/>
        <v>1993</v>
      </c>
      <c r="T1041" s="8">
        <v>1993</v>
      </c>
      <c r="U1041" s="8">
        <f t="shared" si="129"/>
        <v>29</v>
      </c>
      <c r="V1041" s="7">
        <v>1993</v>
      </c>
      <c r="W1041" t="s">
        <v>1090</v>
      </c>
      <c r="X1041" s="2" t="s">
        <v>0</v>
      </c>
      <c r="Y1041" s="6" t="e">
        <f t="shared" si="134"/>
        <v>#VALUE!</v>
      </c>
      <c r="AA1041">
        <v>3669092</v>
      </c>
      <c r="AB1041">
        <v>71939</v>
      </c>
      <c r="AD1041" t="s">
        <v>5</v>
      </c>
      <c r="AE1041">
        <v>57</v>
      </c>
      <c r="AF1041">
        <v>1</v>
      </c>
      <c r="AH1041" t="s">
        <v>1214</v>
      </c>
      <c r="AI1041" t="s">
        <v>1213</v>
      </c>
      <c r="AK1041" t="s">
        <v>1212</v>
      </c>
      <c r="AL1041">
        <v>0</v>
      </c>
      <c r="AM1041" s="5">
        <f t="shared" si="130"/>
        <v>0</v>
      </c>
      <c r="AN1041" s="4">
        <f t="shared" si="135"/>
        <v>0</v>
      </c>
      <c r="AO1041" s="3"/>
      <c r="AP1041">
        <v>0</v>
      </c>
      <c r="AR1041" t="s">
        <v>1</v>
      </c>
      <c r="AT1041" s="2" t="s">
        <v>0</v>
      </c>
      <c r="AU1041" s="1" t="e">
        <f t="shared" si="131"/>
        <v>#VALUE!</v>
      </c>
      <c r="AV1041" s="1" t="e">
        <f t="shared" si="132"/>
        <v>#VALUE!</v>
      </c>
      <c r="AW1041" s="1" t="e">
        <f t="shared" si="133"/>
        <v>#VALUE!</v>
      </c>
    </row>
    <row r="1042" spans="1:49" x14ac:dyDescent="0.2">
      <c r="A1042">
        <v>1040</v>
      </c>
      <c r="B1042" t="s">
        <v>1211</v>
      </c>
      <c r="C1042" t="s">
        <v>1210</v>
      </c>
      <c r="E1042">
        <v>8347589</v>
      </c>
      <c r="F1042" t="s">
        <v>1209</v>
      </c>
      <c r="G1042" t="s">
        <v>15</v>
      </c>
      <c r="H1042" t="s">
        <v>14</v>
      </c>
      <c r="I1042" t="s">
        <v>1208</v>
      </c>
      <c r="J1042" t="s">
        <v>1202</v>
      </c>
      <c r="K1042" t="s">
        <v>1207</v>
      </c>
      <c r="L1042" t="s">
        <v>1206</v>
      </c>
      <c r="M1042" t="s">
        <v>1205</v>
      </c>
      <c r="N1042">
        <v>2</v>
      </c>
      <c r="O1042" t="s">
        <v>1204</v>
      </c>
      <c r="P1042" t="s">
        <v>1203</v>
      </c>
      <c r="Q1042" t="s">
        <v>1202</v>
      </c>
      <c r="R1042" s="7">
        <v>33970</v>
      </c>
      <c r="S1042" s="8">
        <f t="shared" si="128"/>
        <v>1993</v>
      </c>
      <c r="T1042" s="8">
        <v>1993</v>
      </c>
      <c r="U1042" s="8">
        <f t="shared" si="129"/>
        <v>29</v>
      </c>
      <c r="V1042" s="7">
        <v>1993</v>
      </c>
      <c r="W1042" t="s">
        <v>828</v>
      </c>
      <c r="X1042" s="2">
        <v>1.43</v>
      </c>
      <c r="Y1042" s="6">
        <f t="shared" si="134"/>
        <v>3.8173033287952803E-2</v>
      </c>
      <c r="AA1042">
        <v>62960</v>
      </c>
      <c r="AB1042">
        <v>16867</v>
      </c>
      <c r="AC1042">
        <v>15204995</v>
      </c>
      <c r="AD1042" t="s">
        <v>5</v>
      </c>
      <c r="AE1042">
        <v>32</v>
      </c>
      <c r="AF1042">
        <v>31</v>
      </c>
      <c r="AH1042" t="s">
        <v>1201</v>
      </c>
      <c r="AI1042" t="s">
        <v>1200</v>
      </c>
      <c r="AK1042" t="s">
        <v>1199</v>
      </c>
      <c r="AL1042">
        <v>88</v>
      </c>
      <c r="AM1042" s="5">
        <f t="shared" si="130"/>
        <v>3.0344827586206895</v>
      </c>
      <c r="AN1042" s="4">
        <f t="shared" si="135"/>
        <v>4.5959602553891548E-3</v>
      </c>
      <c r="AO1042" s="3"/>
      <c r="AP1042">
        <v>0</v>
      </c>
      <c r="AR1042" t="s">
        <v>1</v>
      </c>
      <c r="AT1042" s="2">
        <v>3.1619999999999999</v>
      </c>
      <c r="AU1042" s="1">
        <f t="shared" si="131"/>
        <v>2.8099911378183706</v>
      </c>
      <c r="AV1042" s="1">
        <f t="shared" si="132"/>
        <v>2.138449677167098</v>
      </c>
      <c r="AW1042" s="1">
        <f t="shared" si="133"/>
        <v>1.4669082165158249</v>
      </c>
    </row>
    <row r="1043" spans="1:49" x14ac:dyDescent="0.2">
      <c r="A1043">
        <v>1041</v>
      </c>
      <c r="B1043" t="s">
        <v>1198</v>
      </c>
      <c r="C1043" t="s">
        <v>1197</v>
      </c>
      <c r="E1043">
        <v>7685700</v>
      </c>
      <c r="F1043" t="s">
        <v>1196</v>
      </c>
      <c r="G1043" t="s">
        <v>15</v>
      </c>
      <c r="H1043" t="s">
        <v>14</v>
      </c>
      <c r="I1043" t="s">
        <v>1195</v>
      </c>
      <c r="J1043">
        <v>101402482</v>
      </c>
      <c r="K1043" t="s">
        <v>1194</v>
      </c>
      <c r="L1043" t="s">
        <v>1193</v>
      </c>
      <c r="M1043" t="s">
        <v>303</v>
      </c>
      <c r="N1043">
        <v>6</v>
      </c>
      <c r="O1043" t="s">
        <v>1192</v>
      </c>
      <c r="P1043" t="s">
        <v>1191</v>
      </c>
      <c r="Q1043" t="s">
        <v>1190</v>
      </c>
      <c r="R1043" s="7">
        <v>33970</v>
      </c>
      <c r="S1043" s="8">
        <f t="shared" si="128"/>
        <v>1993</v>
      </c>
      <c r="T1043" s="8">
        <v>1993</v>
      </c>
      <c r="U1043" s="8">
        <f t="shared" si="129"/>
        <v>29</v>
      </c>
      <c r="V1043" s="7">
        <v>1993</v>
      </c>
      <c r="W1043" t="s">
        <v>1189</v>
      </c>
      <c r="X1043" s="2">
        <v>9.7989999999999995</v>
      </c>
      <c r="Y1043" s="6">
        <f t="shared" si="134"/>
        <v>0.26157870852353116</v>
      </c>
      <c r="AA1043">
        <v>3022838</v>
      </c>
      <c r="AB1043">
        <v>19897</v>
      </c>
      <c r="AD1043" t="s">
        <v>5</v>
      </c>
      <c r="AE1043">
        <v>23</v>
      </c>
      <c r="AF1043" t="s">
        <v>1188</v>
      </c>
      <c r="AH1043" t="s">
        <v>1187</v>
      </c>
      <c r="AI1043" t="s">
        <v>1186</v>
      </c>
      <c r="AJ1043" t="s">
        <v>1185</v>
      </c>
      <c r="AK1043" t="s">
        <v>1184</v>
      </c>
      <c r="AL1043">
        <v>45</v>
      </c>
      <c r="AM1043" s="5">
        <f t="shared" si="130"/>
        <v>1.5517241379310345</v>
      </c>
      <c r="AN1043" s="4">
        <f t="shared" si="135"/>
        <v>2.3502069487785454E-3</v>
      </c>
      <c r="AO1043" s="3"/>
      <c r="AP1043">
        <v>0</v>
      </c>
      <c r="AR1043" t="s">
        <v>1</v>
      </c>
      <c r="AT1043" s="2">
        <v>20.096</v>
      </c>
      <c r="AU1043" s="1">
        <f t="shared" si="131"/>
        <v>18.381015805110536</v>
      </c>
      <c r="AV1043" s="1">
        <f t="shared" si="132"/>
        <v>13.196445773615483</v>
      </c>
      <c r="AW1043" s="1">
        <f t="shared" si="133"/>
        <v>8.0118757421204325</v>
      </c>
    </row>
    <row r="1044" spans="1:49" x14ac:dyDescent="0.2">
      <c r="A1044">
        <v>1042</v>
      </c>
      <c r="B1044" t="s">
        <v>1183</v>
      </c>
      <c r="C1044" t="s">
        <v>1182</v>
      </c>
      <c r="E1044">
        <v>8346992</v>
      </c>
      <c r="F1044" t="s">
        <v>1181</v>
      </c>
      <c r="G1044" t="s">
        <v>15</v>
      </c>
      <c r="H1044" t="s">
        <v>14</v>
      </c>
      <c r="I1044" t="s">
        <v>1180</v>
      </c>
      <c r="J1044">
        <v>60008250</v>
      </c>
      <c r="K1044" t="s">
        <v>1179</v>
      </c>
      <c r="L1044" t="s">
        <v>1178</v>
      </c>
      <c r="M1044" t="s">
        <v>493</v>
      </c>
      <c r="N1044">
        <v>3</v>
      </c>
      <c r="O1044" t="s">
        <v>1177</v>
      </c>
      <c r="P1044" t="s">
        <v>1176</v>
      </c>
      <c r="Q1044" t="s">
        <v>1175</v>
      </c>
      <c r="R1044" s="7">
        <v>33970</v>
      </c>
      <c r="S1044" s="8">
        <f t="shared" si="128"/>
        <v>1993</v>
      </c>
      <c r="T1044" s="8">
        <v>1993</v>
      </c>
      <c r="U1044" s="8">
        <f t="shared" si="129"/>
        <v>29</v>
      </c>
      <c r="V1044" s="7">
        <v>1993</v>
      </c>
      <c r="W1044" t="s">
        <v>1174</v>
      </c>
      <c r="X1044" s="2" t="s">
        <v>0</v>
      </c>
      <c r="Y1044" s="6" t="e">
        <f t="shared" si="134"/>
        <v>#VALUE!</v>
      </c>
      <c r="AA1044">
        <v>34983</v>
      </c>
      <c r="AB1044">
        <v>21788</v>
      </c>
      <c r="AD1044" t="s">
        <v>5</v>
      </c>
      <c r="AE1044">
        <v>87</v>
      </c>
      <c r="AF1044">
        <v>1</v>
      </c>
      <c r="AH1044" t="s">
        <v>1173</v>
      </c>
      <c r="AI1044" t="s">
        <v>1172</v>
      </c>
      <c r="AK1044" t="s">
        <v>1171</v>
      </c>
      <c r="AL1044">
        <v>41</v>
      </c>
      <c r="AM1044" s="5">
        <f t="shared" si="130"/>
        <v>1.4137931034482758</v>
      </c>
      <c r="AN1044" s="4">
        <f t="shared" si="135"/>
        <v>2.1412996644426746E-3</v>
      </c>
      <c r="AO1044" s="3"/>
      <c r="AP1044">
        <v>0</v>
      </c>
      <c r="AR1044" t="s">
        <v>1</v>
      </c>
      <c r="AT1044" s="2" t="s">
        <v>0</v>
      </c>
      <c r="AU1044" s="1" t="e">
        <f t="shared" si="131"/>
        <v>#VALUE!</v>
      </c>
      <c r="AV1044" s="1" t="e">
        <f t="shared" si="132"/>
        <v>#VALUE!</v>
      </c>
      <c r="AW1044" s="1" t="e">
        <f t="shared" si="133"/>
        <v>#VALUE!</v>
      </c>
    </row>
    <row r="1045" spans="1:49" x14ac:dyDescent="0.2">
      <c r="A1045">
        <v>1043</v>
      </c>
      <c r="B1045" t="s">
        <v>1170</v>
      </c>
      <c r="C1045" t="s">
        <v>1169</v>
      </c>
      <c r="E1045">
        <v>7683233</v>
      </c>
      <c r="F1045" t="s">
        <v>1168</v>
      </c>
      <c r="G1045" t="s">
        <v>15</v>
      </c>
      <c r="H1045" t="s">
        <v>14</v>
      </c>
      <c r="I1045" t="s">
        <v>1167</v>
      </c>
      <c r="J1045" t="s">
        <v>1166</v>
      </c>
      <c r="K1045" t="s">
        <v>1165</v>
      </c>
      <c r="L1045" t="s">
        <v>1164</v>
      </c>
      <c r="M1045" t="s">
        <v>1163</v>
      </c>
      <c r="N1045">
        <v>4</v>
      </c>
      <c r="O1045" t="s">
        <v>1162</v>
      </c>
      <c r="P1045" t="s">
        <v>1161</v>
      </c>
      <c r="Q1045" t="s">
        <v>1160</v>
      </c>
      <c r="R1045" s="7">
        <v>33970</v>
      </c>
      <c r="S1045" s="8">
        <f t="shared" si="128"/>
        <v>1993</v>
      </c>
      <c r="T1045" s="8">
        <v>1993</v>
      </c>
      <c r="U1045" s="8">
        <f t="shared" si="129"/>
        <v>29</v>
      </c>
      <c r="V1045" s="7">
        <v>34001</v>
      </c>
      <c r="W1045" t="s">
        <v>1159</v>
      </c>
      <c r="X1045" s="2">
        <v>1.121</v>
      </c>
      <c r="Y1045" s="6">
        <f t="shared" si="134"/>
        <v>2.9924454766290277E-2</v>
      </c>
      <c r="AA1045">
        <v>8927790</v>
      </c>
      <c r="AB1045">
        <v>19972</v>
      </c>
      <c r="AC1045" t="s">
        <v>1158</v>
      </c>
      <c r="AD1045" t="s">
        <v>5</v>
      </c>
      <c r="AE1045">
        <v>7</v>
      </c>
      <c r="AF1045">
        <v>1</v>
      </c>
      <c r="AH1045" t="s">
        <v>1157</v>
      </c>
      <c r="AI1045" t="s">
        <v>1156</v>
      </c>
      <c r="AK1045" t="s">
        <v>1155</v>
      </c>
      <c r="AL1045">
        <v>7</v>
      </c>
      <c r="AM1045" s="5">
        <f t="shared" si="130"/>
        <v>0.2413793103448276</v>
      </c>
      <c r="AN1045" s="4">
        <f t="shared" si="135"/>
        <v>3.655877475877737E-4</v>
      </c>
      <c r="AO1045" s="3"/>
      <c r="AP1045">
        <v>0</v>
      </c>
      <c r="AR1045" t="s">
        <v>1</v>
      </c>
      <c r="AT1045" s="2">
        <v>2.9420000000000002</v>
      </c>
      <c r="AU1045" s="1">
        <f t="shared" si="131"/>
        <v>2.1056794660679525</v>
      </c>
      <c r="AV1045" s="1">
        <f t="shared" si="132"/>
        <v>1.5145021256939026</v>
      </c>
      <c r="AW1045" s="1">
        <f t="shared" si="133"/>
        <v>0.9233247853198524</v>
      </c>
    </row>
    <row r="1046" spans="1:49" x14ac:dyDescent="0.2">
      <c r="A1046">
        <v>1044</v>
      </c>
      <c r="B1046" t="s">
        <v>1154</v>
      </c>
      <c r="C1046" t="s">
        <v>1153</v>
      </c>
      <c r="F1046" t="s">
        <v>1152</v>
      </c>
      <c r="G1046" t="s">
        <v>15</v>
      </c>
      <c r="H1046" t="s">
        <v>14</v>
      </c>
      <c r="I1046" t="s">
        <v>1151</v>
      </c>
      <c r="J1046" t="s">
        <v>1145</v>
      </c>
      <c r="K1046" t="s">
        <v>1150</v>
      </c>
      <c r="L1046" t="s">
        <v>1149</v>
      </c>
      <c r="M1046" t="s">
        <v>1148</v>
      </c>
      <c r="N1046">
        <v>2</v>
      </c>
      <c r="O1046" t="s">
        <v>1147</v>
      </c>
      <c r="P1046" t="s">
        <v>1146</v>
      </c>
      <c r="Q1046" t="s">
        <v>1145</v>
      </c>
      <c r="R1046" s="7">
        <v>33970</v>
      </c>
      <c r="S1046" s="8">
        <f t="shared" si="128"/>
        <v>1993</v>
      </c>
      <c r="T1046" s="8">
        <v>1993</v>
      </c>
      <c r="U1046" s="8">
        <f t="shared" si="129"/>
        <v>29</v>
      </c>
      <c r="V1046" s="7">
        <v>33970</v>
      </c>
      <c r="W1046" t="s">
        <v>814</v>
      </c>
      <c r="X1046" s="2">
        <v>1.6519999999999999</v>
      </c>
      <c r="Y1046" s="6">
        <f t="shared" si="134"/>
        <v>4.409919649769093E-2</v>
      </c>
      <c r="AA1046" t="s">
        <v>813</v>
      </c>
      <c r="AB1046">
        <v>17337</v>
      </c>
      <c r="AC1046">
        <v>15582221</v>
      </c>
      <c r="AD1046" t="s">
        <v>5</v>
      </c>
      <c r="AE1046">
        <v>41</v>
      </c>
      <c r="AF1046">
        <v>1</v>
      </c>
      <c r="AH1046" t="s">
        <v>1144</v>
      </c>
      <c r="AI1046" t="s">
        <v>1143</v>
      </c>
      <c r="AK1046" t="s">
        <v>1142</v>
      </c>
      <c r="AL1046">
        <v>13</v>
      </c>
      <c r="AM1046" s="5">
        <f t="shared" si="130"/>
        <v>0.44827586206896552</v>
      </c>
      <c r="AN1046" s="4">
        <f t="shared" si="135"/>
        <v>6.7894867409157972E-4</v>
      </c>
      <c r="AO1046" s="3"/>
      <c r="AP1046">
        <v>0</v>
      </c>
      <c r="AQ1046" t="s">
        <v>1141</v>
      </c>
      <c r="AR1046" t="s">
        <v>1</v>
      </c>
      <c r="AS1046" t="s">
        <v>1140</v>
      </c>
      <c r="AT1046" s="2" t="s">
        <v>0</v>
      </c>
      <c r="AU1046" s="1">
        <f t="shared" si="131"/>
        <v>3.1073122150611128</v>
      </c>
      <c r="AV1046" s="1">
        <f t="shared" si="132"/>
        <v>2.2389072585891254</v>
      </c>
      <c r="AW1046" s="1">
        <f t="shared" si="133"/>
        <v>1.3705023021171385</v>
      </c>
    </row>
    <row r="1047" spans="1:49" x14ac:dyDescent="0.2">
      <c r="A1047">
        <v>1045</v>
      </c>
      <c r="B1047" t="s">
        <v>1139</v>
      </c>
      <c r="C1047" t="s">
        <v>1138</v>
      </c>
      <c r="E1047">
        <v>8234233</v>
      </c>
      <c r="F1047" t="s">
        <v>1137</v>
      </c>
      <c r="G1047" t="s">
        <v>15</v>
      </c>
      <c r="H1047" t="s">
        <v>14</v>
      </c>
      <c r="I1047" t="s">
        <v>1136</v>
      </c>
      <c r="J1047" t="s">
        <v>1131</v>
      </c>
      <c r="K1047" t="s">
        <v>1135</v>
      </c>
      <c r="L1047" t="s">
        <v>1134</v>
      </c>
      <c r="M1047" t="s">
        <v>478</v>
      </c>
      <c r="N1047">
        <v>2</v>
      </c>
      <c r="O1047" t="s">
        <v>1133</v>
      </c>
      <c r="P1047" t="s">
        <v>1132</v>
      </c>
      <c r="Q1047" t="s">
        <v>1131</v>
      </c>
      <c r="R1047" s="7">
        <v>33970</v>
      </c>
      <c r="S1047" s="8">
        <f t="shared" si="128"/>
        <v>1993</v>
      </c>
      <c r="T1047" s="8">
        <v>1993</v>
      </c>
      <c r="U1047" s="8">
        <f t="shared" si="129"/>
        <v>29</v>
      </c>
      <c r="V1047" s="7">
        <v>34182</v>
      </c>
      <c r="W1047" t="s">
        <v>1130</v>
      </c>
      <c r="X1047" s="2">
        <v>0.627</v>
      </c>
      <c r="Y1047" s="6">
        <f t="shared" si="134"/>
        <v>1.6737406903179305E-2</v>
      </c>
      <c r="AA1047">
        <v>17410126</v>
      </c>
      <c r="AB1047">
        <v>14257</v>
      </c>
      <c r="AC1047">
        <v>17410134</v>
      </c>
      <c r="AD1047" t="s">
        <v>5</v>
      </c>
      <c r="AE1047">
        <v>6</v>
      </c>
      <c r="AF1047">
        <v>6</v>
      </c>
      <c r="AH1047" t="s">
        <v>1129</v>
      </c>
      <c r="AI1047" t="s">
        <v>1128</v>
      </c>
      <c r="AJ1047" t="s">
        <v>1127</v>
      </c>
      <c r="AK1047" t="s">
        <v>1126</v>
      </c>
      <c r="AL1047">
        <v>30</v>
      </c>
      <c r="AM1047" s="5">
        <f t="shared" si="130"/>
        <v>1.0344827586206897</v>
      </c>
      <c r="AN1047" s="4">
        <f t="shared" si="135"/>
        <v>1.5668046325190302E-3</v>
      </c>
      <c r="AO1047" s="3"/>
      <c r="AP1047">
        <v>0</v>
      </c>
      <c r="AR1047" t="s">
        <v>1</v>
      </c>
      <c r="AT1047" s="2" t="s">
        <v>0</v>
      </c>
      <c r="AU1047" s="1">
        <f t="shared" si="131"/>
        <v>1.2186226221981222</v>
      </c>
      <c r="AV1047" s="1">
        <f t="shared" si="132"/>
        <v>0.91521057678491691</v>
      </c>
      <c r="AW1047" s="1">
        <f t="shared" si="133"/>
        <v>0.61179853137171125</v>
      </c>
    </row>
    <row r="1048" spans="1:49" x14ac:dyDescent="0.2">
      <c r="A1048">
        <v>1046</v>
      </c>
      <c r="B1048" t="s">
        <v>1125</v>
      </c>
      <c r="C1048" t="s">
        <v>1124</v>
      </c>
      <c r="D1048" t="s">
        <v>1123</v>
      </c>
      <c r="E1048">
        <v>7684795</v>
      </c>
      <c r="F1048" t="s">
        <v>1122</v>
      </c>
      <c r="G1048" t="s">
        <v>15</v>
      </c>
      <c r="H1048" t="s">
        <v>14</v>
      </c>
      <c r="I1048" t="s">
        <v>1121</v>
      </c>
      <c r="J1048">
        <v>60022851</v>
      </c>
      <c r="K1048" t="s">
        <v>1120</v>
      </c>
      <c r="L1048" t="s">
        <v>1119</v>
      </c>
      <c r="M1048" t="s">
        <v>1118</v>
      </c>
      <c r="N1048">
        <v>2</v>
      </c>
      <c r="O1048" t="s">
        <v>1117</v>
      </c>
      <c r="P1048" t="s">
        <v>1116</v>
      </c>
      <c r="Q1048" t="s">
        <v>1115</v>
      </c>
      <c r="R1048" s="7">
        <v>33970</v>
      </c>
      <c r="S1048" s="8">
        <f t="shared" si="128"/>
        <v>1993</v>
      </c>
      <c r="T1048" s="8">
        <v>1993</v>
      </c>
      <c r="U1048" s="8">
        <f t="shared" si="129"/>
        <v>29</v>
      </c>
      <c r="V1048" s="7">
        <v>1993</v>
      </c>
      <c r="W1048" t="s">
        <v>1114</v>
      </c>
      <c r="X1048" s="2">
        <v>2.4020000000000001</v>
      </c>
      <c r="Y1048" s="6">
        <f t="shared" si="134"/>
        <v>6.4120018152211633E-2</v>
      </c>
      <c r="AA1048">
        <v>225347</v>
      </c>
      <c r="AB1048">
        <v>19975</v>
      </c>
      <c r="AD1048" t="s">
        <v>5</v>
      </c>
      <c r="AE1048">
        <v>149</v>
      </c>
      <c r="AF1048">
        <v>6</v>
      </c>
      <c r="AH1048" t="s">
        <v>1113</v>
      </c>
      <c r="AI1048" t="s">
        <v>1112</v>
      </c>
      <c r="AJ1048" t="s">
        <v>1111</v>
      </c>
      <c r="AK1048" t="s">
        <v>1110</v>
      </c>
      <c r="AL1048">
        <v>11</v>
      </c>
      <c r="AM1048" s="5">
        <f t="shared" si="130"/>
        <v>0.37931034482758619</v>
      </c>
      <c r="AN1048" s="4">
        <f t="shared" si="135"/>
        <v>5.7449503192364435E-4</v>
      </c>
      <c r="AO1048" s="3"/>
      <c r="AP1048">
        <v>0</v>
      </c>
      <c r="AR1048" t="s">
        <v>1</v>
      </c>
      <c r="AT1048" s="2">
        <v>7.45</v>
      </c>
      <c r="AU1048" s="1">
        <f t="shared" si="131"/>
        <v>4.5056361216125236</v>
      </c>
      <c r="AV1048" s="1">
        <f t="shared" si="132"/>
        <v>3.2347256592067635</v>
      </c>
      <c r="AW1048" s="1">
        <f t="shared" si="133"/>
        <v>1.963815196801004</v>
      </c>
    </row>
    <row r="1049" spans="1:49" x14ac:dyDescent="0.2">
      <c r="A1049">
        <v>1047</v>
      </c>
      <c r="B1049" t="s">
        <v>1109</v>
      </c>
      <c r="C1049" t="s">
        <v>1108</v>
      </c>
      <c r="F1049" t="s">
        <v>1107</v>
      </c>
      <c r="G1049" t="s">
        <v>15</v>
      </c>
      <c r="H1049" t="s">
        <v>14</v>
      </c>
      <c r="I1049" t="s">
        <v>1106</v>
      </c>
      <c r="J1049">
        <v>60001439</v>
      </c>
      <c r="K1049" t="s">
        <v>671</v>
      </c>
      <c r="L1049" t="s">
        <v>670</v>
      </c>
      <c r="M1049" t="s">
        <v>10</v>
      </c>
      <c r="N1049">
        <v>1</v>
      </c>
      <c r="O1049" t="s">
        <v>1105</v>
      </c>
      <c r="P1049">
        <v>7004931900</v>
      </c>
      <c r="Q1049">
        <v>60001439</v>
      </c>
      <c r="R1049" s="7">
        <v>33970</v>
      </c>
      <c r="S1049" s="8">
        <f t="shared" si="128"/>
        <v>1993</v>
      </c>
      <c r="T1049" s="8">
        <v>1993</v>
      </c>
      <c r="U1049" s="8">
        <f t="shared" si="129"/>
        <v>29</v>
      </c>
      <c r="V1049" s="7">
        <v>33970</v>
      </c>
      <c r="W1049" t="s">
        <v>814</v>
      </c>
      <c r="X1049" s="2">
        <v>1.6519999999999999</v>
      </c>
      <c r="Y1049" s="6">
        <f t="shared" si="134"/>
        <v>4.409919649769093E-2</v>
      </c>
      <c r="AA1049" t="s">
        <v>813</v>
      </c>
      <c r="AB1049">
        <v>17337</v>
      </c>
      <c r="AC1049">
        <v>15582221</v>
      </c>
      <c r="AD1049" t="s">
        <v>5</v>
      </c>
      <c r="AE1049">
        <v>41</v>
      </c>
      <c r="AF1049">
        <v>1</v>
      </c>
      <c r="AH1049" t="s">
        <v>1104</v>
      </c>
      <c r="AI1049" t="s">
        <v>1103</v>
      </c>
      <c r="AK1049" t="s">
        <v>1102</v>
      </c>
      <c r="AL1049">
        <v>119</v>
      </c>
      <c r="AM1049" s="5">
        <f t="shared" si="130"/>
        <v>4.1034482758620694</v>
      </c>
      <c r="AN1049" s="4">
        <f t="shared" si="135"/>
        <v>6.2149917089921536E-3</v>
      </c>
      <c r="AO1049" s="3"/>
      <c r="AP1049">
        <v>0</v>
      </c>
      <c r="AR1049" t="s">
        <v>1</v>
      </c>
      <c r="AT1049" s="2" t="s">
        <v>0</v>
      </c>
      <c r="AU1049" s="1">
        <f t="shared" si="131"/>
        <v>3.2733935061081301</v>
      </c>
      <c r="AV1049" s="1">
        <f t="shared" si="132"/>
        <v>2.515709410334154</v>
      </c>
      <c r="AW1049" s="1">
        <f t="shared" si="133"/>
        <v>1.7580253145601785</v>
      </c>
    </row>
    <row r="1050" spans="1:49" x14ac:dyDescent="0.2">
      <c r="A1050">
        <v>1048</v>
      </c>
      <c r="B1050" t="s">
        <v>1101</v>
      </c>
      <c r="F1050" t="s">
        <v>1100</v>
      </c>
      <c r="G1050" t="s">
        <v>15</v>
      </c>
      <c r="H1050" t="s">
        <v>14</v>
      </c>
      <c r="I1050" t="s">
        <v>1099</v>
      </c>
      <c r="J1050">
        <v>60002959</v>
      </c>
      <c r="K1050" t="s">
        <v>805</v>
      </c>
      <c r="L1050" t="s">
        <v>804</v>
      </c>
      <c r="M1050" t="s">
        <v>10</v>
      </c>
      <c r="N1050">
        <v>1</v>
      </c>
      <c r="O1050" t="s">
        <v>1098</v>
      </c>
      <c r="P1050">
        <v>57212417406</v>
      </c>
      <c r="Q1050">
        <v>60002959</v>
      </c>
      <c r="R1050" s="7">
        <v>33970</v>
      </c>
      <c r="S1050" s="8">
        <f t="shared" si="128"/>
        <v>1993</v>
      </c>
      <c r="T1050" s="8">
        <v>1993</v>
      </c>
      <c r="U1050" s="8">
        <f t="shared" si="129"/>
        <v>29</v>
      </c>
      <c r="V1050" s="7">
        <v>33970</v>
      </c>
      <c r="W1050" t="s">
        <v>789</v>
      </c>
      <c r="X1050" s="2">
        <v>0.69799999999999995</v>
      </c>
      <c r="Y1050" s="6">
        <f t="shared" si="134"/>
        <v>1.86327113531406E-2</v>
      </c>
      <c r="AA1050">
        <v>219142</v>
      </c>
      <c r="AB1050">
        <v>29585</v>
      </c>
      <c r="AD1050" t="s">
        <v>5</v>
      </c>
      <c r="AE1050">
        <v>41</v>
      </c>
      <c r="AF1050">
        <v>1</v>
      </c>
      <c r="AH1050" t="s">
        <v>1097</v>
      </c>
      <c r="AI1050" t="s">
        <v>1096</v>
      </c>
      <c r="AK1050" t="s">
        <v>1095</v>
      </c>
      <c r="AL1050">
        <v>57</v>
      </c>
      <c r="AM1050" s="5">
        <f t="shared" si="130"/>
        <v>1.9655172413793103</v>
      </c>
      <c r="AN1050" s="4">
        <f t="shared" si="135"/>
        <v>2.9769288017861572E-3</v>
      </c>
      <c r="AO1050" s="3"/>
      <c r="AP1050">
        <v>0</v>
      </c>
      <c r="AR1050" t="s">
        <v>1</v>
      </c>
      <c r="AT1050" s="2">
        <v>1.5309999999999999</v>
      </c>
      <c r="AU1050" s="1">
        <f t="shared" si="131"/>
        <v>1.3935976587734267</v>
      </c>
      <c r="AV1050" s="1">
        <f t="shared" si="132"/>
        <v>1.080482007746338</v>
      </c>
      <c r="AW1050" s="1">
        <f t="shared" si="133"/>
        <v>0.76736635671924902</v>
      </c>
    </row>
    <row r="1051" spans="1:49" x14ac:dyDescent="0.2">
      <c r="A1051">
        <v>1049</v>
      </c>
      <c r="B1051" t="s">
        <v>1094</v>
      </c>
      <c r="F1051" t="s">
        <v>1093</v>
      </c>
      <c r="G1051" t="s">
        <v>15</v>
      </c>
      <c r="H1051" t="s">
        <v>14</v>
      </c>
      <c r="I1051" t="s">
        <v>1092</v>
      </c>
      <c r="N1051">
        <v>1</v>
      </c>
      <c r="O1051" t="s">
        <v>1091</v>
      </c>
      <c r="P1051">
        <v>7403577519</v>
      </c>
      <c r="R1051" s="7">
        <v>33970</v>
      </c>
      <c r="S1051" s="8">
        <f t="shared" si="128"/>
        <v>1993</v>
      </c>
      <c r="T1051" s="8">
        <v>1993</v>
      </c>
      <c r="U1051" s="8">
        <f t="shared" si="129"/>
        <v>29</v>
      </c>
      <c r="V1051" s="7">
        <v>1993</v>
      </c>
      <c r="W1051" t="s">
        <v>1090</v>
      </c>
      <c r="X1051" s="2" t="s">
        <v>0</v>
      </c>
      <c r="Y1051" s="6" t="e">
        <f t="shared" si="134"/>
        <v>#VALUE!</v>
      </c>
      <c r="AA1051">
        <v>3669092</v>
      </c>
      <c r="AB1051">
        <v>71939</v>
      </c>
      <c r="AD1051" t="s">
        <v>5</v>
      </c>
      <c r="AE1051">
        <v>57</v>
      </c>
      <c r="AF1051">
        <v>1</v>
      </c>
      <c r="AH1051" s="10">
        <v>43101</v>
      </c>
      <c r="AI1051" t="s">
        <v>1089</v>
      </c>
      <c r="AK1051" t="s">
        <v>1088</v>
      </c>
      <c r="AL1051">
        <v>0</v>
      </c>
      <c r="AM1051" s="5">
        <f t="shared" si="130"/>
        <v>0</v>
      </c>
      <c r="AN1051" s="4">
        <f t="shared" si="135"/>
        <v>0</v>
      </c>
      <c r="AO1051" s="3"/>
      <c r="AP1051">
        <v>0</v>
      </c>
      <c r="AR1051" t="s">
        <v>1</v>
      </c>
      <c r="AT1051" s="2" t="s">
        <v>0</v>
      </c>
      <c r="AU1051" s="1" t="e">
        <f t="shared" si="131"/>
        <v>#VALUE!</v>
      </c>
      <c r="AV1051" s="1" t="e">
        <f t="shared" si="132"/>
        <v>#VALUE!</v>
      </c>
      <c r="AW1051" s="1" t="e">
        <f t="shared" si="133"/>
        <v>#VALUE!</v>
      </c>
    </row>
    <row r="1052" spans="1:49" x14ac:dyDescent="0.2">
      <c r="A1052">
        <v>1050</v>
      </c>
      <c r="B1052" t="s">
        <v>1087</v>
      </c>
      <c r="C1052" t="s">
        <v>1086</v>
      </c>
      <c r="F1052" t="s">
        <v>1085</v>
      </c>
      <c r="G1052" t="s">
        <v>15</v>
      </c>
      <c r="H1052" t="s">
        <v>14</v>
      </c>
      <c r="I1052" t="s">
        <v>1084</v>
      </c>
      <c r="J1052">
        <v>60031159</v>
      </c>
      <c r="K1052" t="s">
        <v>1083</v>
      </c>
      <c r="L1052" t="s">
        <v>1082</v>
      </c>
      <c r="M1052" t="s">
        <v>721</v>
      </c>
      <c r="N1052">
        <v>3</v>
      </c>
      <c r="O1052" t="s">
        <v>1081</v>
      </c>
      <c r="P1052" t="s">
        <v>1080</v>
      </c>
      <c r="Q1052" t="s">
        <v>1079</v>
      </c>
      <c r="R1052" s="7">
        <v>33970</v>
      </c>
      <c r="S1052" s="8">
        <f t="shared" si="128"/>
        <v>1993</v>
      </c>
      <c r="T1052" s="8">
        <v>1993</v>
      </c>
      <c r="U1052" s="8">
        <f t="shared" si="129"/>
        <v>29</v>
      </c>
      <c r="V1052" s="7">
        <v>33970</v>
      </c>
      <c r="W1052" t="s">
        <v>1078</v>
      </c>
      <c r="X1052" s="2">
        <v>2.9860000000000002</v>
      </c>
      <c r="Y1052" s="6">
        <f t="shared" si="134"/>
        <v>7.9709564613865094E-2</v>
      </c>
      <c r="AA1052">
        <v>7338716</v>
      </c>
      <c r="AB1052">
        <v>18902</v>
      </c>
      <c r="AD1052" t="s">
        <v>5</v>
      </c>
      <c r="AE1052">
        <v>11</v>
      </c>
      <c r="AF1052">
        <v>1</v>
      </c>
      <c r="AH1052" t="s">
        <v>1077</v>
      </c>
      <c r="AI1052" t="s">
        <v>1076</v>
      </c>
      <c r="AK1052" t="s">
        <v>1075</v>
      </c>
      <c r="AL1052">
        <v>4</v>
      </c>
      <c r="AM1052" s="5">
        <f t="shared" si="130"/>
        <v>0.13793103448275862</v>
      </c>
      <c r="AN1052" s="4">
        <f t="shared" si="135"/>
        <v>2.089072843358707E-4</v>
      </c>
      <c r="AO1052" s="3"/>
      <c r="AP1052">
        <v>0</v>
      </c>
      <c r="AR1052" t="s">
        <v>1</v>
      </c>
      <c r="AT1052" s="2" t="s">
        <v>0</v>
      </c>
      <c r="AU1052" s="1">
        <f t="shared" si="131"/>
        <v>5.5859367415006318</v>
      </c>
      <c r="AV1052" s="1">
        <f t="shared" si="132"/>
        <v>3.9959235949100482</v>
      </c>
      <c r="AW1052" s="1">
        <f t="shared" si="133"/>
        <v>2.4059104483194633</v>
      </c>
    </row>
    <row r="1053" spans="1:49" x14ac:dyDescent="0.2">
      <c r="A1053">
        <v>1051</v>
      </c>
      <c r="B1053" t="s">
        <v>1074</v>
      </c>
      <c r="C1053" t="s">
        <v>1073</v>
      </c>
      <c r="F1053" t="s">
        <v>1072</v>
      </c>
      <c r="G1053" t="s">
        <v>15</v>
      </c>
      <c r="H1053" t="s">
        <v>14</v>
      </c>
      <c r="I1053" t="s">
        <v>1071</v>
      </c>
      <c r="J1053" t="s">
        <v>1070</v>
      </c>
      <c r="K1053" t="s">
        <v>1069</v>
      </c>
      <c r="L1053" t="s">
        <v>1068</v>
      </c>
      <c r="M1053" t="s">
        <v>235</v>
      </c>
      <c r="N1053">
        <v>2</v>
      </c>
      <c r="O1053" t="s">
        <v>1067</v>
      </c>
      <c r="P1053" t="s">
        <v>1066</v>
      </c>
      <c r="Q1053" t="s">
        <v>1065</v>
      </c>
      <c r="R1053" s="7">
        <v>33970</v>
      </c>
      <c r="S1053" s="8">
        <f t="shared" si="128"/>
        <v>1993</v>
      </c>
      <c r="T1053" s="8">
        <v>1993</v>
      </c>
      <c r="U1053" s="8">
        <f t="shared" si="129"/>
        <v>29</v>
      </c>
      <c r="V1053" s="7">
        <v>33970</v>
      </c>
      <c r="W1053" t="s">
        <v>1064</v>
      </c>
      <c r="X1053" s="2">
        <v>2.141</v>
      </c>
      <c r="Y1053" s="6">
        <f t="shared" si="134"/>
        <v>5.7152772216438434E-2</v>
      </c>
      <c r="AA1053">
        <v>1962892</v>
      </c>
      <c r="AB1053">
        <v>17360</v>
      </c>
      <c r="AC1053">
        <v>15580644</v>
      </c>
      <c r="AD1053" t="s">
        <v>5</v>
      </c>
      <c r="AE1053">
        <v>31</v>
      </c>
      <c r="AF1053">
        <v>1</v>
      </c>
      <c r="AH1053" t="s">
        <v>1063</v>
      </c>
      <c r="AI1053" t="s">
        <v>1062</v>
      </c>
      <c r="AK1053" t="s">
        <v>1061</v>
      </c>
      <c r="AL1053">
        <v>12</v>
      </c>
      <c r="AM1053" s="5">
        <f t="shared" si="130"/>
        <v>0.41379310344827586</v>
      </c>
      <c r="AN1053" s="4">
        <f t="shared" si="135"/>
        <v>6.2672185300761203E-4</v>
      </c>
      <c r="AO1053" s="3"/>
      <c r="AP1053">
        <v>0</v>
      </c>
      <c r="AQ1053" t="s">
        <v>639</v>
      </c>
      <c r="AR1053" t="s">
        <v>1060</v>
      </c>
      <c r="AS1053" t="s">
        <v>638</v>
      </c>
      <c r="AT1053" s="2" t="s">
        <v>0</v>
      </c>
      <c r="AU1053" s="1">
        <f t="shared" si="131"/>
        <v>4.0194957107409186</v>
      </c>
      <c r="AV1053" s="1">
        <f t="shared" si="132"/>
        <v>2.8889747034723023</v>
      </c>
      <c r="AW1053" s="1">
        <f t="shared" si="133"/>
        <v>1.7584536962036859</v>
      </c>
    </row>
    <row r="1054" spans="1:49" x14ac:dyDescent="0.2">
      <c r="A1054">
        <v>1052</v>
      </c>
      <c r="B1054" t="s">
        <v>1059</v>
      </c>
      <c r="C1054" t="s">
        <v>1058</v>
      </c>
      <c r="F1054" t="s">
        <v>1057</v>
      </c>
      <c r="G1054" t="s">
        <v>15</v>
      </c>
      <c r="H1054" t="s">
        <v>14</v>
      </c>
      <c r="I1054" t="s">
        <v>1056</v>
      </c>
      <c r="J1054">
        <v>60016983</v>
      </c>
      <c r="K1054" t="s">
        <v>1055</v>
      </c>
      <c r="L1054" t="s">
        <v>1054</v>
      </c>
      <c r="M1054" t="s">
        <v>508</v>
      </c>
      <c r="N1054">
        <v>1</v>
      </c>
      <c r="O1054" t="s">
        <v>1053</v>
      </c>
      <c r="P1054">
        <v>7003382644</v>
      </c>
      <c r="Q1054">
        <v>60016983</v>
      </c>
      <c r="R1054" s="7">
        <v>33970</v>
      </c>
      <c r="S1054" s="8">
        <f t="shared" si="128"/>
        <v>1993</v>
      </c>
      <c r="T1054" s="8">
        <v>1993</v>
      </c>
      <c r="U1054" s="8">
        <f t="shared" si="129"/>
        <v>29</v>
      </c>
      <c r="V1054" s="7">
        <v>1993</v>
      </c>
      <c r="W1054" t="s">
        <v>1052</v>
      </c>
      <c r="X1054" s="2">
        <v>0.46700000000000003</v>
      </c>
      <c r="Y1054" s="6">
        <f t="shared" si="134"/>
        <v>1.2466298283548225E-2</v>
      </c>
      <c r="AA1054">
        <v>223395</v>
      </c>
      <c r="AB1054">
        <v>22444</v>
      </c>
      <c r="AD1054" t="s">
        <v>5</v>
      </c>
      <c r="AE1054">
        <v>79</v>
      </c>
      <c r="AF1054">
        <v>3</v>
      </c>
      <c r="AH1054" t="s">
        <v>1051</v>
      </c>
      <c r="AI1054" t="s">
        <v>1050</v>
      </c>
      <c r="AK1054" t="s">
        <v>1049</v>
      </c>
      <c r="AL1054">
        <v>2</v>
      </c>
      <c r="AM1054" s="5">
        <f t="shared" si="130"/>
        <v>6.8965517241379309E-2</v>
      </c>
      <c r="AN1054" s="4">
        <f t="shared" si="135"/>
        <v>1.0445364216793535E-4</v>
      </c>
      <c r="AO1054" s="3"/>
      <c r="AP1054">
        <v>0</v>
      </c>
      <c r="AR1054" t="s">
        <v>1</v>
      </c>
      <c r="AT1054" s="2">
        <v>1.276</v>
      </c>
      <c r="AU1054" s="1">
        <f t="shared" si="131"/>
        <v>0.87577448911341382</v>
      </c>
      <c r="AV1054" s="1">
        <f t="shared" si="132"/>
        <v>0.62853759628580808</v>
      </c>
      <c r="AW1054" s="1">
        <f t="shared" si="133"/>
        <v>0.38130070345820222</v>
      </c>
    </row>
    <row r="1055" spans="1:49" x14ac:dyDescent="0.2">
      <c r="A1055">
        <v>1053</v>
      </c>
      <c r="B1055" t="s">
        <v>1048</v>
      </c>
      <c r="F1055" t="s">
        <v>1047</v>
      </c>
      <c r="G1055" t="s">
        <v>15</v>
      </c>
      <c r="H1055" t="s">
        <v>14</v>
      </c>
      <c r="I1055" t="s">
        <v>1046</v>
      </c>
      <c r="J1055">
        <v>60020661</v>
      </c>
      <c r="K1055" t="s">
        <v>1045</v>
      </c>
      <c r="L1055" t="s">
        <v>1044</v>
      </c>
      <c r="M1055" t="s">
        <v>493</v>
      </c>
      <c r="N1055">
        <v>1</v>
      </c>
      <c r="O1055" t="s">
        <v>1043</v>
      </c>
      <c r="P1055">
        <v>7101618795</v>
      </c>
      <c r="Q1055">
        <v>60020661</v>
      </c>
      <c r="R1055" s="7">
        <v>33970</v>
      </c>
      <c r="S1055" s="8">
        <f t="shared" si="128"/>
        <v>1993</v>
      </c>
      <c r="T1055" s="8">
        <v>1993</v>
      </c>
      <c r="U1055" s="8">
        <f t="shared" si="129"/>
        <v>29</v>
      </c>
      <c r="V1055" s="7">
        <v>1993</v>
      </c>
      <c r="W1055" t="s">
        <v>561</v>
      </c>
      <c r="X1055" s="2">
        <v>0.216</v>
      </c>
      <c r="Y1055" s="6">
        <f t="shared" si="134"/>
        <v>5.765996636501962E-3</v>
      </c>
      <c r="AA1055">
        <v>10544887</v>
      </c>
      <c r="AB1055">
        <v>13200</v>
      </c>
      <c r="AD1055" t="s">
        <v>5</v>
      </c>
      <c r="AE1055">
        <v>8</v>
      </c>
      <c r="AF1055">
        <v>1</v>
      </c>
      <c r="AH1055" s="10">
        <v>46935</v>
      </c>
      <c r="AI1055" t="s">
        <v>1042</v>
      </c>
      <c r="AK1055" t="s">
        <v>1041</v>
      </c>
      <c r="AL1055">
        <v>0</v>
      </c>
      <c r="AM1055" s="5">
        <f t="shared" si="130"/>
        <v>0</v>
      </c>
      <c r="AN1055" s="4">
        <f t="shared" si="135"/>
        <v>0</v>
      </c>
      <c r="AO1055" s="3"/>
      <c r="AP1055">
        <v>0</v>
      </c>
      <c r="AR1055" t="s">
        <v>1</v>
      </c>
      <c r="AT1055" s="2" t="s">
        <v>0</v>
      </c>
      <c r="AU1055" s="1">
        <f t="shared" si="131"/>
        <v>0.40361976455513726</v>
      </c>
      <c r="AV1055" s="1">
        <f t="shared" si="132"/>
        <v>0.28829983182509811</v>
      </c>
      <c r="AW1055" s="1">
        <f t="shared" si="133"/>
        <v>0.17297989909505887</v>
      </c>
    </row>
    <row r="1056" spans="1:49" x14ac:dyDescent="0.2">
      <c r="A1056">
        <v>1054</v>
      </c>
      <c r="B1056" t="s">
        <v>1040</v>
      </c>
      <c r="C1056" t="s">
        <v>1039</v>
      </c>
      <c r="E1056">
        <v>8227528</v>
      </c>
      <c r="F1056" t="s">
        <v>1038</v>
      </c>
      <c r="G1056" t="s">
        <v>15</v>
      </c>
      <c r="H1056" t="s">
        <v>14</v>
      </c>
      <c r="I1056" t="s">
        <v>1037</v>
      </c>
      <c r="J1056" t="s">
        <v>1036</v>
      </c>
      <c r="K1056" t="s">
        <v>1035</v>
      </c>
      <c r="L1056" t="s">
        <v>1034</v>
      </c>
      <c r="M1056" t="s">
        <v>751</v>
      </c>
      <c r="N1056">
        <v>3</v>
      </c>
      <c r="O1056" t="s">
        <v>1033</v>
      </c>
      <c r="P1056" t="s">
        <v>1032</v>
      </c>
      <c r="Q1056" t="s">
        <v>1031</v>
      </c>
      <c r="R1056" s="7">
        <v>33970</v>
      </c>
      <c r="S1056" s="8">
        <f t="shared" si="128"/>
        <v>1993</v>
      </c>
      <c r="T1056" s="8">
        <v>1993</v>
      </c>
      <c r="U1056" s="8">
        <f t="shared" si="129"/>
        <v>29</v>
      </c>
      <c r="V1056" s="7">
        <v>34227</v>
      </c>
      <c r="W1056" t="s">
        <v>1030</v>
      </c>
      <c r="X1056" s="2">
        <v>1.855</v>
      </c>
      <c r="Y1056" s="6">
        <f t="shared" si="134"/>
        <v>4.9518165558847867E-2</v>
      </c>
      <c r="AA1056">
        <v>219967</v>
      </c>
      <c r="AB1056">
        <v>16689</v>
      </c>
      <c r="AC1056">
        <v>10969861</v>
      </c>
      <c r="AD1056" t="s">
        <v>5</v>
      </c>
      <c r="AE1056">
        <v>335</v>
      </c>
      <c r="AF1056">
        <v>3</v>
      </c>
      <c r="AH1056" t="s">
        <v>1029</v>
      </c>
      <c r="AI1056" t="s">
        <v>1028</v>
      </c>
      <c r="AJ1056" t="s">
        <v>1027</v>
      </c>
      <c r="AK1056" t="s">
        <v>1026</v>
      </c>
      <c r="AL1056">
        <v>0</v>
      </c>
      <c r="AM1056" s="5">
        <f t="shared" si="130"/>
        <v>0</v>
      </c>
      <c r="AN1056" s="4">
        <f t="shared" si="135"/>
        <v>0</v>
      </c>
      <c r="AO1056" s="3"/>
      <c r="AP1056">
        <v>0</v>
      </c>
      <c r="AR1056" t="s">
        <v>1</v>
      </c>
      <c r="AT1056" s="2">
        <v>3.2149999999999999</v>
      </c>
      <c r="AU1056" s="1">
        <f t="shared" si="131"/>
        <v>3.4662715891193505</v>
      </c>
      <c r="AV1056" s="1">
        <f t="shared" si="132"/>
        <v>2.4759082779423935</v>
      </c>
      <c r="AW1056" s="1">
        <f t="shared" si="133"/>
        <v>1.4855449667654359</v>
      </c>
    </row>
    <row r="1057" spans="1:49" x14ac:dyDescent="0.2">
      <c r="A1057">
        <v>1055</v>
      </c>
      <c r="B1057" t="s">
        <v>1025</v>
      </c>
      <c r="F1057" t="s">
        <v>1024</v>
      </c>
      <c r="G1057" t="s">
        <v>15</v>
      </c>
      <c r="H1057" t="s">
        <v>14</v>
      </c>
      <c r="I1057" t="s">
        <v>1023</v>
      </c>
      <c r="J1057">
        <v>60012564</v>
      </c>
      <c r="K1057" t="s">
        <v>1022</v>
      </c>
      <c r="L1057" t="s">
        <v>1021</v>
      </c>
      <c r="M1057" t="s">
        <v>10</v>
      </c>
      <c r="N1057">
        <v>1</v>
      </c>
      <c r="O1057" t="s">
        <v>1020</v>
      </c>
      <c r="P1057">
        <v>7402253651</v>
      </c>
      <c r="Q1057">
        <v>60012564</v>
      </c>
      <c r="R1057" s="7">
        <v>33970</v>
      </c>
      <c r="S1057" s="8">
        <f t="shared" si="128"/>
        <v>1993</v>
      </c>
      <c r="T1057" s="8">
        <v>1993</v>
      </c>
      <c r="U1057" s="8">
        <f t="shared" si="129"/>
        <v>29</v>
      </c>
      <c r="V1057" s="7">
        <v>1993</v>
      </c>
      <c r="W1057" t="s">
        <v>561</v>
      </c>
      <c r="X1057" s="2">
        <v>0.216</v>
      </c>
      <c r="Y1057" s="6">
        <f t="shared" si="134"/>
        <v>5.765996636501962E-3</v>
      </c>
      <c r="AA1057">
        <v>10544887</v>
      </c>
      <c r="AB1057">
        <v>13200</v>
      </c>
      <c r="AD1057" t="s">
        <v>5</v>
      </c>
      <c r="AE1057">
        <v>8</v>
      </c>
      <c r="AF1057">
        <v>2</v>
      </c>
      <c r="AH1057" t="s">
        <v>1019</v>
      </c>
      <c r="AI1057" t="s">
        <v>1018</v>
      </c>
      <c r="AK1057" t="s">
        <v>1017</v>
      </c>
      <c r="AL1057">
        <v>2</v>
      </c>
      <c r="AM1057" s="5">
        <f t="shared" si="130"/>
        <v>6.8965517241379309E-2</v>
      </c>
      <c r="AN1057" s="4">
        <f t="shared" si="135"/>
        <v>1.0445364216793535E-4</v>
      </c>
      <c r="AO1057" s="3"/>
      <c r="AP1057">
        <v>0</v>
      </c>
      <c r="AR1057" t="s">
        <v>1</v>
      </c>
      <c r="AT1057" s="2" t="s">
        <v>0</v>
      </c>
      <c r="AU1057" s="1">
        <f t="shared" si="131"/>
        <v>0.40675337382017529</v>
      </c>
      <c r="AV1057" s="1">
        <f t="shared" si="132"/>
        <v>0.29352251393349488</v>
      </c>
      <c r="AW1057" s="1">
        <f t="shared" si="133"/>
        <v>0.18029165404681433</v>
      </c>
    </row>
    <row r="1058" spans="1:49" x14ac:dyDescent="0.2">
      <c r="A1058">
        <v>1056</v>
      </c>
      <c r="B1058" t="s">
        <v>1016</v>
      </c>
      <c r="C1058" t="s">
        <v>1015</v>
      </c>
      <c r="E1058">
        <v>8327503</v>
      </c>
      <c r="F1058" t="s">
        <v>1014</v>
      </c>
      <c r="G1058" t="s">
        <v>15</v>
      </c>
      <c r="H1058" t="s">
        <v>14</v>
      </c>
      <c r="I1058" t="s">
        <v>1013</v>
      </c>
      <c r="J1058">
        <v>60007740</v>
      </c>
      <c r="K1058" t="s">
        <v>1012</v>
      </c>
      <c r="L1058" t="s">
        <v>1011</v>
      </c>
      <c r="M1058" t="s">
        <v>10</v>
      </c>
      <c r="N1058">
        <v>3</v>
      </c>
      <c r="O1058" t="s">
        <v>1010</v>
      </c>
      <c r="P1058" t="s">
        <v>1009</v>
      </c>
      <c r="Q1058" t="s">
        <v>1008</v>
      </c>
      <c r="R1058" s="7">
        <v>33970</v>
      </c>
      <c r="S1058" s="8">
        <f t="shared" si="128"/>
        <v>1993</v>
      </c>
      <c r="T1058" s="8">
        <v>1993</v>
      </c>
      <c r="U1058" s="8">
        <f t="shared" si="129"/>
        <v>29</v>
      </c>
      <c r="V1058" s="7">
        <v>1993</v>
      </c>
      <c r="W1058" t="s">
        <v>1007</v>
      </c>
      <c r="X1058" s="2">
        <v>5.0110000000000001</v>
      </c>
      <c r="Y1058" s="6">
        <f t="shared" si="134"/>
        <v>0.13376578308107098</v>
      </c>
      <c r="AA1058">
        <v>278424</v>
      </c>
      <c r="AB1058">
        <v>21121</v>
      </c>
      <c r="AD1058" t="s">
        <v>5</v>
      </c>
      <c r="AE1058">
        <v>90</v>
      </c>
      <c r="AF1058">
        <v>13</v>
      </c>
      <c r="AH1058" t="s">
        <v>1006</v>
      </c>
      <c r="AI1058" t="s">
        <v>1005</v>
      </c>
      <c r="AJ1058" t="s">
        <v>1004</v>
      </c>
      <c r="AK1058" t="s">
        <v>1003</v>
      </c>
      <c r="AL1058">
        <v>32</v>
      </c>
      <c r="AM1058" s="5">
        <f t="shared" si="130"/>
        <v>1.103448275862069</v>
      </c>
      <c r="AN1058" s="4">
        <f t="shared" si="135"/>
        <v>1.6712582746869656E-3</v>
      </c>
      <c r="AO1058" s="3"/>
      <c r="AP1058">
        <v>1</v>
      </c>
      <c r="AR1058" t="s">
        <v>1</v>
      </c>
      <c r="AT1058" s="2" t="s">
        <v>0</v>
      </c>
      <c r="AU1058" s="1">
        <f t="shared" si="131"/>
        <v>9.4137425639155765</v>
      </c>
      <c r="AV1058" s="1">
        <f t="shared" si="132"/>
        <v>6.7718520677878979</v>
      </c>
      <c r="AW1058" s="1">
        <f t="shared" si="133"/>
        <v>4.1299615716602167</v>
      </c>
    </row>
    <row r="1059" spans="1:49" x14ac:dyDescent="0.2">
      <c r="A1059">
        <v>1057</v>
      </c>
      <c r="B1059" t="s">
        <v>1002</v>
      </c>
      <c r="C1059" t="s">
        <v>1001</v>
      </c>
      <c r="E1059">
        <v>8095481</v>
      </c>
      <c r="F1059" t="s">
        <v>1000</v>
      </c>
      <c r="G1059" t="s">
        <v>15</v>
      </c>
      <c r="H1059" t="s">
        <v>14</v>
      </c>
      <c r="I1059" t="s">
        <v>999</v>
      </c>
      <c r="J1059">
        <v>60012981</v>
      </c>
      <c r="K1059" t="s">
        <v>998</v>
      </c>
      <c r="L1059" t="s">
        <v>997</v>
      </c>
      <c r="M1059" t="s">
        <v>10</v>
      </c>
      <c r="N1059">
        <v>3</v>
      </c>
      <c r="O1059" t="s">
        <v>996</v>
      </c>
      <c r="P1059" t="s">
        <v>995</v>
      </c>
      <c r="Q1059" t="s">
        <v>994</v>
      </c>
      <c r="R1059" s="7">
        <v>33970</v>
      </c>
      <c r="S1059" s="8">
        <f t="shared" si="128"/>
        <v>1993</v>
      </c>
      <c r="T1059" s="8">
        <v>1993</v>
      </c>
      <c r="U1059" s="8">
        <f t="shared" si="129"/>
        <v>29</v>
      </c>
      <c r="V1059" s="7">
        <v>1993</v>
      </c>
      <c r="W1059" t="s">
        <v>993</v>
      </c>
      <c r="X1059" s="2">
        <v>7.1360000000000001</v>
      </c>
      <c r="Y1059" s="6">
        <f t="shared" si="134"/>
        <v>0.1904914444355463</v>
      </c>
      <c r="AA1059">
        <v>8909369</v>
      </c>
      <c r="AB1059">
        <v>22126</v>
      </c>
      <c r="AD1059" t="s">
        <v>5</v>
      </c>
      <c r="AE1059">
        <v>7</v>
      </c>
      <c r="AF1059">
        <v>3</v>
      </c>
      <c r="AH1059" t="s">
        <v>992</v>
      </c>
      <c r="AI1059" t="s">
        <v>991</v>
      </c>
      <c r="AJ1059" t="s">
        <v>990</v>
      </c>
      <c r="AK1059" t="s">
        <v>989</v>
      </c>
      <c r="AL1059">
        <v>112</v>
      </c>
      <c r="AM1059" s="5">
        <f t="shared" si="130"/>
        <v>3.8620689655172415</v>
      </c>
      <c r="AN1059" s="4">
        <f t="shared" si="135"/>
        <v>5.8494039614043793E-3</v>
      </c>
      <c r="AO1059" s="3"/>
      <c r="AP1059">
        <v>1</v>
      </c>
      <c r="AQ1059" t="s">
        <v>988</v>
      </c>
      <c r="AR1059" t="s">
        <v>987</v>
      </c>
      <c r="AS1059" t="s">
        <v>986</v>
      </c>
      <c r="AT1059" s="2" t="s">
        <v>0</v>
      </c>
      <c r="AU1059" s="1">
        <f t="shared" si="131"/>
        <v>13.509883229330372</v>
      </c>
      <c r="AV1059" s="1">
        <f t="shared" si="132"/>
        <v>9.8170424198475335</v>
      </c>
      <c r="AW1059" s="1">
        <f t="shared" si="133"/>
        <v>6.1242016103646959</v>
      </c>
    </row>
    <row r="1060" spans="1:49" x14ac:dyDescent="0.2">
      <c r="A1060">
        <v>1058</v>
      </c>
      <c r="B1060" t="s">
        <v>985</v>
      </c>
      <c r="F1060" t="s">
        <v>984</v>
      </c>
      <c r="G1060" t="s">
        <v>15</v>
      </c>
      <c r="H1060" t="s">
        <v>14</v>
      </c>
      <c r="I1060" t="s">
        <v>983</v>
      </c>
      <c r="J1060">
        <v>60002214</v>
      </c>
      <c r="K1060" t="s">
        <v>982</v>
      </c>
      <c r="L1060" t="s">
        <v>618</v>
      </c>
      <c r="M1060" t="s">
        <v>10</v>
      </c>
      <c r="N1060">
        <v>2</v>
      </c>
      <c r="O1060" t="s">
        <v>981</v>
      </c>
      <c r="P1060" t="s">
        <v>980</v>
      </c>
      <c r="Q1060" t="s">
        <v>979</v>
      </c>
      <c r="R1060" s="7">
        <v>33970</v>
      </c>
      <c r="S1060" s="8">
        <f t="shared" si="128"/>
        <v>1993</v>
      </c>
      <c r="T1060" s="8">
        <v>1993</v>
      </c>
      <c r="U1060" s="8">
        <f t="shared" si="129"/>
        <v>29</v>
      </c>
      <c r="V1060" s="7">
        <v>1993</v>
      </c>
      <c r="W1060" t="s">
        <v>561</v>
      </c>
      <c r="X1060" s="2">
        <v>0.216</v>
      </c>
      <c r="Y1060" s="6">
        <f t="shared" si="134"/>
        <v>5.765996636501962E-3</v>
      </c>
      <c r="AA1060">
        <v>10544887</v>
      </c>
      <c r="AB1060">
        <v>13200</v>
      </c>
      <c r="AD1060" t="s">
        <v>5</v>
      </c>
      <c r="AE1060">
        <v>8</v>
      </c>
      <c r="AF1060">
        <v>2</v>
      </c>
      <c r="AH1060" t="s">
        <v>978</v>
      </c>
      <c r="AI1060" t="s">
        <v>977</v>
      </c>
      <c r="AK1060" t="s">
        <v>976</v>
      </c>
      <c r="AL1060">
        <v>0</v>
      </c>
      <c r="AM1060" s="5">
        <f t="shared" si="130"/>
        <v>0</v>
      </c>
      <c r="AN1060" s="4">
        <f t="shared" si="135"/>
        <v>0</v>
      </c>
      <c r="AO1060" s="3"/>
      <c r="AP1060">
        <v>0</v>
      </c>
      <c r="AR1060" t="s">
        <v>1</v>
      </c>
      <c r="AT1060" s="2" t="s">
        <v>0</v>
      </c>
      <c r="AU1060" s="1">
        <f t="shared" si="131"/>
        <v>0.40361976455513726</v>
      </c>
      <c r="AV1060" s="1">
        <f t="shared" si="132"/>
        <v>0.28829983182509811</v>
      </c>
      <c r="AW1060" s="1">
        <f t="shared" si="133"/>
        <v>0.17297989909505887</v>
      </c>
    </row>
    <row r="1061" spans="1:49" x14ac:dyDescent="0.2">
      <c r="A1061">
        <v>1059</v>
      </c>
      <c r="B1061" t="s">
        <v>975</v>
      </c>
      <c r="C1061" t="s">
        <v>974</v>
      </c>
      <c r="D1061" t="s">
        <v>973</v>
      </c>
      <c r="F1061" t="s">
        <v>972</v>
      </c>
      <c r="G1061" t="s">
        <v>15</v>
      </c>
      <c r="H1061" t="s">
        <v>14</v>
      </c>
      <c r="I1061" t="s">
        <v>971</v>
      </c>
      <c r="J1061" t="s">
        <v>965</v>
      </c>
      <c r="K1061" t="s">
        <v>970</v>
      </c>
      <c r="L1061" t="s">
        <v>969</v>
      </c>
      <c r="M1061" t="s">
        <v>968</v>
      </c>
      <c r="N1061">
        <v>2</v>
      </c>
      <c r="O1061" t="s">
        <v>967</v>
      </c>
      <c r="P1061" t="s">
        <v>966</v>
      </c>
      <c r="Q1061" t="s">
        <v>965</v>
      </c>
      <c r="R1061" s="7">
        <v>33970</v>
      </c>
      <c r="S1061" s="8">
        <f t="shared" si="128"/>
        <v>1993</v>
      </c>
      <c r="T1061" s="8">
        <v>1993</v>
      </c>
      <c r="U1061" s="8">
        <f t="shared" si="129"/>
        <v>29</v>
      </c>
      <c r="V1061" s="7">
        <v>33970</v>
      </c>
      <c r="W1061" t="s">
        <v>747</v>
      </c>
      <c r="X1061" s="2">
        <v>0.90700000000000003</v>
      </c>
      <c r="Y1061" s="6">
        <f t="shared" si="134"/>
        <v>2.4211846987533703E-2</v>
      </c>
      <c r="AA1061">
        <v>1651684</v>
      </c>
      <c r="AB1061">
        <v>25548</v>
      </c>
      <c r="AD1061" t="s">
        <v>5</v>
      </c>
      <c r="AE1061">
        <v>30</v>
      </c>
      <c r="AF1061">
        <v>1</v>
      </c>
      <c r="AH1061" t="s">
        <v>964</v>
      </c>
      <c r="AI1061" t="s">
        <v>963</v>
      </c>
      <c r="AJ1061" t="s">
        <v>962</v>
      </c>
      <c r="AK1061" t="s">
        <v>961</v>
      </c>
      <c r="AL1061">
        <v>12</v>
      </c>
      <c r="AM1061" s="5">
        <f t="shared" si="130"/>
        <v>0.41379310344827586</v>
      </c>
      <c r="AN1061" s="4">
        <f t="shared" si="135"/>
        <v>6.2672185300761203E-4</v>
      </c>
      <c r="AO1061" s="3"/>
      <c r="AP1061">
        <v>0</v>
      </c>
      <c r="AR1061" t="s">
        <v>1</v>
      </c>
      <c r="AT1061" s="2">
        <v>4.6619999999999999</v>
      </c>
      <c r="AU1061" s="1">
        <f t="shared" si="131"/>
        <v>1.7136309447175875</v>
      </c>
      <c r="AV1061" s="1">
        <f t="shared" si="132"/>
        <v>1.2419284420270658</v>
      </c>
      <c r="AW1061" s="1">
        <f t="shared" si="133"/>
        <v>0.77022593933654382</v>
      </c>
    </row>
    <row r="1062" spans="1:49" x14ac:dyDescent="0.2">
      <c r="A1062">
        <v>1060</v>
      </c>
      <c r="B1062" t="s">
        <v>960</v>
      </c>
      <c r="E1062">
        <v>8344899</v>
      </c>
      <c r="F1062" t="s">
        <v>959</v>
      </c>
      <c r="G1062" t="s">
        <v>15</v>
      </c>
      <c r="H1062" t="s">
        <v>14</v>
      </c>
      <c r="I1062" t="s">
        <v>958</v>
      </c>
      <c r="J1062">
        <v>60014754</v>
      </c>
      <c r="K1062" t="s">
        <v>957</v>
      </c>
      <c r="L1062" t="s">
        <v>618</v>
      </c>
      <c r="M1062" t="s">
        <v>10</v>
      </c>
      <c r="N1062">
        <v>3</v>
      </c>
      <c r="O1062" t="s">
        <v>956</v>
      </c>
      <c r="P1062" t="s">
        <v>955</v>
      </c>
      <c r="Q1062" t="s">
        <v>954</v>
      </c>
      <c r="R1062" s="7">
        <v>33970</v>
      </c>
      <c r="S1062" s="8">
        <f t="shared" si="128"/>
        <v>1993</v>
      </c>
      <c r="T1062" s="8">
        <v>1993</v>
      </c>
      <c r="U1062" s="8">
        <f t="shared" si="129"/>
        <v>29</v>
      </c>
      <c r="V1062" s="7">
        <v>1993</v>
      </c>
      <c r="W1062" t="s">
        <v>953</v>
      </c>
      <c r="X1062" s="2">
        <v>2.3610000000000002</v>
      </c>
      <c r="Y1062" s="6">
        <f t="shared" si="134"/>
        <v>6.3025546568431179E-2</v>
      </c>
      <c r="AA1062">
        <v>219258</v>
      </c>
      <c r="AB1062">
        <v>17592</v>
      </c>
      <c r="AD1062" t="s">
        <v>5</v>
      </c>
      <c r="AE1062">
        <v>268</v>
      </c>
      <c r="AF1062">
        <v>22</v>
      </c>
      <c r="AH1062" t="s">
        <v>952</v>
      </c>
      <c r="AI1062" t="s">
        <v>951</v>
      </c>
      <c r="AK1062" t="s">
        <v>950</v>
      </c>
      <c r="AL1062">
        <v>28</v>
      </c>
      <c r="AM1062" s="5">
        <f t="shared" si="130"/>
        <v>0.96551724137931039</v>
      </c>
      <c r="AN1062" s="4">
        <f t="shared" si="135"/>
        <v>1.4623509903510948E-3</v>
      </c>
      <c r="AO1062" s="3"/>
      <c r="AP1062">
        <v>0</v>
      </c>
      <c r="AQ1062" t="s">
        <v>949</v>
      </c>
      <c r="AR1062" t="s">
        <v>948</v>
      </c>
      <c r="AS1062" t="s">
        <v>947</v>
      </c>
      <c r="AT1062" s="2">
        <v>5.157</v>
      </c>
      <c r="AU1062" s="1">
        <f t="shared" si="131"/>
        <v>4.4556587895007151</v>
      </c>
      <c r="AV1062" s="1">
        <f t="shared" si="132"/>
        <v>3.2243948779391136</v>
      </c>
      <c r="AW1062" s="1">
        <f t="shared" si="133"/>
        <v>1.9931309663775119</v>
      </c>
    </row>
    <row r="1063" spans="1:49" x14ac:dyDescent="0.2">
      <c r="A1063">
        <v>1061</v>
      </c>
      <c r="B1063" t="s">
        <v>946</v>
      </c>
      <c r="C1063" t="s">
        <v>945</v>
      </c>
      <c r="E1063">
        <v>8354691</v>
      </c>
      <c r="F1063" t="s">
        <v>944</v>
      </c>
      <c r="G1063" t="s">
        <v>15</v>
      </c>
      <c r="H1063" t="s">
        <v>14</v>
      </c>
      <c r="I1063" t="s">
        <v>943</v>
      </c>
      <c r="J1063" t="s">
        <v>942</v>
      </c>
      <c r="K1063" t="s">
        <v>941</v>
      </c>
      <c r="L1063" t="s">
        <v>940</v>
      </c>
      <c r="M1063" t="s">
        <v>235</v>
      </c>
      <c r="N1063">
        <v>5</v>
      </c>
      <c r="O1063" t="s">
        <v>939</v>
      </c>
      <c r="P1063" t="s">
        <v>938</v>
      </c>
      <c r="Q1063" t="s">
        <v>937</v>
      </c>
      <c r="R1063" s="7">
        <v>33970</v>
      </c>
      <c r="S1063" s="8">
        <f t="shared" si="128"/>
        <v>1993</v>
      </c>
      <c r="T1063" s="8">
        <v>1993</v>
      </c>
      <c r="U1063" s="8">
        <f t="shared" si="129"/>
        <v>29</v>
      </c>
      <c r="V1063" s="7">
        <v>34213</v>
      </c>
      <c r="W1063" t="s">
        <v>936</v>
      </c>
      <c r="X1063" s="2">
        <v>5.4139999999999997</v>
      </c>
      <c r="Y1063" s="6">
        <f t="shared" si="134"/>
        <v>0.14452363791676676</v>
      </c>
      <c r="AA1063">
        <v>219525</v>
      </c>
      <c r="AB1063">
        <v>18555</v>
      </c>
      <c r="AD1063" t="s">
        <v>5</v>
      </c>
      <c r="AE1063">
        <v>122</v>
      </c>
      <c r="AF1063">
        <v>5</v>
      </c>
      <c r="AH1063" t="s">
        <v>935</v>
      </c>
      <c r="AI1063" t="s">
        <v>934</v>
      </c>
      <c r="AK1063" t="s">
        <v>933</v>
      </c>
      <c r="AL1063">
        <v>160</v>
      </c>
      <c r="AM1063" s="5">
        <f t="shared" si="130"/>
        <v>5.5172413793103452</v>
      </c>
      <c r="AN1063" s="4">
        <f t="shared" si="135"/>
        <v>8.3562913734348283E-3</v>
      </c>
      <c r="AO1063" s="3"/>
      <c r="AP1063">
        <v>1</v>
      </c>
      <c r="AQ1063" t="s">
        <v>932</v>
      </c>
      <c r="AR1063" t="s">
        <v>931</v>
      </c>
      <c r="AS1063" t="s">
        <v>930</v>
      </c>
      <c r="AT1063" s="2">
        <v>10.539</v>
      </c>
      <c r="AU1063" s="1">
        <f t="shared" si="131"/>
        <v>10.367343395376718</v>
      </c>
      <c r="AV1063" s="1">
        <f t="shared" si="132"/>
        <v>7.6439964645100789</v>
      </c>
      <c r="AW1063" s="1">
        <f t="shared" si="133"/>
        <v>4.9206495336434415</v>
      </c>
    </row>
    <row r="1064" spans="1:49" x14ac:dyDescent="0.2">
      <c r="A1064">
        <v>1062</v>
      </c>
      <c r="B1064" t="s">
        <v>929</v>
      </c>
      <c r="C1064" t="s">
        <v>928</v>
      </c>
      <c r="D1064" t="s">
        <v>927</v>
      </c>
      <c r="E1064">
        <v>8234495</v>
      </c>
      <c r="F1064" t="s">
        <v>926</v>
      </c>
      <c r="G1064" t="s">
        <v>15</v>
      </c>
      <c r="H1064" t="s">
        <v>14</v>
      </c>
      <c r="I1064" t="s">
        <v>925</v>
      </c>
      <c r="J1064">
        <v>60085748</v>
      </c>
      <c r="K1064" t="s">
        <v>924</v>
      </c>
      <c r="L1064" t="s">
        <v>923</v>
      </c>
      <c r="M1064" t="s">
        <v>10</v>
      </c>
      <c r="N1064">
        <v>8</v>
      </c>
      <c r="O1064" t="s">
        <v>922</v>
      </c>
      <c r="P1064" t="s">
        <v>921</v>
      </c>
      <c r="Q1064" t="s">
        <v>920</v>
      </c>
      <c r="R1064" s="7">
        <v>33970</v>
      </c>
      <c r="S1064" s="8">
        <f t="shared" si="128"/>
        <v>1993</v>
      </c>
      <c r="T1064" s="8">
        <v>1993</v>
      </c>
      <c r="U1064" s="8">
        <f t="shared" si="129"/>
        <v>29</v>
      </c>
      <c r="V1064" s="7">
        <v>34213</v>
      </c>
      <c r="W1064" t="s">
        <v>919</v>
      </c>
      <c r="X1064" s="2">
        <v>1.2529999999999999</v>
      </c>
      <c r="Y1064" s="6">
        <f t="shared" si="134"/>
        <v>3.3448119377485916E-2</v>
      </c>
      <c r="AA1064" t="s">
        <v>918</v>
      </c>
      <c r="AB1064">
        <v>13045</v>
      </c>
      <c r="AC1064">
        <v>10959890</v>
      </c>
      <c r="AD1064" t="s">
        <v>5</v>
      </c>
      <c r="AE1064">
        <v>30</v>
      </c>
      <c r="AF1064">
        <v>2</v>
      </c>
      <c r="AH1064" t="s">
        <v>917</v>
      </c>
      <c r="AI1064" t="s">
        <v>916</v>
      </c>
      <c r="AK1064" t="s">
        <v>915</v>
      </c>
      <c r="AL1064">
        <v>75</v>
      </c>
      <c r="AM1064" s="5">
        <f t="shared" si="130"/>
        <v>2.5862068965517242</v>
      </c>
      <c r="AN1064" s="4">
        <f t="shared" si="135"/>
        <v>3.9170115812975758E-3</v>
      </c>
      <c r="AO1064" s="3"/>
      <c r="AP1064">
        <v>0</v>
      </c>
      <c r="AR1064" t="s">
        <v>1</v>
      </c>
      <c r="AT1064" s="2">
        <v>3.4660000000000002</v>
      </c>
      <c r="AU1064" s="1">
        <f t="shared" si="131"/>
        <v>2.4588787038629412</v>
      </c>
      <c r="AV1064" s="1">
        <f t="shared" si="132"/>
        <v>1.8682565479391746</v>
      </c>
      <c r="AW1064" s="1">
        <f t="shared" si="133"/>
        <v>1.2776343920154076</v>
      </c>
    </row>
    <row r="1065" spans="1:49" x14ac:dyDescent="0.2">
      <c r="A1065">
        <v>1063</v>
      </c>
      <c r="B1065" t="s">
        <v>914</v>
      </c>
      <c r="C1065" t="s">
        <v>913</v>
      </c>
      <c r="F1065" t="s">
        <v>912</v>
      </c>
      <c r="G1065" t="s">
        <v>15</v>
      </c>
      <c r="H1065" t="s">
        <v>14</v>
      </c>
      <c r="I1065" t="s">
        <v>911</v>
      </c>
      <c r="J1065">
        <v>60001359</v>
      </c>
      <c r="K1065" t="s">
        <v>910</v>
      </c>
      <c r="L1065" t="s">
        <v>909</v>
      </c>
      <c r="M1065" t="s">
        <v>493</v>
      </c>
      <c r="N1065">
        <v>1</v>
      </c>
      <c r="O1065" t="s">
        <v>908</v>
      </c>
      <c r="P1065">
        <v>7004254525</v>
      </c>
      <c r="Q1065">
        <v>60001359</v>
      </c>
      <c r="R1065" s="7">
        <v>33970</v>
      </c>
      <c r="S1065" s="8">
        <f t="shared" si="128"/>
        <v>1993</v>
      </c>
      <c r="T1065" s="8">
        <v>1993</v>
      </c>
      <c r="U1065" s="8">
        <f t="shared" si="129"/>
        <v>29</v>
      </c>
      <c r="V1065" s="7" t="s">
        <v>907</v>
      </c>
      <c r="W1065" t="s">
        <v>906</v>
      </c>
      <c r="X1065" s="2">
        <v>0.33800000000000002</v>
      </c>
      <c r="Y1065" s="6">
        <f t="shared" si="134"/>
        <v>9.0227169589706634E-3</v>
      </c>
      <c r="AA1065">
        <v>7372884</v>
      </c>
      <c r="AB1065">
        <v>70506</v>
      </c>
      <c r="AC1065">
        <v>10991247</v>
      </c>
      <c r="AD1065" t="s">
        <v>5</v>
      </c>
      <c r="AE1065">
        <v>11</v>
      </c>
      <c r="AF1065">
        <v>1</v>
      </c>
      <c r="AH1065" t="s">
        <v>905</v>
      </c>
      <c r="AI1065" t="s">
        <v>904</v>
      </c>
      <c r="AJ1065" t="s">
        <v>903</v>
      </c>
      <c r="AK1065" t="s">
        <v>902</v>
      </c>
      <c r="AL1065">
        <v>3</v>
      </c>
      <c r="AM1065" s="5">
        <f t="shared" si="130"/>
        <v>0.10344827586206896</v>
      </c>
      <c r="AN1065" s="4">
        <f t="shared" si="135"/>
        <v>1.5668046325190301E-4</v>
      </c>
      <c r="AO1065" s="3"/>
      <c r="AP1065">
        <v>0</v>
      </c>
      <c r="AR1065" t="s">
        <v>1</v>
      </c>
      <c r="AT1065" s="2" t="s">
        <v>0</v>
      </c>
      <c r="AU1065" s="1">
        <f t="shared" si="131"/>
        <v>0.6362906010255035</v>
      </c>
      <c r="AV1065" s="1">
        <f t="shared" si="132"/>
        <v>0.4589698711111283</v>
      </c>
      <c r="AW1065" s="1">
        <f t="shared" si="133"/>
        <v>0.28164914119675311</v>
      </c>
    </row>
    <row r="1066" spans="1:49" x14ac:dyDescent="0.2">
      <c r="A1066">
        <v>1064</v>
      </c>
      <c r="B1066" t="s">
        <v>901</v>
      </c>
      <c r="C1066" t="s">
        <v>900</v>
      </c>
      <c r="E1066">
        <v>8245577</v>
      </c>
      <c r="F1066" t="s">
        <v>899</v>
      </c>
      <c r="G1066" t="s">
        <v>15</v>
      </c>
      <c r="H1066" t="s">
        <v>14</v>
      </c>
      <c r="I1066" t="s">
        <v>898</v>
      </c>
      <c r="J1066">
        <v>60032420</v>
      </c>
      <c r="K1066" t="s">
        <v>897</v>
      </c>
      <c r="L1066" t="s">
        <v>896</v>
      </c>
      <c r="M1066" t="s">
        <v>10</v>
      </c>
      <c r="N1066">
        <v>7</v>
      </c>
      <c r="O1066" t="s">
        <v>895</v>
      </c>
      <c r="P1066" t="s">
        <v>894</v>
      </c>
      <c r="Q1066" t="s">
        <v>893</v>
      </c>
      <c r="R1066" s="7">
        <v>33970</v>
      </c>
      <c r="S1066" s="8">
        <f t="shared" si="128"/>
        <v>1993</v>
      </c>
      <c r="T1066" s="8">
        <v>1993</v>
      </c>
      <c r="U1066" s="8">
        <f t="shared" si="129"/>
        <v>29</v>
      </c>
      <c r="V1066" s="7">
        <v>1993</v>
      </c>
      <c r="W1066" t="s">
        <v>701</v>
      </c>
      <c r="X1066" s="2">
        <v>0.89600000000000002</v>
      </c>
      <c r="Y1066" s="6">
        <f t="shared" si="134"/>
        <v>2.3918208269934065E-2</v>
      </c>
      <c r="AA1066">
        <v>2656736</v>
      </c>
      <c r="AB1066">
        <v>29901</v>
      </c>
      <c r="AD1066" t="s">
        <v>5</v>
      </c>
      <c r="AE1066">
        <v>9</v>
      </c>
      <c r="AF1066">
        <v>5</v>
      </c>
      <c r="AH1066" t="s">
        <v>892</v>
      </c>
      <c r="AI1066" t="s">
        <v>891</v>
      </c>
      <c r="AJ1066" t="s">
        <v>890</v>
      </c>
      <c r="AK1066" t="s">
        <v>889</v>
      </c>
      <c r="AL1066">
        <v>13</v>
      </c>
      <c r="AM1066" s="5">
        <f t="shared" si="130"/>
        <v>0.44827586206896552</v>
      </c>
      <c r="AN1066" s="4">
        <f t="shared" si="135"/>
        <v>6.7894867409157972E-4</v>
      </c>
      <c r="AO1066" s="3"/>
      <c r="AP1066">
        <v>0</v>
      </c>
      <c r="AR1066" t="s">
        <v>1</v>
      </c>
      <c r="AT1066" s="2">
        <v>3.9140000000000001</v>
      </c>
      <c r="AU1066" s="1">
        <f t="shared" si="131"/>
        <v>1.6946430391181317</v>
      </c>
      <c r="AV1066" s="1">
        <f t="shared" si="132"/>
        <v>1.2298578472012822</v>
      </c>
      <c r="AW1066" s="1">
        <f t="shared" si="133"/>
        <v>0.76507265528443247</v>
      </c>
    </row>
    <row r="1067" spans="1:49" x14ac:dyDescent="0.2">
      <c r="A1067">
        <v>1065</v>
      </c>
      <c r="B1067" t="s">
        <v>888</v>
      </c>
      <c r="F1067" t="s">
        <v>887</v>
      </c>
      <c r="G1067" t="s">
        <v>15</v>
      </c>
      <c r="H1067" t="s">
        <v>14</v>
      </c>
      <c r="I1067" t="s">
        <v>886</v>
      </c>
      <c r="J1067">
        <v>60007136</v>
      </c>
      <c r="K1067" t="s">
        <v>885</v>
      </c>
      <c r="L1067" t="s">
        <v>884</v>
      </c>
      <c r="M1067" t="s">
        <v>303</v>
      </c>
      <c r="N1067">
        <v>6</v>
      </c>
      <c r="O1067" t="s">
        <v>883</v>
      </c>
      <c r="P1067" t="s">
        <v>882</v>
      </c>
      <c r="Q1067" t="s">
        <v>881</v>
      </c>
      <c r="R1067" s="7">
        <v>33970</v>
      </c>
      <c r="S1067" s="8">
        <f t="shared" si="128"/>
        <v>1993</v>
      </c>
      <c r="T1067" s="8">
        <v>1993</v>
      </c>
      <c r="U1067" s="8">
        <f t="shared" si="129"/>
        <v>29</v>
      </c>
      <c r="V1067" s="7">
        <v>1993</v>
      </c>
      <c r="W1067" t="s">
        <v>561</v>
      </c>
      <c r="X1067" s="2">
        <v>0.216</v>
      </c>
      <c r="Y1067" s="6">
        <f t="shared" si="134"/>
        <v>5.765996636501962E-3</v>
      </c>
      <c r="AA1067">
        <v>10544887</v>
      </c>
      <c r="AB1067">
        <v>13200</v>
      </c>
      <c r="AD1067" t="s">
        <v>5</v>
      </c>
      <c r="AE1067">
        <v>8</v>
      </c>
      <c r="AF1067">
        <v>1</v>
      </c>
      <c r="AH1067" t="s">
        <v>880</v>
      </c>
      <c r="AI1067" t="s">
        <v>879</v>
      </c>
      <c r="AK1067" t="s">
        <v>878</v>
      </c>
      <c r="AL1067">
        <v>0</v>
      </c>
      <c r="AM1067" s="5">
        <f t="shared" si="130"/>
        <v>0</v>
      </c>
      <c r="AN1067" s="4">
        <f t="shared" si="135"/>
        <v>0</v>
      </c>
      <c r="AO1067" s="3"/>
      <c r="AP1067">
        <v>0</v>
      </c>
      <c r="AR1067" t="s">
        <v>1</v>
      </c>
      <c r="AT1067" s="2" t="s">
        <v>0</v>
      </c>
      <c r="AU1067" s="1">
        <f t="shared" si="131"/>
        <v>0.40361976455513726</v>
      </c>
      <c r="AV1067" s="1">
        <f t="shared" si="132"/>
        <v>0.28829983182509811</v>
      </c>
      <c r="AW1067" s="1">
        <f t="shared" si="133"/>
        <v>0.17297989909505887</v>
      </c>
    </row>
    <row r="1068" spans="1:49" x14ac:dyDescent="0.2">
      <c r="A1068">
        <v>1066</v>
      </c>
      <c r="B1068" t="s">
        <v>877</v>
      </c>
      <c r="C1068" t="s">
        <v>876</v>
      </c>
      <c r="F1068" t="s">
        <v>875</v>
      </c>
      <c r="G1068" t="s">
        <v>15</v>
      </c>
      <c r="H1068" t="s">
        <v>14</v>
      </c>
      <c r="I1068" t="s">
        <v>874</v>
      </c>
      <c r="J1068">
        <v>60001881</v>
      </c>
      <c r="K1068" t="s">
        <v>873</v>
      </c>
      <c r="L1068" t="s">
        <v>872</v>
      </c>
      <c r="M1068" t="s">
        <v>493</v>
      </c>
      <c r="N1068">
        <v>2</v>
      </c>
      <c r="O1068" t="s">
        <v>871</v>
      </c>
      <c r="P1068" t="s">
        <v>870</v>
      </c>
      <c r="Q1068" t="s">
        <v>869</v>
      </c>
      <c r="R1068" s="7">
        <v>33970</v>
      </c>
      <c r="S1068" s="8">
        <f t="shared" si="128"/>
        <v>1993</v>
      </c>
      <c r="T1068" s="8">
        <v>1993</v>
      </c>
      <c r="U1068" s="8">
        <f t="shared" si="129"/>
        <v>29</v>
      </c>
      <c r="V1068" s="7">
        <v>33970</v>
      </c>
      <c r="W1068" t="s">
        <v>868</v>
      </c>
      <c r="X1068" s="2">
        <v>0.375</v>
      </c>
      <c r="Y1068" s="6">
        <f t="shared" si="134"/>
        <v>1.0010410827260351E-2</v>
      </c>
      <c r="AA1068">
        <v>135194</v>
      </c>
      <c r="AB1068">
        <v>24918</v>
      </c>
      <c r="AD1068" t="s">
        <v>5</v>
      </c>
      <c r="AE1068">
        <v>29</v>
      </c>
      <c r="AF1068">
        <v>2</v>
      </c>
      <c r="AH1068" t="s">
        <v>867</v>
      </c>
      <c r="AI1068" t="s">
        <v>866</v>
      </c>
      <c r="AJ1068" t="s">
        <v>865</v>
      </c>
      <c r="AK1068" t="s">
        <v>864</v>
      </c>
      <c r="AL1068">
        <v>2</v>
      </c>
      <c r="AM1068" s="5">
        <f t="shared" si="130"/>
        <v>6.8965517241379309E-2</v>
      </c>
      <c r="AN1068" s="4">
        <f t="shared" si="135"/>
        <v>1.0445364216793535E-4</v>
      </c>
      <c r="AO1068" s="3"/>
      <c r="AP1068">
        <v>0</v>
      </c>
      <c r="AR1068" t="s">
        <v>1</v>
      </c>
      <c r="AT1068" s="2">
        <v>1.3140000000000001</v>
      </c>
      <c r="AU1068" s="1">
        <f t="shared" si="131"/>
        <v>0.70386236717326256</v>
      </c>
      <c r="AV1068" s="1">
        <f t="shared" si="132"/>
        <v>0.50574322347141432</v>
      </c>
      <c r="AW1068" s="1">
        <f t="shared" si="133"/>
        <v>0.30762407976956602</v>
      </c>
    </row>
    <row r="1069" spans="1:49" x14ac:dyDescent="0.2">
      <c r="A1069">
        <v>1067</v>
      </c>
      <c r="B1069" t="s">
        <v>863</v>
      </c>
      <c r="C1069" t="s">
        <v>862</v>
      </c>
      <c r="F1069" t="s">
        <v>861</v>
      </c>
      <c r="G1069" t="s">
        <v>15</v>
      </c>
      <c r="H1069" t="s">
        <v>14</v>
      </c>
      <c r="I1069" t="s">
        <v>860</v>
      </c>
      <c r="J1069">
        <v>60030551</v>
      </c>
      <c r="K1069" t="s">
        <v>859</v>
      </c>
      <c r="L1069" t="s">
        <v>858</v>
      </c>
      <c r="M1069" t="s">
        <v>10</v>
      </c>
      <c r="N1069">
        <v>3</v>
      </c>
      <c r="O1069" t="s">
        <v>857</v>
      </c>
      <c r="P1069" t="s">
        <v>856</v>
      </c>
      <c r="Q1069" t="s">
        <v>855</v>
      </c>
      <c r="R1069" s="7">
        <v>33970</v>
      </c>
      <c r="S1069" s="8">
        <f t="shared" si="128"/>
        <v>1993</v>
      </c>
      <c r="T1069" s="8">
        <v>1993</v>
      </c>
      <c r="U1069" s="8">
        <f t="shared" si="129"/>
        <v>29</v>
      </c>
      <c r="V1069" s="7">
        <v>33970</v>
      </c>
      <c r="W1069" t="s">
        <v>548</v>
      </c>
      <c r="X1069" s="2">
        <v>1.3720000000000001</v>
      </c>
      <c r="Y1069" s="6">
        <f t="shared" si="134"/>
        <v>3.662475641333654E-2</v>
      </c>
      <c r="AA1069">
        <v>189480</v>
      </c>
      <c r="AB1069">
        <v>17366</v>
      </c>
      <c r="AC1069">
        <v>15579670</v>
      </c>
      <c r="AD1069" t="s">
        <v>5</v>
      </c>
      <c r="AE1069">
        <v>41</v>
      </c>
      <c r="AF1069">
        <v>1</v>
      </c>
      <c r="AH1069" t="s">
        <v>854</v>
      </c>
      <c r="AI1069" t="s">
        <v>853</v>
      </c>
      <c r="AK1069" t="s">
        <v>852</v>
      </c>
      <c r="AL1069">
        <v>178</v>
      </c>
      <c r="AM1069" s="5">
        <f t="shared" si="130"/>
        <v>6.1379310344827589</v>
      </c>
      <c r="AN1069" s="4">
        <f t="shared" si="135"/>
        <v>9.2963741529462456E-3</v>
      </c>
      <c r="AO1069" s="3"/>
      <c r="AP1069">
        <v>0</v>
      </c>
      <c r="AR1069" t="s">
        <v>1</v>
      </c>
      <c r="AT1069" s="2" t="s">
        <v>0</v>
      </c>
      <c r="AU1069" s="1">
        <f t="shared" si="131"/>
        <v>2.8426241735219451</v>
      </c>
      <c r="AV1069" s="1">
        <f t="shared" si="132"/>
        <v>2.2960565283141396</v>
      </c>
      <c r="AW1069" s="1">
        <f t="shared" si="133"/>
        <v>1.7494888831063333</v>
      </c>
    </row>
    <row r="1070" spans="1:49" x14ac:dyDescent="0.2">
      <c r="A1070">
        <v>1068</v>
      </c>
      <c r="B1070" t="s">
        <v>851</v>
      </c>
      <c r="C1070" t="s">
        <v>850</v>
      </c>
      <c r="E1070">
        <v>8494886</v>
      </c>
      <c r="F1070" t="s">
        <v>849</v>
      </c>
      <c r="G1070" t="s">
        <v>15</v>
      </c>
      <c r="H1070" t="s">
        <v>14</v>
      </c>
      <c r="I1070" t="s">
        <v>848</v>
      </c>
      <c r="J1070">
        <v>60003892</v>
      </c>
      <c r="K1070" t="s">
        <v>847</v>
      </c>
      <c r="L1070" t="s">
        <v>846</v>
      </c>
      <c r="M1070" t="s">
        <v>10</v>
      </c>
      <c r="N1070">
        <v>3</v>
      </c>
      <c r="O1070" t="s">
        <v>845</v>
      </c>
      <c r="P1070" t="s">
        <v>844</v>
      </c>
      <c r="Q1070" t="s">
        <v>843</v>
      </c>
      <c r="R1070" s="7">
        <v>33970</v>
      </c>
      <c r="S1070" s="8">
        <f t="shared" si="128"/>
        <v>1993</v>
      </c>
      <c r="T1070" s="8">
        <v>1993</v>
      </c>
      <c r="U1070" s="8">
        <f t="shared" si="129"/>
        <v>29</v>
      </c>
      <c r="V1070" s="7">
        <v>1993</v>
      </c>
      <c r="W1070" t="s">
        <v>828</v>
      </c>
      <c r="X1070" s="2">
        <v>1.43</v>
      </c>
      <c r="Y1070" s="6">
        <f t="shared" si="134"/>
        <v>3.8173033287952803E-2</v>
      </c>
      <c r="AA1070">
        <v>62960</v>
      </c>
      <c r="AB1070">
        <v>16867</v>
      </c>
      <c r="AC1070">
        <v>15204995</v>
      </c>
      <c r="AD1070" t="s">
        <v>5</v>
      </c>
      <c r="AE1070">
        <v>32</v>
      </c>
      <c r="AF1070">
        <v>19</v>
      </c>
      <c r="AH1070" t="s">
        <v>842</v>
      </c>
      <c r="AI1070" t="s">
        <v>841</v>
      </c>
      <c r="AK1070" t="s">
        <v>840</v>
      </c>
      <c r="AL1070">
        <v>37</v>
      </c>
      <c r="AM1070" s="5">
        <f t="shared" si="130"/>
        <v>1.2758620689655173</v>
      </c>
      <c r="AN1070" s="4">
        <f t="shared" si="135"/>
        <v>1.9323923801068041E-3</v>
      </c>
      <c r="AO1070" s="3"/>
      <c r="AP1070">
        <v>0</v>
      </c>
      <c r="AR1070" t="s">
        <v>1</v>
      </c>
      <c r="AT1070" s="2">
        <v>3.1619999999999999</v>
      </c>
      <c r="AU1070" s="1">
        <f t="shared" si="131"/>
        <v>2.7300841015599002</v>
      </c>
      <c r="AV1070" s="1">
        <f t="shared" si="132"/>
        <v>2.0052712834029802</v>
      </c>
      <c r="AW1070" s="1">
        <f t="shared" si="133"/>
        <v>1.2804584652460604</v>
      </c>
    </row>
    <row r="1071" spans="1:49" x14ac:dyDescent="0.2">
      <c r="A1071">
        <v>1069</v>
      </c>
      <c r="B1071" t="s">
        <v>839</v>
      </c>
      <c r="C1071" t="s">
        <v>838</v>
      </c>
      <c r="E1071">
        <v>8504081</v>
      </c>
      <c r="F1071" t="s">
        <v>837</v>
      </c>
      <c r="G1071" t="s">
        <v>15</v>
      </c>
      <c r="H1071" t="s">
        <v>14</v>
      </c>
      <c r="I1071" t="s">
        <v>836</v>
      </c>
      <c r="J1071" t="s">
        <v>835</v>
      </c>
      <c r="K1071" t="s">
        <v>834</v>
      </c>
      <c r="L1071" t="s">
        <v>833</v>
      </c>
      <c r="M1071" t="s">
        <v>832</v>
      </c>
      <c r="N1071">
        <v>4</v>
      </c>
      <c r="O1071" t="s">
        <v>831</v>
      </c>
      <c r="P1071" t="s">
        <v>830</v>
      </c>
      <c r="Q1071" t="s">
        <v>829</v>
      </c>
      <c r="R1071" s="7">
        <v>33970</v>
      </c>
      <c r="S1071" s="8">
        <f t="shared" si="128"/>
        <v>1993</v>
      </c>
      <c r="T1071" s="8">
        <v>1993</v>
      </c>
      <c r="U1071" s="8">
        <f t="shared" si="129"/>
        <v>29</v>
      </c>
      <c r="V1071" s="7">
        <v>1993</v>
      </c>
      <c r="W1071" t="s">
        <v>828</v>
      </c>
      <c r="X1071" s="2">
        <v>1.43</v>
      </c>
      <c r="Y1071" s="6">
        <f t="shared" si="134"/>
        <v>3.8173033287952803E-2</v>
      </c>
      <c r="AA1071">
        <v>62960</v>
      </c>
      <c r="AB1071">
        <v>16867</v>
      </c>
      <c r="AC1071">
        <v>15204995</v>
      </c>
      <c r="AD1071" t="s">
        <v>5</v>
      </c>
      <c r="AE1071">
        <v>32</v>
      </c>
      <c r="AF1071">
        <v>21</v>
      </c>
      <c r="AH1071" t="s">
        <v>827</v>
      </c>
      <c r="AI1071" t="s">
        <v>826</v>
      </c>
      <c r="AK1071" t="s">
        <v>825</v>
      </c>
      <c r="AL1071">
        <v>78</v>
      </c>
      <c r="AM1071" s="5">
        <f t="shared" si="130"/>
        <v>2.6896551724137931</v>
      </c>
      <c r="AN1071" s="4">
        <f t="shared" si="135"/>
        <v>4.0736920445494781E-3</v>
      </c>
      <c r="AO1071" s="3"/>
      <c r="AP1071">
        <v>0</v>
      </c>
      <c r="AR1071" t="s">
        <v>1</v>
      </c>
      <c r="AT1071" s="2">
        <v>3.1619999999999999</v>
      </c>
      <c r="AU1071" s="1">
        <f t="shared" si="131"/>
        <v>2.7943230914931805</v>
      </c>
      <c r="AV1071" s="1">
        <f t="shared" si="132"/>
        <v>2.112336266625114</v>
      </c>
      <c r="AW1071" s="1">
        <f t="shared" si="133"/>
        <v>1.4303494417570475</v>
      </c>
    </row>
    <row r="1072" spans="1:49" x14ac:dyDescent="0.2">
      <c r="A1072">
        <v>1070</v>
      </c>
      <c r="B1072" t="s">
        <v>824</v>
      </c>
      <c r="C1072" t="s">
        <v>823</v>
      </c>
      <c r="F1072" t="s">
        <v>822</v>
      </c>
      <c r="G1072" t="s">
        <v>15</v>
      </c>
      <c r="H1072" t="s">
        <v>14</v>
      </c>
      <c r="I1072" t="s">
        <v>821</v>
      </c>
      <c r="J1072">
        <v>60011019</v>
      </c>
      <c r="K1072" t="s">
        <v>820</v>
      </c>
      <c r="L1072" t="s">
        <v>819</v>
      </c>
      <c r="M1072" t="s">
        <v>818</v>
      </c>
      <c r="N1072">
        <v>3</v>
      </c>
      <c r="O1072" t="s">
        <v>817</v>
      </c>
      <c r="P1072" t="s">
        <v>816</v>
      </c>
      <c r="Q1072" t="s">
        <v>815</v>
      </c>
      <c r="R1072" s="7">
        <v>33970</v>
      </c>
      <c r="S1072" s="8">
        <f t="shared" si="128"/>
        <v>1993</v>
      </c>
      <c r="T1072" s="8">
        <v>1993</v>
      </c>
      <c r="U1072" s="8">
        <f t="shared" si="129"/>
        <v>29</v>
      </c>
      <c r="V1072" s="7">
        <v>33970</v>
      </c>
      <c r="W1072" t="s">
        <v>814</v>
      </c>
      <c r="X1072" s="2">
        <v>1.6519999999999999</v>
      </c>
      <c r="Y1072" s="6">
        <f t="shared" si="134"/>
        <v>4.409919649769093E-2</v>
      </c>
      <c r="AA1072" t="s">
        <v>813</v>
      </c>
      <c r="AB1072">
        <v>17337</v>
      </c>
      <c r="AC1072">
        <v>15582221</v>
      </c>
      <c r="AD1072" t="s">
        <v>5</v>
      </c>
      <c r="AE1072">
        <v>41</v>
      </c>
      <c r="AF1072">
        <v>1</v>
      </c>
      <c r="AH1072" t="s">
        <v>812</v>
      </c>
      <c r="AI1072" t="s">
        <v>811</v>
      </c>
      <c r="AK1072" t="s">
        <v>810</v>
      </c>
      <c r="AL1072">
        <v>82</v>
      </c>
      <c r="AM1072" s="5">
        <f t="shared" si="130"/>
        <v>2.8275862068965516</v>
      </c>
      <c r="AN1072" s="4">
        <f t="shared" si="135"/>
        <v>4.2825993288853493E-3</v>
      </c>
      <c r="AO1072" s="3"/>
      <c r="AP1072">
        <v>0</v>
      </c>
      <c r="AR1072" t="s">
        <v>1</v>
      </c>
      <c r="AT1072" s="2" t="s">
        <v>0</v>
      </c>
      <c r="AU1072" s="1">
        <f t="shared" si="131"/>
        <v>3.2154217347049254</v>
      </c>
      <c r="AV1072" s="1">
        <f t="shared" si="132"/>
        <v>2.4190897913288141</v>
      </c>
      <c r="AW1072" s="1">
        <f t="shared" si="133"/>
        <v>1.6227578479527023</v>
      </c>
    </row>
    <row r="1073" spans="1:49" x14ac:dyDescent="0.2">
      <c r="A1073">
        <v>1071</v>
      </c>
      <c r="B1073" t="s">
        <v>809</v>
      </c>
      <c r="C1073" t="s">
        <v>808</v>
      </c>
      <c r="F1073" t="s">
        <v>807</v>
      </c>
      <c r="G1073" t="s">
        <v>15</v>
      </c>
      <c r="H1073" t="s">
        <v>14</v>
      </c>
      <c r="I1073" t="s">
        <v>806</v>
      </c>
      <c r="J1073">
        <v>60002959</v>
      </c>
      <c r="K1073" t="s">
        <v>805</v>
      </c>
      <c r="L1073" t="s">
        <v>804</v>
      </c>
      <c r="M1073" t="s">
        <v>10</v>
      </c>
      <c r="N1073">
        <v>3</v>
      </c>
      <c r="O1073" t="s">
        <v>803</v>
      </c>
      <c r="P1073" t="s">
        <v>802</v>
      </c>
      <c r="Q1073" t="s">
        <v>801</v>
      </c>
      <c r="R1073" s="7">
        <v>33970</v>
      </c>
      <c r="S1073" s="8">
        <f t="shared" si="128"/>
        <v>1993</v>
      </c>
      <c r="T1073" s="8">
        <v>1993</v>
      </c>
      <c r="U1073" s="8">
        <f t="shared" si="129"/>
        <v>29</v>
      </c>
      <c r="V1073" s="7">
        <v>33970</v>
      </c>
      <c r="W1073" t="s">
        <v>800</v>
      </c>
      <c r="X1073" s="2">
        <v>1.468</v>
      </c>
      <c r="Y1073" s="6">
        <f t="shared" si="134"/>
        <v>3.9187421585115186E-2</v>
      </c>
      <c r="AA1073">
        <v>906778</v>
      </c>
      <c r="AB1073">
        <v>18931</v>
      </c>
      <c r="AD1073" t="s">
        <v>5</v>
      </c>
      <c r="AE1073">
        <v>41</v>
      </c>
      <c r="AF1073">
        <v>1</v>
      </c>
      <c r="AH1073" t="s">
        <v>799</v>
      </c>
      <c r="AI1073" t="s">
        <v>798</v>
      </c>
      <c r="AK1073" t="s">
        <v>797</v>
      </c>
      <c r="AL1073">
        <v>0</v>
      </c>
      <c r="AM1073" s="5">
        <f t="shared" si="130"/>
        <v>0</v>
      </c>
      <c r="AN1073" s="4">
        <f t="shared" si="135"/>
        <v>0</v>
      </c>
      <c r="AO1073" s="3"/>
      <c r="AP1073">
        <v>0</v>
      </c>
      <c r="AR1073" t="s">
        <v>796</v>
      </c>
      <c r="AT1073" s="2">
        <v>5.0830000000000002</v>
      </c>
      <c r="AU1073" s="1">
        <f t="shared" si="131"/>
        <v>2.7431195109580626</v>
      </c>
      <c r="AV1073" s="1">
        <f t="shared" si="132"/>
        <v>1.9593710792557593</v>
      </c>
      <c r="AW1073" s="1">
        <f t="shared" si="133"/>
        <v>1.1756226475534557</v>
      </c>
    </row>
    <row r="1074" spans="1:49" x14ac:dyDescent="0.2">
      <c r="A1074">
        <v>1072</v>
      </c>
      <c r="B1074" t="s">
        <v>795</v>
      </c>
      <c r="F1074" t="s">
        <v>794</v>
      </c>
      <c r="G1074" t="s">
        <v>15</v>
      </c>
      <c r="H1074" t="s">
        <v>14</v>
      </c>
      <c r="I1074" t="s">
        <v>793</v>
      </c>
      <c r="J1074">
        <v>60072331</v>
      </c>
      <c r="K1074" t="s">
        <v>792</v>
      </c>
      <c r="L1074" t="s">
        <v>791</v>
      </c>
      <c r="M1074" t="s">
        <v>59</v>
      </c>
      <c r="N1074">
        <v>1</v>
      </c>
      <c r="O1074" t="s">
        <v>790</v>
      </c>
      <c r="P1074">
        <v>15750986000</v>
      </c>
      <c r="Q1074">
        <v>60072331</v>
      </c>
      <c r="R1074" s="7">
        <v>33970</v>
      </c>
      <c r="S1074" s="8">
        <f t="shared" si="128"/>
        <v>1993</v>
      </c>
      <c r="T1074" s="8">
        <v>1993</v>
      </c>
      <c r="U1074" s="8">
        <f t="shared" si="129"/>
        <v>29</v>
      </c>
      <c r="V1074" s="7">
        <v>33970</v>
      </c>
      <c r="W1074" t="s">
        <v>789</v>
      </c>
      <c r="X1074" s="2">
        <v>0.69799999999999995</v>
      </c>
      <c r="Y1074" s="6">
        <f t="shared" si="134"/>
        <v>1.86327113531406E-2</v>
      </c>
      <c r="AA1074">
        <v>219142</v>
      </c>
      <c r="AB1074">
        <v>29585</v>
      </c>
      <c r="AD1074" t="s">
        <v>5</v>
      </c>
      <c r="AE1074">
        <v>41</v>
      </c>
      <c r="AF1074">
        <v>1</v>
      </c>
      <c r="AH1074" t="s">
        <v>788</v>
      </c>
      <c r="AI1074" t="s">
        <v>787</v>
      </c>
      <c r="AK1074" t="s">
        <v>786</v>
      </c>
      <c r="AL1074">
        <v>0</v>
      </c>
      <c r="AM1074" s="5">
        <f t="shared" si="130"/>
        <v>0</v>
      </c>
      <c r="AN1074" s="4">
        <f t="shared" si="135"/>
        <v>0</v>
      </c>
      <c r="AO1074" s="3"/>
      <c r="AP1074">
        <v>0</v>
      </c>
      <c r="AR1074" t="s">
        <v>1</v>
      </c>
      <c r="AT1074" s="2">
        <v>1.5309999999999999</v>
      </c>
      <c r="AU1074" s="1">
        <f t="shared" si="131"/>
        <v>1.304289794719842</v>
      </c>
      <c r="AV1074" s="1">
        <f t="shared" si="132"/>
        <v>0.93163556765703004</v>
      </c>
      <c r="AW1074" s="1">
        <f t="shared" si="133"/>
        <v>0.558981340594218</v>
      </c>
    </row>
    <row r="1075" spans="1:49" x14ac:dyDescent="0.2">
      <c r="A1075">
        <v>1073</v>
      </c>
      <c r="B1075" t="s">
        <v>785</v>
      </c>
      <c r="F1075" t="s">
        <v>784</v>
      </c>
      <c r="G1075" t="s">
        <v>15</v>
      </c>
      <c r="H1075" t="s">
        <v>14</v>
      </c>
      <c r="I1075" t="s">
        <v>783</v>
      </c>
      <c r="J1075">
        <v>60002162</v>
      </c>
      <c r="K1075" t="s">
        <v>782</v>
      </c>
      <c r="L1075" t="s">
        <v>781</v>
      </c>
      <c r="M1075" t="s">
        <v>10</v>
      </c>
      <c r="N1075">
        <v>2</v>
      </c>
      <c r="O1075" t="s">
        <v>780</v>
      </c>
      <c r="P1075" t="s">
        <v>779</v>
      </c>
      <c r="Q1075" t="s">
        <v>778</v>
      </c>
      <c r="R1075" s="7">
        <v>33970</v>
      </c>
      <c r="S1075" s="8">
        <f t="shared" si="128"/>
        <v>1993</v>
      </c>
      <c r="T1075" s="8">
        <v>1993</v>
      </c>
      <c r="U1075" s="8">
        <f t="shared" si="129"/>
        <v>29</v>
      </c>
      <c r="V1075" s="7">
        <v>33970</v>
      </c>
      <c r="W1075" t="s">
        <v>777</v>
      </c>
      <c r="X1075" s="2">
        <v>0.54700000000000004</v>
      </c>
      <c r="Y1075" s="6">
        <f t="shared" si="134"/>
        <v>1.4601852593363766E-2</v>
      </c>
      <c r="AA1075">
        <v>11096</v>
      </c>
      <c r="AB1075">
        <v>31211</v>
      </c>
      <c r="AD1075" t="s">
        <v>5</v>
      </c>
      <c r="AE1075">
        <v>47</v>
      </c>
      <c r="AF1075">
        <v>1</v>
      </c>
      <c r="AH1075" t="s">
        <v>776</v>
      </c>
      <c r="AI1075" t="s">
        <v>775</v>
      </c>
      <c r="AK1075" t="s">
        <v>774</v>
      </c>
      <c r="AL1075">
        <v>0</v>
      </c>
      <c r="AM1075" s="5">
        <f t="shared" si="130"/>
        <v>0</v>
      </c>
      <c r="AN1075" s="4">
        <f t="shared" si="135"/>
        <v>0</v>
      </c>
      <c r="AO1075" s="3"/>
      <c r="AP1075">
        <v>0</v>
      </c>
      <c r="AR1075" t="s">
        <v>1</v>
      </c>
      <c r="AT1075" s="2" t="s">
        <v>0</v>
      </c>
      <c r="AU1075" s="1">
        <f t="shared" si="131"/>
        <v>1.0221296815354637</v>
      </c>
      <c r="AV1075" s="1">
        <f t="shared" si="132"/>
        <v>0.73009262966818833</v>
      </c>
      <c r="AW1075" s="1">
        <f t="shared" si="133"/>
        <v>0.43805557780091298</v>
      </c>
    </row>
    <row r="1076" spans="1:49" x14ac:dyDescent="0.2">
      <c r="A1076">
        <v>1074</v>
      </c>
      <c r="B1076" t="s">
        <v>773</v>
      </c>
      <c r="C1076" t="s">
        <v>772</v>
      </c>
      <c r="F1076" t="s">
        <v>771</v>
      </c>
      <c r="G1076" t="s">
        <v>15</v>
      </c>
      <c r="H1076" t="s">
        <v>14</v>
      </c>
      <c r="I1076" t="s">
        <v>770</v>
      </c>
      <c r="J1076">
        <v>60000745</v>
      </c>
      <c r="K1076" t="s">
        <v>769</v>
      </c>
      <c r="L1076" t="s">
        <v>768</v>
      </c>
      <c r="M1076" t="s">
        <v>10</v>
      </c>
      <c r="N1076">
        <v>2</v>
      </c>
      <c r="O1076" t="s">
        <v>767</v>
      </c>
      <c r="P1076" t="s">
        <v>766</v>
      </c>
      <c r="Q1076" t="s">
        <v>765</v>
      </c>
      <c r="R1076" s="7">
        <v>33970</v>
      </c>
      <c r="S1076" s="8">
        <f t="shared" si="128"/>
        <v>1993</v>
      </c>
      <c r="T1076" s="8">
        <v>1993</v>
      </c>
      <c r="U1076" s="8">
        <f t="shared" si="129"/>
        <v>29</v>
      </c>
      <c r="V1076" s="7">
        <v>33970</v>
      </c>
      <c r="W1076" t="s">
        <v>548</v>
      </c>
      <c r="X1076" s="2">
        <v>1.3720000000000001</v>
      </c>
      <c r="Y1076" s="6">
        <f t="shared" si="134"/>
        <v>3.662475641333654E-2</v>
      </c>
      <c r="AA1076">
        <v>189480</v>
      </c>
      <c r="AB1076">
        <v>17366</v>
      </c>
      <c r="AC1076">
        <v>15579670</v>
      </c>
      <c r="AD1076" t="s">
        <v>5</v>
      </c>
      <c r="AE1076">
        <v>41</v>
      </c>
      <c r="AF1076">
        <v>1</v>
      </c>
      <c r="AH1076" t="s">
        <v>764</v>
      </c>
      <c r="AI1076" t="s">
        <v>763</v>
      </c>
      <c r="AK1076" t="s">
        <v>762</v>
      </c>
      <c r="AL1076">
        <v>16</v>
      </c>
      <c r="AM1076" s="5">
        <f t="shared" si="130"/>
        <v>0.55172413793103448</v>
      </c>
      <c r="AN1076" s="4">
        <f t="shared" si="135"/>
        <v>8.3562913734348278E-4</v>
      </c>
      <c r="AO1076" s="3"/>
      <c r="AP1076">
        <v>0</v>
      </c>
      <c r="AQ1076" t="s">
        <v>761</v>
      </c>
      <c r="AR1076" t="s">
        <v>760</v>
      </c>
      <c r="AS1076" t="s">
        <v>759</v>
      </c>
      <c r="AT1076" s="2" t="s">
        <v>0</v>
      </c>
      <c r="AU1076" s="1">
        <f t="shared" si="131"/>
        <v>2.5888018230538621</v>
      </c>
      <c r="AV1076" s="1">
        <f t="shared" si="132"/>
        <v>1.8730192775340011</v>
      </c>
      <c r="AW1076" s="1">
        <f t="shared" si="133"/>
        <v>1.1572367320141399</v>
      </c>
    </row>
    <row r="1077" spans="1:49" x14ac:dyDescent="0.2">
      <c r="A1077">
        <v>1075</v>
      </c>
      <c r="B1077" t="s">
        <v>758</v>
      </c>
      <c r="C1077" t="s">
        <v>757</v>
      </c>
      <c r="D1077" t="s">
        <v>756</v>
      </c>
      <c r="F1077" t="s">
        <v>755</v>
      </c>
      <c r="G1077" t="s">
        <v>15</v>
      </c>
      <c r="H1077" t="s">
        <v>14</v>
      </c>
      <c r="I1077" t="s">
        <v>754</v>
      </c>
      <c r="J1077" t="s">
        <v>748</v>
      </c>
      <c r="K1077" t="s">
        <v>753</v>
      </c>
      <c r="L1077" t="s">
        <v>752</v>
      </c>
      <c r="M1077" t="s">
        <v>751</v>
      </c>
      <c r="N1077">
        <v>2</v>
      </c>
      <c r="O1077" t="s">
        <v>750</v>
      </c>
      <c r="P1077" t="s">
        <v>749</v>
      </c>
      <c r="Q1077" t="s">
        <v>748</v>
      </c>
      <c r="R1077" s="7">
        <v>33970</v>
      </c>
      <c r="S1077" s="8">
        <f t="shared" si="128"/>
        <v>1993</v>
      </c>
      <c r="T1077" s="8">
        <v>1993</v>
      </c>
      <c r="U1077" s="8">
        <f t="shared" si="129"/>
        <v>29</v>
      </c>
      <c r="V1077" s="7">
        <v>33970</v>
      </c>
      <c r="W1077" t="s">
        <v>747</v>
      </c>
      <c r="X1077" s="2">
        <v>0.90700000000000003</v>
      </c>
      <c r="Y1077" s="6">
        <f t="shared" si="134"/>
        <v>2.4211846987533703E-2</v>
      </c>
      <c r="AA1077">
        <v>1651684</v>
      </c>
      <c r="AB1077">
        <v>25548</v>
      </c>
      <c r="AD1077" t="s">
        <v>5</v>
      </c>
      <c r="AE1077">
        <v>30</v>
      </c>
      <c r="AF1077">
        <v>1</v>
      </c>
      <c r="AH1077" s="10">
        <v>41275</v>
      </c>
      <c r="AI1077" t="s">
        <v>746</v>
      </c>
      <c r="AJ1077" t="s">
        <v>745</v>
      </c>
      <c r="AK1077" t="s">
        <v>744</v>
      </c>
      <c r="AL1077">
        <v>8</v>
      </c>
      <c r="AM1077" s="5">
        <f t="shared" si="130"/>
        <v>0.27586206896551724</v>
      </c>
      <c r="AN1077" s="4">
        <f t="shared" si="135"/>
        <v>4.1781456867174139E-4</v>
      </c>
      <c r="AO1077" s="3"/>
      <c r="AP1077">
        <v>0</v>
      </c>
      <c r="AR1077" t="s">
        <v>1</v>
      </c>
      <c r="AT1077" s="2">
        <v>4.6619999999999999</v>
      </c>
      <c r="AU1077" s="1">
        <f t="shared" si="131"/>
        <v>1.7073637261875112</v>
      </c>
      <c r="AV1077" s="1">
        <f t="shared" si="132"/>
        <v>1.2314830778102721</v>
      </c>
      <c r="AW1077" s="1">
        <f t="shared" si="133"/>
        <v>0.75560242943303291</v>
      </c>
    </row>
    <row r="1078" spans="1:49" x14ac:dyDescent="0.2">
      <c r="A1078">
        <v>1076</v>
      </c>
      <c r="B1078" t="s">
        <v>743</v>
      </c>
      <c r="C1078" t="s">
        <v>742</v>
      </c>
      <c r="E1078">
        <v>7691595</v>
      </c>
      <c r="F1078" t="s">
        <v>741</v>
      </c>
      <c r="G1078" t="s">
        <v>15</v>
      </c>
      <c r="H1078" t="s">
        <v>14</v>
      </c>
      <c r="I1078" t="s">
        <v>740</v>
      </c>
      <c r="J1078" t="s">
        <v>739</v>
      </c>
      <c r="K1078" t="s">
        <v>738</v>
      </c>
      <c r="L1078" t="s">
        <v>737</v>
      </c>
      <c r="M1078" t="s">
        <v>736</v>
      </c>
      <c r="N1078">
        <v>5</v>
      </c>
      <c r="O1078" t="s">
        <v>735</v>
      </c>
      <c r="P1078" t="s">
        <v>734</v>
      </c>
      <c r="Q1078" t="s">
        <v>733</v>
      </c>
      <c r="R1078" s="7">
        <v>33970</v>
      </c>
      <c r="S1078" s="8">
        <f t="shared" si="128"/>
        <v>1993</v>
      </c>
      <c r="T1078" s="8">
        <v>1993</v>
      </c>
      <c r="U1078" s="8">
        <f t="shared" si="129"/>
        <v>29</v>
      </c>
      <c r="V1078" s="7">
        <v>1993</v>
      </c>
      <c r="W1078" t="s">
        <v>732</v>
      </c>
      <c r="X1078" s="2" t="s">
        <v>0</v>
      </c>
      <c r="Y1078" s="6" t="e">
        <f t="shared" si="134"/>
        <v>#VALUE!</v>
      </c>
      <c r="AA1078">
        <v>1730835</v>
      </c>
      <c r="AB1078">
        <v>23524</v>
      </c>
      <c r="AC1078">
        <v>15222683</v>
      </c>
      <c r="AD1078" t="s">
        <v>5</v>
      </c>
      <c r="AE1078">
        <v>14</v>
      </c>
      <c r="AF1078">
        <v>1</v>
      </c>
      <c r="AH1078" t="s">
        <v>731</v>
      </c>
      <c r="AI1078" t="s">
        <v>730</v>
      </c>
      <c r="AK1078" t="s">
        <v>729</v>
      </c>
      <c r="AL1078">
        <v>17</v>
      </c>
      <c r="AM1078" s="5">
        <f t="shared" si="130"/>
        <v>0.58620689655172409</v>
      </c>
      <c r="AN1078" s="4">
        <f t="shared" si="135"/>
        <v>8.8785595842745036E-4</v>
      </c>
      <c r="AO1078" s="3"/>
      <c r="AP1078">
        <v>0</v>
      </c>
      <c r="AR1078" t="s">
        <v>1</v>
      </c>
      <c r="AT1078" s="2">
        <v>3.5350000000000001</v>
      </c>
      <c r="AU1078" s="1" t="e">
        <f t="shared" si="131"/>
        <v>#VALUE!</v>
      </c>
      <c r="AV1078" s="1" t="e">
        <f t="shared" si="132"/>
        <v>#VALUE!</v>
      </c>
      <c r="AW1078" s="1" t="e">
        <f t="shared" si="133"/>
        <v>#VALUE!</v>
      </c>
    </row>
    <row r="1079" spans="1:49" x14ac:dyDescent="0.2">
      <c r="A1079">
        <v>1077</v>
      </c>
      <c r="B1079" t="s">
        <v>728</v>
      </c>
      <c r="C1079" t="s">
        <v>727</v>
      </c>
      <c r="D1079" t="s">
        <v>726</v>
      </c>
      <c r="E1079">
        <v>8333169</v>
      </c>
      <c r="F1079" t="s">
        <v>725</v>
      </c>
      <c r="G1079" t="s">
        <v>15</v>
      </c>
      <c r="H1079" t="s">
        <v>14</v>
      </c>
      <c r="I1079" t="s">
        <v>724</v>
      </c>
      <c r="J1079">
        <v>60017419</v>
      </c>
      <c r="K1079" t="s">
        <v>723</v>
      </c>
      <c r="L1079" t="s">
        <v>722</v>
      </c>
      <c r="M1079" t="s">
        <v>721</v>
      </c>
      <c r="N1079">
        <v>3</v>
      </c>
      <c r="O1079" t="s">
        <v>720</v>
      </c>
      <c r="P1079" t="s">
        <v>719</v>
      </c>
      <c r="Q1079" t="s">
        <v>718</v>
      </c>
      <c r="R1079" s="7">
        <v>33970</v>
      </c>
      <c r="S1079" s="8">
        <f t="shared" si="128"/>
        <v>1993</v>
      </c>
      <c r="T1079" s="8">
        <v>1993</v>
      </c>
      <c r="U1079" s="8">
        <f t="shared" si="129"/>
        <v>29</v>
      </c>
      <c r="V1079" s="7">
        <v>34121</v>
      </c>
      <c r="W1079" t="s">
        <v>717</v>
      </c>
      <c r="X1079" s="2">
        <v>1.127</v>
      </c>
      <c r="Y1079" s="6">
        <f t="shared" si="134"/>
        <v>3.0084621339526441E-2</v>
      </c>
      <c r="AA1079">
        <v>426989</v>
      </c>
      <c r="AB1079">
        <v>15165</v>
      </c>
      <c r="AD1079" t="s">
        <v>5</v>
      </c>
      <c r="AE1079">
        <v>33</v>
      </c>
      <c r="AF1079">
        <v>9</v>
      </c>
      <c r="AH1079" t="s">
        <v>716</v>
      </c>
      <c r="AI1079" t="s">
        <v>715</v>
      </c>
      <c r="AJ1079" t="s">
        <v>714</v>
      </c>
      <c r="AK1079" t="s">
        <v>713</v>
      </c>
      <c r="AL1079">
        <v>39</v>
      </c>
      <c r="AM1079" s="5">
        <f t="shared" si="130"/>
        <v>1.3448275862068966</v>
      </c>
      <c r="AN1079" s="4">
        <f t="shared" si="135"/>
        <v>2.0368460222747391E-3</v>
      </c>
      <c r="AO1079" s="3"/>
      <c r="AP1079">
        <v>0</v>
      </c>
      <c r="AR1079" t="s">
        <v>1</v>
      </c>
      <c r="AT1079" s="2">
        <v>1.8859999999999999</v>
      </c>
      <c r="AU1079" s="1">
        <f t="shared" si="131"/>
        <v>2.167028874435093</v>
      </c>
      <c r="AV1079" s="1">
        <f t="shared" si="132"/>
        <v>1.606073368090059</v>
      </c>
      <c r="AW1079" s="1">
        <f t="shared" si="133"/>
        <v>1.045117861745025</v>
      </c>
    </row>
    <row r="1080" spans="1:49" x14ac:dyDescent="0.2">
      <c r="A1080">
        <v>1078</v>
      </c>
      <c r="B1080" t="s">
        <v>712</v>
      </c>
      <c r="C1080" t="s">
        <v>711</v>
      </c>
      <c r="E1080">
        <v>8515146</v>
      </c>
      <c r="F1080" t="s">
        <v>710</v>
      </c>
      <c r="G1080" t="s">
        <v>15</v>
      </c>
      <c r="H1080" t="s">
        <v>14</v>
      </c>
      <c r="I1080" t="s">
        <v>709</v>
      </c>
      <c r="J1080" t="s">
        <v>708</v>
      </c>
      <c r="K1080" t="s">
        <v>707</v>
      </c>
      <c r="L1080" t="s">
        <v>706</v>
      </c>
      <c r="M1080" t="s">
        <v>705</v>
      </c>
      <c r="N1080">
        <v>5</v>
      </c>
      <c r="O1080" t="s">
        <v>704</v>
      </c>
      <c r="P1080" t="s">
        <v>703</v>
      </c>
      <c r="Q1080" t="s">
        <v>702</v>
      </c>
      <c r="R1080" s="7">
        <v>33970</v>
      </c>
      <c r="S1080" s="8">
        <f t="shared" si="128"/>
        <v>1993</v>
      </c>
      <c r="T1080" s="8">
        <v>1993</v>
      </c>
      <c r="U1080" s="8">
        <f t="shared" si="129"/>
        <v>29</v>
      </c>
      <c r="V1080" s="7">
        <v>1993</v>
      </c>
      <c r="W1080" t="s">
        <v>701</v>
      </c>
      <c r="X1080" s="2">
        <v>0.89600000000000002</v>
      </c>
      <c r="Y1080" s="6">
        <f t="shared" si="134"/>
        <v>2.3918208269934065E-2</v>
      </c>
      <c r="AA1080">
        <v>2656736</v>
      </c>
      <c r="AB1080">
        <v>29901</v>
      </c>
      <c r="AD1080" t="s">
        <v>5</v>
      </c>
      <c r="AE1080">
        <v>9</v>
      </c>
      <c r="AF1080">
        <v>3</v>
      </c>
      <c r="AH1080" t="s">
        <v>700</v>
      </c>
      <c r="AI1080" t="s">
        <v>699</v>
      </c>
      <c r="AJ1080" t="s">
        <v>698</v>
      </c>
      <c r="AK1080" t="s">
        <v>697</v>
      </c>
      <c r="AL1080">
        <v>13</v>
      </c>
      <c r="AM1080" s="5">
        <f t="shared" si="130"/>
        <v>0.44827586206896552</v>
      </c>
      <c r="AN1080" s="4">
        <f t="shared" si="135"/>
        <v>6.7894867409157972E-4</v>
      </c>
      <c r="AO1080" s="3"/>
      <c r="AP1080">
        <v>0</v>
      </c>
      <c r="AR1080" t="s">
        <v>1</v>
      </c>
      <c r="AT1080" s="2">
        <v>3.9140000000000001</v>
      </c>
      <c r="AU1080" s="1">
        <f t="shared" si="131"/>
        <v>1.6946430391181317</v>
      </c>
      <c r="AV1080" s="1">
        <f t="shared" si="132"/>
        <v>1.2298578472012822</v>
      </c>
      <c r="AW1080" s="1">
        <f t="shared" si="133"/>
        <v>0.76507265528443247</v>
      </c>
    </row>
    <row r="1081" spans="1:49" x14ac:dyDescent="0.2">
      <c r="A1081">
        <v>1079</v>
      </c>
      <c r="B1081" t="s">
        <v>696</v>
      </c>
      <c r="F1081" t="s">
        <v>695</v>
      </c>
      <c r="G1081" t="s">
        <v>15</v>
      </c>
      <c r="H1081" t="s">
        <v>14</v>
      </c>
      <c r="I1081" t="s">
        <v>694</v>
      </c>
      <c r="J1081">
        <v>60001439</v>
      </c>
      <c r="K1081" t="s">
        <v>671</v>
      </c>
      <c r="L1081" t="s">
        <v>670</v>
      </c>
      <c r="M1081" t="s">
        <v>10</v>
      </c>
      <c r="N1081">
        <v>3</v>
      </c>
      <c r="O1081" t="s">
        <v>693</v>
      </c>
      <c r="P1081" t="s">
        <v>692</v>
      </c>
      <c r="Q1081" t="s">
        <v>667</v>
      </c>
      <c r="R1081" s="7">
        <v>33970</v>
      </c>
      <c r="S1081" s="8">
        <f t="shared" si="128"/>
        <v>1993</v>
      </c>
      <c r="T1081" s="8">
        <v>1993</v>
      </c>
      <c r="U1081" s="8">
        <f t="shared" si="129"/>
        <v>29</v>
      </c>
      <c r="V1081" s="7">
        <v>1993</v>
      </c>
      <c r="W1081" t="s">
        <v>561</v>
      </c>
      <c r="X1081" s="2">
        <v>0.216</v>
      </c>
      <c r="Y1081" s="6">
        <f t="shared" si="134"/>
        <v>5.765996636501962E-3</v>
      </c>
      <c r="AA1081">
        <v>10544887</v>
      </c>
      <c r="AB1081">
        <v>13200</v>
      </c>
      <c r="AD1081" t="s">
        <v>5</v>
      </c>
      <c r="AE1081">
        <v>8</v>
      </c>
      <c r="AF1081">
        <v>2</v>
      </c>
      <c r="AH1081" t="s">
        <v>691</v>
      </c>
      <c r="AI1081" t="s">
        <v>690</v>
      </c>
      <c r="AK1081" t="s">
        <v>689</v>
      </c>
      <c r="AL1081">
        <v>0</v>
      </c>
      <c r="AM1081" s="5">
        <f t="shared" si="130"/>
        <v>0</v>
      </c>
      <c r="AN1081" s="4">
        <f t="shared" si="135"/>
        <v>0</v>
      </c>
      <c r="AO1081" s="3"/>
      <c r="AP1081">
        <v>0</v>
      </c>
      <c r="AR1081" t="s">
        <v>1</v>
      </c>
      <c r="AT1081" s="2" t="s">
        <v>0</v>
      </c>
      <c r="AU1081" s="1">
        <f t="shared" si="131"/>
        <v>0.40361976455513726</v>
      </c>
      <c r="AV1081" s="1">
        <f t="shared" si="132"/>
        <v>0.28829983182509811</v>
      </c>
      <c r="AW1081" s="1">
        <f t="shared" si="133"/>
        <v>0.17297989909505887</v>
      </c>
    </row>
    <row r="1082" spans="1:49" x14ac:dyDescent="0.2">
      <c r="A1082">
        <v>1080</v>
      </c>
      <c r="B1082" t="s">
        <v>688</v>
      </c>
      <c r="C1082" t="s">
        <v>687</v>
      </c>
      <c r="F1082" t="s">
        <v>686</v>
      </c>
      <c r="G1082" t="s">
        <v>15</v>
      </c>
      <c r="H1082" t="s">
        <v>14</v>
      </c>
      <c r="I1082" t="s">
        <v>685</v>
      </c>
      <c r="J1082" t="s">
        <v>684</v>
      </c>
      <c r="K1082" t="s">
        <v>683</v>
      </c>
      <c r="L1082" t="s">
        <v>682</v>
      </c>
      <c r="M1082" t="s">
        <v>478</v>
      </c>
      <c r="N1082">
        <v>5</v>
      </c>
      <c r="O1082" t="s">
        <v>681</v>
      </c>
      <c r="P1082" t="s">
        <v>680</v>
      </c>
      <c r="Q1082" t="s">
        <v>679</v>
      </c>
      <c r="R1082" s="7">
        <v>33970</v>
      </c>
      <c r="S1082" s="8">
        <f t="shared" si="128"/>
        <v>1993</v>
      </c>
      <c r="T1082" s="8">
        <v>1993</v>
      </c>
      <c r="U1082" s="8">
        <f t="shared" si="129"/>
        <v>29</v>
      </c>
      <c r="V1082" s="7">
        <v>1993</v>
      </c>
      <c r="W1082" t="s">
        <v>678</v>
      </c>
      <c r="X1082" s="2">
        <v>15.993</v>
      </c>
      <c r="Y1082" s="6">
        <f t="shared" si="134"/>
        <v>0.42692400096099947</v>
      </c>
      <c r="AA1082">
        <v>280836</v>
      </c>
      <c r="AB1082">
        <v>21206</v>
      </c>
      <c r="AD1082" t="s">
        <v>5</v>
      </c>
      <c r="AE1082">
        <v>363</v>
      </c>
      <c r="AF1082">
        <v>6428</v>
      </c>
      <c r="AH1082" t="s">
        <v>677</v>
      </c>
      <c r="AI1082" t="s">
        <v>676</v>
      </c>
      <c r="AK1082" t="s">
        <v>675</v>
      </c>
      <c r="AL1082">
        <v>85</v>
      </c>
      <c r="AM1082" s="5">
        <f t="shared" si="130"/>
        <v>2.9310344827586206</v>
      </c>
      <c r="AN1082" s="4">
        <f t="shared" si="135"/>
        <v>4.4392797921372516E-3</v>
      </c>
      <c r="AO1082" s="3"/>
      <c r="AP1082">
        <v>0</v>
      </c>
      <c r="AR1082" t="s">
        <v>1</v>
      </c>
      <c r="AT1082" s="2">
        <v>49.962000000000003</v>
      </c>
      <c r="AU1082" s="1">
        <f t="shared" si="131"/>
        <v>30.017858461034074</v>
      </c>
      <c r="AV1082" s="1">
        <f t="shared" si="132"/>
        <v>21.568164037656835</v>
      </c>
      <c r="AW1082" s="1">
        <f t="shared" si="133"/>
        <v>13.11846961427959</v>
      </c>
    </row>
    <row r="1083" spans="1:49" x14ac:dyDescent="0.2">
      <c r="A1083">
        <v>1081</v>
      </c>
      <c r="B1083" t="s">
        <v>674</v>
      </c>
      <c r="F1083" t="s">
        <v>673</v>
      </c>
      <c r="G1083" t="s">
        <v>15</v>
      </c>
      <c r="H1083" t="s">
        <v>14</v>
      </c>
      <c r="I1083" t="s">
        <v>672</v>
      </c>
      <c r="J1083">
        <v>60001439</v>
      </c>
      <c r="K1083" t="s">
        <v>671</v>
      </c>
      <c r="L1083" t="s">
        <v>670</v>
      </c>
      <c r="M1083" t="s">
        <v>10</v>
      </c>
      <c r="N1083">
        <v>3</v>
      </c>
      <c r="O1083" t="s">
        <v>669</v>
      </c>
      <c r="P1083" t="s">
        <v>668</v>
      </c>
      <c r="Q1083" t="s">
        <v>667</v>
      </c>
      <c r="R1083" s="7">
        <v>33970</v>
      </c>
      <c r="S1083" s="8">
        <f t="shared" si="128"/>
        <v>1993</v>
      </c>
      <c r="T1083" s="8">
        <v>1993</v>
      </c>
      <c r="U1083" s="8">
        <f t="shared" si="129"/>
        <v>29</v>
      </c>
      <c r="V1083" s="7">
        <v>1993</v>
      </c>
      <c r="W1083" t="s">
        <v>561</v>
      </c>
      <c r="X1083" s="2">
        <v>0.216</v>
      </c>
      <c r="Y1083" s="6">
        <f t="shared" si="134"/>
        <v>5.765996636501962E-3</v>
      </c>
      <c r="AA1083">
        <v>10544887</v>
      </c>
      <c r="AB1083">
        <v>13200</v>
      </c>
      <c r="AD1083" t="s">
        <v>5</v>
      </c>
      <c r="AE1083">
        <v>8</v>
      </c>
      <c r="AF1083">
        <v>2</v>
      </c>
      <c r="AH1083" t="s">
        <v>666</v>
      </c>
      <c r="AI1083" t="s">
        <v>665</v>
      </c>
      <c r="AK1083" t="s">
        <v>664</v>
      </c>
      <c r="AL1083">
        <v>0</v>
      </c>
      <c r="AM1083" s="5">
        <f t="shared" si="130"/>
        <v>0</v>
      </c>
      <c r="AN1083" s="4">
        <f t="shared" si="135"/>
        <v>0</v>
      </c>
      <c r="AO1083" s="3"/>
      <c r="AP1083">
        <v>0</v>
      </c>
      <c r="AR1083" t="s">
        <v>1</v>
      </c>
      <c r="AT1083" s="2" t="s">
        <v>0</v>
      </c>
      <c r="AU1083" s="1">
        <f t="shared" si="131"/>
        <v>0.40361976455513726</v>
      </c>
      <c r="AV1083" s="1">
        <f t="shared" si="132"/>
        <v>0.28829983182509811</v>
      </c>
      <c r="AW1083" s="1">
        <f t="shared" si="133"/>
        <v>0.17297989909505887</v>
      </c>
    </row>
    <row r="1084" spans="1:49" x14ac:dyDescent="0.2">
      <c r="A1084">
        <v>1082</v>
      </c>
      <c r="B1084" t="s">
        <v>663</v>
      </c>
      <c r="F1084" t="s">
        <v>662</v>
      </c>
      <c r="G1084" t="s">
        <v>15</v>
      </c>
      <c r="H1084" t="s">
        <v>14</v>
      </c>
      <c r="I1084" t="s">
        <v>661</v>
      </c>
      <c r="J1084">
        <v>112918758</v>
      </c>
      <c r="K1084" t="s">
        <v>660</v>
      </c>
      <c r="L1084" t="s">
        <v>659</v>
      </c>
      <c r="M1084" t="s">
        <v>463</v>
      </c>
      <c r="N1084">
        <v>3</v>
      </c>
      <c r="O1084" t="s">
        <v>658</v>
      </c>
      <c r="P1084" t="s">
        <v>657</v>
      </c>
      <c r="Q1084" t="s">
        <v>656</v>
      </c>
      <c r="R1084" s="7">
        <v>33970</v>
      </c>
      <c r="S1084" s="8">
        <f t="shared" si="128"/>
        <v>1993</v>
      </c>
      <c r="T1084" s="8">
        <v>1993</v>
      </c>
      <c r="U1084" s="8">
        <f t="shared" si="129"/>
        <v>29</v>
      </c>
      <c r="V1084" s="7">
        <v>1993</v>
      </c>
      <c r="W1084" t="s">
        <v>655</v>
      </c>
      <c r="X1084" s="2">
        <v>0.30099999999999999</v>
      </c>
      <c r="Y1084" s="6">
        <f t="shared" si="134"/>
        <v>8.0350230906809754E-3</v>
      </c>
      <c r="AA1084">
        <v>10044132</v>
      </c>
      <c r="AB1084">
        <v>58655</v>
      </c>
      <c r="AD1084" t="s">
        <v>5</v>
      </c>
      <c r="AE1084">
        <v>4</v>
      </c>
      <c r="AF1084">
        <v>2</v>
      </c>
      <c r="AH1084" t="s">
        <v>654</v>
      </c>
      <c r="AI1084" t="s">
        <v>653</v>
      </c>
      <c r="AK1084" t="s">
        <v>652</v>
      </c>
      <c r="AL1084">
        <v>0</v>
      </c>
      <c r="AM1084" s="5">
        <f t="shared" si="130"/>
        <v>0</v>
      </c>
      <c r="AN1084" s="4">
        <f t="shared" si="135"/>
        <v>0</v>
      </c>
      <c r="AO1084" s="3"/>
      <c r="AP1084">
        <v>0</v>
      </c>
      <c r="AR1084" t="s">
        <v>1</v>
      </c>
      <c r="AT1084" s="2">
        <v>1.1859999999999999</v>
      </c>
      <c r="AU1084" s="1">
        <f t="shared" si="131"/>
        <v>0.56245161634766827</v>
      </c>
      <c r="AV1084" s="1">
        <f t="shared" si="132"/>
        <v>0.40175115453404875</v>
      </c>
      <c r="AW1084" s="1">
        <f t="shared" si="133"/>
        <v>0.24105069272042928</v>
      </c>
    </row>
    <row r="1085" spans="1:49" x14ac:dyDescent="0.2">
      <c r="A1085">
        <v>1083</v>
      </c>
      <c r="B1085" t="s">
        <v>651</v>
      </c>
      <c r="C1085" t="s">
        <v>650</v>
      </c>
      <c r="F1085" t="s">
        <v>649</v>
      </c>
      <c r="G1085" t="s">
        <v>15</v>
      </c>
      <c r="H1085" t="s">
        <v>14</v>
      </c>
      <c r="I1085" t="s">
        <v>648</v>
      </c>
      <c r="J1085">
        <v>60009037</v>
      </c>
      <c r="K1085" t="s">
        <v>647</v>
      </c>
      <c r="L1085" t="s">
        <v>646</v>
      </c>
      <c r="M1085" t="s">
        <v>10</v>
      </c>
      <c r="N1085">
        <v>4</v>
      </c>
      <c r="O1085" t="s">
        <v>645</v>
      </c>
      <c r="P1085" t="s">
        <v>644</v>
      </c>
      <c r="Q1085" t="s">
        <v>643</v>
      </c>
      <c r="R1085" s="7">
        <v>33970</v>
      </c>
      <c r="S1085" s="8">
        <f t="shared" si="128"/>
        <v>1993</v>
      </c>
      <c r="T1085" s="8">
        <v>1993</v>
      </c>
      <c r="U1085" s="8">
        <f t="shared" si="129"/>
        <v>29</v>
      </c>
      <c r="V1085" s="7">
        <v>33970</v>
      </c>
      <c r="W1085" t="s">
        <v>642</v>
      </c>
      <c r="X1085" s="2">
        <v>1.573</v>
      </c>
      <c r="Y1085" s="6">
        <f t="shared" si="134"/>
        <v>4.1990336616748086E-2</v>
      </c>
      <c r="AA1085">
        <v>7315090</v>
      </c>
      <c r="AB1085">
        <v>29586</v>
      </c>
      <c r="AD1085" t="s">
        <v>5</v>
      </c>
      <c r="AE1085">
        <v>16</v>
      </c>
      <c r="AF1085">
        <v>1</v>
      </c>
      <c r="AH1085" s="10">
        <v>41518</v>
      </c>
      <c r="AI1085" t="s">
        <v>641</v>
      </c>
      <c r="AK1085" t="s">
        <v>640</v>
      </c>
      <c r="AL1085">
        <v>7</v>
      </c>
      <c r="AM1085" s="5">
        <f t="shared" si="130"/>
        <v>0.2413793103448276</v>
      </c>
      <c r="AN1085" s="4">
        <f t="shared" si="135"/>
        <v>3.655877475877737E-4</v>
      </c>
      <c r="AO1085" s="3"/>
      <c r="AP1085">
        <v>0</v>
      </c>
      <c r="AQ1085" t="s">
        <v>639</v>
      </c>
      <c r="AR1085" t="s">
        <v>1</v>
      </c>
      <c r="AS1085" t="s">
        <v>638</v>
      </c>
      <c r="AT1085" s="2" t="s">
        <v>0</v>
      </c>
      <c r="AU1085" s="1">
        <f t="shared" si="131"/>
        <v>2.9502911955999989</v>
      </c>
      <c r="AV1085" s="1">
        <f t="shared" si="132"/>
        <v>2.1177962182167933</v>
      </c>
      <c r="AW1085" s="1">
        <f t="shared" si="133"/>
        <v>1.2853012408335867</v>
      </c>
    </row>
    <row r="1086" spans="1:49" x14ac:dyDescent="0.2">
      <c r="A1086">
        <v>1084</v>
      </c>
      <c r="B1086" t="s">
        <v>637</v>
      </c>
      <c r="C1086" t="s">
        <v>636</v>
      </c>
      <c r="F1086" t="s">
        <v>635</v>
      </c>
      <c r="G1086" t="s">
        <v>15</v>
      </c>
      <c r="H1086" t="s">
        <v>14</v>
      </c>
      <c r="I1086" t="s">
        <v>634</v>
      </c>
      <c r="J1086" t="s">
        <v>633</v>
      </c>
      <c r="K1086" t="s">
        <v>632</v>
      </c>
      <c r="L1086" t="s">
        <v>631</v>
      </c>
      <c r="M1086" t="s">
        <v>219</v>
      </c>
      <c r="N1086">
        <v>4</v>
      </c>
      <c r="O1086" t="s">
        <v>630</v>
      </c>
      <c r="P1086" t="s">
        <v>629</v>
      </c>
      <c r="Q1086" t="s">
        <v>628</v>
      </c>
      <c r="R1086" s="7">
        <v>33970</v>
      </c>
      <c r="S1086" s="8">
        <f t="shared" si="128"/>
        <v>1993</v>
      </c>
      <c r="T1086" s="8">
        <v>1993</v>
      </c>
      <c r="U1086" s="8">
        <f t="shared" si="129"/>
        <v>29</v>
      </c>
      <c r="V1086" s="7">
        <v>33970</v>
      </c>
      <c r="W1086" t="s">
        <v>627</v>
      </c>
      <c r="X1086" s="2">
        <v>0.52100000000000002</v>
      </c>
      <c r="Y1086" s="6">
        <f t="shared" si="134"/>
        <v>1.3907797442673715E-2</v>
      </c>
      <c r="AA1086">
        <v>8931321</v>
      </c>
      <c r="AB1086">
        <v>16252</v>
      </c>
      <c r="AD1086" t="s">
        <v>5</v>
      </c>
      <c r="AE1086">
        <v>6</v>
      </c>
      <c r="AF1086">
        <v>1</v>
      </c>
      <c r="AH1086" t="s">
        <v>626</v>
      </c>
      <c r="AI1086" t="s">
        <v>625</v>
      </c>
      <c r="AK1086" t="s">
        <v>624</v>
      </c>
      <c r="AL1086">
        <v>31</v>
      </c>
      <c r="AM1086" s="5">
        <f t="shared" si="130"/>
        <v>1.0689655172413792</v>
      </c>
      <c r="AN1086" s="4">
        <f t="shared" si="135"/>
        <v>1.6190314536029978E-3</v>
      </c>
      <c r="AO1086" s="3"/>
      <c r="AP1086">
        <v>0</v>
      </c>
      <c r="AR1086" t="s">
        <v>1</v>
      </c>
      <c r="AT1086" s="2">
        <v>1.9039999999999999</v>
      </c>
      <c r="AU1086" s="1">
        <f t="shared" si="131"/>
        <v>1.02211676459525</v>
      </c>
      <c r="AV1086" s="1">
        <f t="shared" si="132"/>
        <v>0.7763414448138356</v>
      </c>
      <c r="AW1086" s="1">
        <f t="shared" si="133"/>
        <v>0.53056612503242129</v>
      </c>
    </row>
    <row r="1087" spans="1:49" x14ac:dyDescent="0.2">
      <c r="A1087">
        <v>1085</v>
      </c>
      <c r="B1087" t="s">
        <v>623</v>
      </c>
      <c r="C1087" t="s">
        <v>622</v>
      </c>
      <c r="F1087" t="s">
        <v>621</v>
      </c>
      <c r="G1087" t="s">
        <v>15</v>
      </c>
      <c r="H1087" t="s">
        <v>14</v>
      </c>
      <c r="I1087" t="s">
        <v>620</v>
      </c>
      <c r="J1087">
        <v>60121579</v>
      </c>
      <c r="K1087" t="s">
        <v>619</v>
      </c>
      <c r="L1087" t="s">
        <v>618</v>
      </c>
      <c r="M1087" t="s">
        <v>10</v>
      </c>
      <c r="N1087">
        <v>1</v>
      </c>
      <c r="O1087" t="s">
        <v>617</v>
      </c>
      <c r="P1087">
        <v>57204345286</v>
      </c>
      <c r="Q1087">
        <v>60121579</v>
      </c>
      <c r="R1087" s="7">
        <v>33970</v>
      </c>
      <c r="S1087" s="8">
        <f t="shared" si="128"/>
        <v>1993</v>
      </c>
      <c r="T1087" s="8">
        <v>1993</v>
      </c>
      <c r="U1087" s="8">
        <f t="shared" si="129"/>
        <v>29</v>
      </c>
      <c r="V1087" s="7">
        <v>33970</v>
      </c>
      <c r="W1087" t="s">
        <v>616</v>
      </c>
      <c r="X1087" s="2">
        <v>1.6379999999999999</v>
      </c>
      <c r="Y1087" s="6">
        <f t="shared" si="134"/>
        <v>4.3725474493473214E-2</v>
      </c>
      <c r="AA1087" t="s">
        <v>615</v>
      </c>
      <c r="AB1087">
        <v>17391</v>
      </c>
      <c r="AC1087">
        <v>19410476</v>
      </c>
      <c r="AD1087" t="s">
        <v>5</v>
      </c>
      <c r="AE1087">
        <v>41</v>
      </c>
      <c r="AF1087">
        <v>1</v>
      </c>
      <c r="AH1087">
        <v>446</v>
      </c>
      <c r="AI1087" t="s">
        <v>614</v>
      </c>
      <c r="AK1087" t="s">
        <v>613</v>
      </c>
      <c r="AL1087">
        <v>0</v>
      </c>
      <c r="AM1087" s="5">
        <f t="shared" si="130"/>
        <v>0</v>
      </c>
      <c r="AN1087" s="4">
        <f t="shared" si="135"/>
        <v>0</v>
      </c>
      <c r="AO1087" s="3"/>
      <c r="AP1087">
        <v>0</v>
      </c>
      <c r="AR1087" t="s">
        <v>1</v>
      </c>
      <c r="AT1087" s="2">
        <v>4.931</v>
      </c>
      <c r="AU1087" s="1">
        <f t="shared" si="131"/>
        <v>3.0607832145431249</v>
      </c>
      <c r="AV1087" s="1">
        <f t="shared" si="132"/>
        <v>2.1862737246736605</v>
      </c>
      <c r="AW1087" s="1">
        <f t="shared" si="133"/>
        <v>1.3117642348041965</v>
      </c>
    </row>
    <row r="1088" spans="1:49" x14ac:dyDescent="0.2">
      <c r="A1088">
        <v>1086</v>
      </c>
      <c r="B1088" t="s">
        <v>612</v>
      </c>
      <c r="C1088" t="s">
        <v>611</v>
      </c>
      <c r="F1088" t="s">
        <v>610</v>
      </c>
      <c r="G1088" t="s">
        <v>15</v>
      </c>
      <c r="H1088" t="s">
        <v>14</v>
      </c>
      <c r="I1088" t="s">
        <v>609</v>
      </c>
      <c r="J1088" t="s">
        <v>603</v>
      </c>
      <c r="K1088" t="s">
        <v>608</v>
      </c>
      <c r="L1088" t="s">
        <v>607</v>
      </c>
      <c r="M1088" t="s">
        <v>606</v>
      </c>
      <c r="N1088">
        <v>2</v>
      </c>
      <c r="O1088" t="s">
        <v>605</v>
      </c>
      <c r="P1088" t="s">
        <v>604</v>
      </c>
      <c r="Q1088" t="s">
        <v>603</v>
      </c>
      <c r="R1088" s="7">
        <v>33970</v>
      </c>
      <c r="S1088" s="8">
        <f t="shared" si="128"/>
        <v>1993</v>
      </c>
      <c r="T1088" s="8">
        <v>1993</v>
      </c>
      <c r="U1088" s="8">
        <f t="shared" si="129"/>
        <v>29</v>
      </c>
      <c r="V1088" s="7">
        <v>33970</v>
      </c>
      <c r="W1088" t="s">
        <v>602</v>
      </c>
      <c r="X1088" s="2">
        <v>0.371</v>
      </c>
      <c r="Y1088" s="6">
        <f t="shared" si="134"/>
        <v>9.9036331117695747E-3</v>
      </c>
      <c r="AA1088">
        <v>214922</v>
      </c>
      <c r="AB1088">
        <v>130262</v>
      </c>
      <c r="AC1088">
        <v>13474065</v>
      </c>
      <c r="AD1088" t="s">
        <v>5</v>
      </c>
      <c r="AE1088">
        <v>32</v>
      </c>
      <c r="AF1088" t="s">
        <v>601</v>
      </c>
      <c r="AH1088" t="s">
        <v>600</v>
      </c>
      <c r="AI1088" t="s">
        <v>599</v>
      </c>
      <c r="AJ1088" t="s">
        <v>598</v>
      </c>
      <c r="AK1088" t="s">
        <v>597</v>
      </c>
      <c r="AL1088">
        <v>0</v>
      </c>
      <c r="AM1088" s="5">
        <f t="shared" si="130"/>
        <v>0</v>
      </c>
      <c r="AN1088" s="4">
        <f t="shared" si="135"/>
        <v>0</v>
      </c>
      <c r="AO1088" s="3"/>
      <c r="AP1088">
        <v>0</v>
      </c>
      <c r="AR1088" t="s">
        <v>1</v>
      </c>
      <c r="AT1088" s="2">
        <v>1.48</v>
      </c>
      <c r="AU1088" s="1">
        <f t="shared" si="131"/>
        <v>0.69325431782387015</v>
      </c>
      <c r="AV1088" s="1">
        <f t="shared" si="132"/>
        <v>0.49518165558847871</v>
      </c>
      <c r="AW1088" s="1">
        <f t="shared" si="133"/>
        <v>0.29710899335308727</v>
      </c>
    </row>
    <row r="1089" spans="1:49" x14ac:dyDescent="0.2">
      <c r="A1089">
        <v>1087</v>
      </c>
      <c r="B1089" t="s">
        <v>596</v>
      </c>
      <c r="C1089" t="s">
        <v>595</v>
      </c>
      <c r="F1089" t="s">
        <v>594</v>
      </c>
      <c r="G1089" t="s">
        <v>15</v>
      </c>
      <c r="H1089" t="s">
        <v>14</v>
      </c>
      <c r="I1089" t="s">
        <v>593</v>
      </c>
      <c r="J1089">
        <v>60005304</v>
      </c>
      <c r="K1089" t="s">
        <v>592</v>
      </c>
      <c r="L1089" t="s">
        <v>591</v>
      </c>
      <c r="M1089" t="s">
        <v>10</v>
      </c>
      <c r="N1089">
        <v>2</v>
      </c>
      <c r="O1089" t="s">
        <v>590</v>
      </c>
      <c r="P1089" t="s">
        <v>589</v>
      </c>
      <c r="Q1089" t="s">
        <v>588</v>
      </c>
      <c r="R1089" s="7">
        <v>33970</v>
      </c>
      <c r="S1089" s="8">
        <f t="shared" ref="S1089:S1129" si="136">YEAR(R1089)</f>
        <v>1993</v>
      </c>
      <c r="T1089" s="8">
        <v>1993</v>
      </c>
      <c r="U1089" s="8">
        <f t="shared" ref="U1089:U1129" si="137">2022-T1089</f>
        <v>29</v>
      </c>
      <c r="V1089" s="7">
        <v>33970</v>
      </c>
      <c r="W1089" t="s">
        <v>587</v>
      </c>
      <c r="X1089" s="2">
        <v>1.137</v>
      </c>
      <c r="Y1089" s="6">
        <f t="shared" si="134"/>
        <v>3.0351565628253384E-2</v>
      </c>
      <c r="AA1089">
        <v>189251</v>
      </c>
      <c r="AB1089">
        <v>17336</v>
      </c>
      <c r="AD1089" t="s">
        <v>5</v>
      </c>
      <c r="AE1089">
        <v>29</v>
      </c>
      <c r="AF1089">
        <v>1</v>
      </c>
      <c r="AH1089" t="s">
        <v>586</v>
      </c>
      <c r="AI1089" t="s">
        <v>585</v>
      </c>
      <c r="AK1089" t="s">
        <v>584</v>
      </c>
      <c r="AL1089">
        <v>147</v>
      </c>
      <c r="AM1089" s="5">
        <f t="shared" ref="AM1089:AM1129" si="138">AL1089/U1089</f>
        <v>5.068965517241379</v>
      </c>
      <c r="AN1089" s="4">
        <f t="shared" si="135"/>
        <v>7.6773426993432476E-3</v>
      </c>
      <c r="AO1089" s="3"/>
      <c r="AP1089">
        <v>0</v>
      </c>
      <c r="AR1089" t="s">
        <v>1</v>
      </c>
      <c r="AT1089" s="2" t="s">
        <v>0</v>
      </c>
      <c r="AU1089" s="1">
        <f t="shared" ref="AU1089:AU1129" si="139">(Y1089*0.7+AN1089*0.3)*100</f>
        <v>2.3549298749580343</v>
      </c>
      <c r="AV1089" s="1">
        <f t="shared" ref="AV1089:AV1129" si="140">(Y1089*0.5+AN1089*0.5)*100</f>
        <v>1.9014454163798316</v>
      </c>
      <c r="AW1089" s="1">
        <f t="shared" ref="AW1089:AW1129" si="141">(Y1089*0.3+AN1089*0.7)*100</f>
        <v>1.4479609578016288</v>
      </c>
    </row>
    <row r="1090" spans="1:49" x14ac:dyDescent="0.2">
      <c r="A1090">
        <v>1088</v>
      </c>
      <c r="B1090" t="s">
        <v>583</v>
      </c>
      <c r="C1090" t="s">
        <v>582</v>
      </c>
      <c r="D1090" t="s">
        <v>581</v>
      </c>
      <c r="F1090" t="s">
        <v>580</v>
      </c>
      <c r="G1090" t="s">
        <v>15</v>
      </c>
      <c r="H1090" t="s">
        <v>14</v>
      </c>
      <c r="I1090" t="s">
        <v>579</v>
      </c>
      <c r="J1090">
        <v>101622864</v>
      </c>
      <c r="K1090" t="s">
        <v>578</v>
      </c>
      <c r="L1090" t="s">
        <v>577</v>
      </c>
      <c r="M1090" t="s">
        <v>576</v>
      </c>
      <c r="N1090">
        <v>1</v>
      </c>
      <c r="O1090" t="s">
        <v>575</v>
      </c>
      <c r="P1090">
        <v>35868315600</v>
      </c>
      <c r="Q1090">
        <v>101622864</v>
      </c>
      <c r="R1090" s="7">
        <v>33970</v>
      </c>
      <c r="S1090" s="8">
        <f t="shared" si="136"/>
        <v>1993</v>
      </c>
      <c r="T1090" s="8">
        <v>1993</v>
      </c>
      <c r="U1090" s="8">
        <f t="shared" si="137"/>
        <v>29</v>
      </c>
      <c r="V1090" s="7">
        <v>33970</v>
      </c>
      <c r="W1090" t="s">
        <v>574</v>
      </c>
      <c r="X1090" s="2">
        <v>0.44500000000000001</v>
      </c>
      <c r="Y1090" s="6">
        <f t="shared" ref="Y1090:Y1129" si="142">(X1090-$Z$4)/($Z$3-$Z$4)</f>
        <v>1.1879020848348951E-2</v>
      </c>
      <c r="AA1090">
        <v>262714</v>
      </c>
      <c r="AB1090">
        <v>26717</v>
      </c>
      <c r="AD1090" t="s">
        <v>5</v>
      </c>
      <c r="AE1090">
        <v>33</v>
      </c>
      <c r="AF1090">
        <v>2</v>
      </c>
      <c r="AH1090" t="s">
        <v>573</v>
      </c>
      <c r="AI1090" t="s">
        <v>572</v>
      </c>
      <c r="AK1090" t="s">
        <v>571</v>
      </c>
      <c r="AL1090">
        <v>2</v>
      </c>
      <c r="AM1090" s="5">
        <f t="shared" si="138"/>
        <v>6.8965517241379309E-2</v>
      </c>
      <c r="AN1090" s="4">
        <f t="shared" ref="AN1090:AN1129" si="143">(AM1090-$AO$4)/($AO$3-$AO$4)</f>
        <v>1.0445364216793535E-4</v>
      </c>
      <c r="AO1090" s="3"/>
      <c r="AP1090">
        <v>0</v>
      </c>
      <c r="AR1090" t="s">
        <v>1</v>
      </c>
      <c r="AT1090" s="2">
        <v>1.589</v>
      </c>
      <c r="AU1090" s="1">
        <f t="shared" si="139"/>
        <v>0.83466506864946444</v>
      </c>
      <c r="AV1090" s="1">
        <f t="shared" si="140"/>
        <v>0.59917372452584439</v>
      </c>
      <c r="AW1090" s="1">
        <f t="shared" si="141"/>
        <v>0.363682380402224</v>
      </c>
    </row>
    <row r="1091" spans="1:49" x14ac:dyDescent="0.2">
      <c r="A1091">
        <v>1089</v>
      </c>
      <c r="B1091" t="s">
        <v>570</v>
      </c>
      <c r="F1091" t="s">
        <v>569</v>
      </c>
      <c r="G1091" t="s">
        <v>15</v>
      </c>
      <c r="H1091" t="s">
        <v>14</v>
      </c>
      <c r="I1091" t="s">
        <v>568</v>
      </c>
      <c r="J1091">
        <v>113362913</v>
      </c>
      <c r="K1091" t="s">
        <v>567</v>
      </c>
      <c r="L1091" t="s">
        <v>566</v>
      </c>
      <c r="M1091" t="s">
        <v>565</v>
      </c>
      <c r="N1091">
        <v>2</v>
      </c>
      <c r="O1091" t="s">
        <v>564</v>
      </c>
      <c r="P1091" t="s">
        <v>563</v>
      </c>
      <c r="Q1091" t="s">
        <v>562</v>
      </c>
      <c r="R1091" s="7">
        <v>33970</v>
      </c>
      <c r="S1091" s="8">
        <f t="shared" si="136"/>
        <v>1993</v>
      </c>
      <c r="T1091" s="8">
        <v>1993</v>
      </c>
      <c r="U1091" s="8">
        <f t="shared" si="137"/>
        <v>29</v>
      </c>
      <c r="V1091" s="7">
        <v>1993</v>
      </c>
      <c r="W1091" t="s">
        <v>561</v>
      </c>
      <c r="X1091" s="2">
        <v>0.216</v>
      </c>
      <c r="Y1091" s="6">
        <f t="shared" si="142"/>
        <v>5.765996636501962E-3</v>
      </c>
      <c r="AA1091">
        <v>10544887</v>
      </c>
      <c r="AB1091">
        <v>13200</v>
      </c>
      <c r="AD1091" t="s">
        <v>5</v>
      </c>
      <c r="AE1091">
        <v>8</v>
      </c>
      <c r="AF1091">
        <v>1</v>
      </c>
      <c r="AH1091" t="s">
        <v>560</v>
      </c>
      <c r="AI1091" t="s">
        <v>559</v>
      </c>
      <c r="AK1091" t="s">
        <v>558</v>
      </c>
      <c r="AL1091">
        <v>0</v>
      </c>
      <c r="AM1091" s="5">
        <f t="shared" si="138"/>
        <v>0</v>
      </c>
      <c r="AN1091" s="4">
        <f t="shared" si="143"/>
        <v>0</v>
      </c>
      <c r="AO1091" s="3"/>
      <c r="AP1091">
        <v>0</v>
      </c>
      <c r="AR1091" t="s">
        <v>1</v>
      </c>
      <c r="AT1091" s="2" t="s">
        <v>0</v>
      </c>
      <c r="AU1091" s="1">
        <f t="shared" si="139"/>
        <v>0.40361976455513726</v>
      </c>
      <c r="AV1091" s="1">
        <f t="shared" si="140"/>
        <v>0.28829983182509811</v>
      </c>
      <c r="AW1091" s="1">
        <f t="shared" si="141"/>
        <v>0.17297989909505887</v>
      </c>
    </row>
    <row r="1092" spans="1:49" x14ac:dyDescent="0.2">
      <c r="A1092">
        <v>1090</v>
      </c>
      <c r="B1092" t="s">
        <v>557</v>
      </c>
      <c r="C1092" t="s">
        <v>556</v>
      </c>
      <c r="F1092" t="s">
        <v>555</v>
      </c>
      <c r="G1092" t="s">
        <v>15</v>
      </c>
      <c r="H1092" t="s">
        <v>14</v>
      </c>
      <c r="I1092" t="s">
        <v>554</v>
      </c>
      <c r="J1092">
        <v>60027165</v>
      </c>
      <c r="K1092" t="s">
        <v>553</v>
      </c>
      <c r="L1092" t="s">
        <v>552</v>
      </c>
      <c r="M1092" t="s">
        <v>10</v>
      </c>
      <c r="N1092">
        <v>2</v>
      </c>
      <c r="O1092" t="s">
        <v>551</v>
      </c>
      <c r="P1092" t="s">
        <v>550</v>
      </c>
      <c r="Q1092" t="s">
        <v>549</v>
      </c>
      <c r="R1092" s="7">
        <v>33970</v>
      </c>
      <c r="S1092" s="8">
        <f t="shared" si="136"/>
        <v>1993</v>
      </c>
      <c r="T1092" s="8">
        <v>1993</v>
      </c>
      <c r="U1092" s="8">
        <f t="shared" si="137"/>
        <v>29</v>
      </c>
      <c r="V1092" s="7">
        <v>33970</v>
      </c>
      <c r="W1092" t="s">
        <v>548</v>
      </c>
      <c r="X1092" s="2">
        <v>1.3720000000000001</v>
      </c>
      <c r="Y1092" s="6">
        <f t="shared" si="142"/>
        <v>3.662475641333654E-2</v>
      </c>
      <c r="AA1092">
        <v>189480</v>
      </c>
      <c r="AB1092">
        <v>17366</v>
      </c>
      <c r="AC1092">
        <v>15579670</v>
      </c>
      <c r="AD1092" t="s">
        <v>5</v>
      </c>
      <c r="AE1092">
        <v>41</v>
      </c>
      <c r="AF1092">
        <v>1</v>
      </c>
      <c r="AH1092" t="s">
        <v>547</v>
      </c>
      <c r="AI1092" t="s">
        <v>546</v>
      </c>
      <c r="AK1092" t="s">
        <v>545</v>
      </c>
      <c r="AL1092">
        <v>11</v>
      </c>
      <c r="AM1092" s="5">
        <f t="shared" si="138"/>
        <v>0.37931034482758619</v>
      </c>
      <c r="AN1092" s="4">
        <f t="shared" si="143"/>
        <v>5.7449503192364435E-4</v>
      </c>
      <c r="AO1092" s="3"/>
      <c r="AP1092">
        <v>0</v>
      </c>
      <c r="AQ1092" t="s">
        <v>544</v>
      </c>
      <c r="AR1092" t="s">
        <v>543</v>
      </c>
      <c r="AS1092" t="s">
        <v>542</v>
      </c>
      <c r="AT1092" s="2" t="s">
        <v>0</v>
      </c>
      <c r="AU1092" s="1">
        <f t="shared" si="139"/>
        <v>2.5809677998912668</v>
      </c>
      <c r="AV1092" s="1">
        <f t="shared" si="140"/>
        <v>1.8599625722630093</v>
      </c>
      <c r="AW1092" s="1">
        <f t="shared" si="141"/>
        <v>1.1389573446347512</v>
      </c>
    </row>
    <row r="1093" spans="1:49" x14ac:dyDescent="0.2">
      <c r="A1093">
        <v>1091</v>
      </c>
      <c r="B1093" t="s">
        <v>541</v>
      </c>
      <c r="C1093" t="s">
        <v>540</v>
      </c>
      <c r="D1093" t="s">
        <v>539</v>
      </c>
      <c r="F1093" t="s">
        <v>538</v>
      </c>
      <c r="G1093" t="s">
        <v>15</v>
      </c>
      <c r="H1093" t="s">
        <v>14</v>
      </c>
      <c r="I1093" t="s">
        <v>537</v>
      </c>
      <c r="J1093">
        <v>60000765</v>
      </c>
      <c r="K1093" t="s">
        <v>536</v>
      </c>
      <c r="L1093" t="s">
        <v>535</v>
      </c>
      <c r="M1093" t="s">
        <v>59</v>
      </c>
      <c r="N1093">
        <v>2</v>
      </c>
      <c r="O1093" t="s">
        <v>534</v>
      </c>
      <c r="P1093" t="s">
        <v>533</v>
      </c>
      <c r="Q1093" t="s">
        <v>532</v>
      </c>
      <c r="R1093" s="7">
        <v>33970</v>
      </c>
      <c r="S1093" s="8">
        <f t="shared" si="136"/>
        <v>1993</v>
      </c>
      <c r="T1093" s="8">
        <v>1993</v>
      </c>
      <c r="U1093" s="8">
        <f t="shared" si="137"/>
        <v>29</v>
      </c>
      <c r="V1093" s="7">
        <v>34304</v>
      </c>
      <c r="W1093" t="s">
        <v>38</v>
      </c>
      <c r="X1093" s="2">
        <v>0.89900000000000002</v>
      </c>
      <c r="Y1093" s="6">
        <f t="shared" si="142"/>
        <v>2.399829155655215E-2</v>
      </c>
      <c r="AA1093">
        <v>221910</v>
      </c>
      <c r="AB1093">
        <v>20487</v>
      </c>
      <c r="AD1093" t="s">
        <v>5</v>
      </c>
      <c r="AE1093">
        <v>39</v>
      </c>
      <c r="AF1093">
        <v>12</v>
      </c>
      <c r="AH1093" t="s">
        <v>531</v>
      </c>
      <c r="AI1093" t="s">
        <v>530</v>
      </c>
      <c r="AJ1093" t="s">
        <v>529</v>
      </c>
      <c r="AK1093" t="s">
        <v>528</v>
      </c>
      <c r="AL1093">
        <v>24</v>
      </c>
      <c r="AM1093" s="5">
        <f t="shared" si="138"/>
        <v>0.82758620689655171</v>
      </c>
      <c r="AN1093" s="4">
        <f t="shared" si="143"/>
        <v>1.2534437060152241E-3</v>
      </c>
      <c r="AO1093" s="3"/>
      <c r="AP1093">
        <v>0</v>
      </c>
      <c r="AR1093" t="s">
        <v>1</v>
      </c>
      <c r="AT1093" s="2">
        <v>2.3540000000000001</v>
      </c>
      <c r="AU1093" s="1">
        <f t="shared" si="139"/>
        <v>1.7174837201391069</v>
      </c>
      <c r="AV1093" s="1">
        <f t="shared" si="140"/>
        <v>1.2625867631283687</v>
      </c>
      <c r="AW1093" s="1">
        <f t="shared" si="141"/>
        <v>0.80768980611763008</v>
      </c>
    </row>
    <row r="1094" spans="1:49" x14ac:dyDescent="0.2">
      <c r="A1094">
        <v>1092</v>
      </c>
      <c r="B1094" t="s">
        <v>527</v>
      </c>
      <c r="C1094" t="s">
        <v>526</v>
      </c>
      <c r="F1094" t="s">
        <v>525</v>
      </c>
      <c r="G1094" t="s">
        <v>15</v>
      </c>
      <c r="H1094" t="s">
        <v>14</v>
      </c>
      <c r="I1094" t="s">
        <v>524</v>
      </c>
      <c r="J1094">
        <v>60011774</v>
      </c>
      <c r="K1094" t="s">
        <v>523</v>
      </c>
      <c r="L1094" t="s">
        <v>522</v>
      </c>
      <c r="M1094" t="s">
        <v>521</v>
      </c>
      <c r="N1094">
        <v>1</v>
      </c>
      <c r="O1094" t="s">
        <v>520</v>
      </c>
      <c r="P1094">
        <v>55415478800</v>
      </c>
      <c r="Q1094">
        <v>60011774</v>
      </c>
      <c r="R1094" s="7">
        <v>33970</v>
      </c>
      <c r="S1094" s="8">
        <f t="shared" si="136"/>
        <v>1993</v>
      </c>
      <c r="T1094" s="8">
        <v>1993</v>
      </c>
      <c r="U1094" s="8">
        <f t="shared" si="137"/>
        <v>29</v>
      </c>
      <c r="V1094" s="7">
        <v>34304</v>
      </c>
      <c r="W1094" t="s">
        <v>519</v>
      </c>
      <c r="X1094" s="2">
        <v>0.61899999999999999</v>
      </c>
      <c r="Y1094" s="6">
        <f t="shared" si="142"/>
        <v>1.6523851472197752E-2</v>
      </c>
      <c r="AA1094">
        <v>14966</v>
      </c>
      <c r="AB1094">
        <v>12936</v>
      </c>
      <c r="AC1094" t="s">
        <v>518</v>
      </c>
      <c r="AD1094" t="s">
        <v>5</v>
      </c>
      <c r="AE1094">
        <v>94</v>
      </c>
      <c r="AF1094">
        <v>6</v>
      </c>
      <c r="AH1094" t="s">
        <v>517</v>
      </c>
      <c r="AI1094" t="s">
        <v>516</v>
      </c>
      <c r="AK1094" t="s">
        <v>515</v>
      </c>
      <c r="AL1094">
        <v>2</v>
      </c>
      <c r="AM1094" s="5">
        <f t="shared" si="138"/>
        <v>6.8965517241379309E-2</v>
      </c>
      <c r="AN1094" s="4">
        <f t="shared" si="143"/>
        <v>1.0445364216793535E-4</v>
      </c>
      <c r="AO1094" s="3"/>
      <c r="AP1094">
        <v>0</v>
      </c>
      <c r="AR1094" t="s">
        <v>1</v>
      </c>
      <c r="AT1094" s="2" t="s">
        <v>0</v>
      </c>
      <c r="AU1094" s="1">
        <f t="shared" si="139"/>
        <v>1.1598032123188806</v>
      </c>
      <c r="AV1094" s="1">
        <f t="shared" si="140"/>
        <v>0.83141525571828434</v>
      </c>
      <c r="AW1094" s="1">
        <f t="shared" si="141"/>
        <v>0.50302729911768806</v>
      </c>
    </row>
    <row r="1095" spans="1:49" x14ac:dyDescent="0.2">
      <c r="A1095">
        <v>1093</v>
      </c>
      <c r="B1095" t="s">
        <v>514</v>
      </c>
      <c r="C1095" t="s">
        <v>513</v>
      </c>
      <c r="F1095" t="s">
        <v>512</v>
      </c>
      <c r="G1095" t="s">
        <v>15</v>
      </c>
      <c r="H1095" t="s">
        <v>14</v>
      </c>
      <c r="I1095" t="s">
        <v>511</v>
      </c>
      <c r="J1095">
        <v>60033154</v>
      </c>
      <c r="K1095" t="s">
        <v>510</v>
      </c>
      <c r="L1095" t="s">
        <v>509</v>
      </c>
      <c r="M1095" t="s">
        <v>508</v>
      </c>
      <c r="N1095">
        <v>4</v>
      </c>
      <c r="O1095" t="s">
        <v>507</v>
      </c>
      <c r="P1095" t="s">
        <v>506</v>
      </c>
      <c r="Q1095" t="s">
        <v>505</v>
      </c>
      <c r="R1095" s="7">
        <v>33970</v>
      </c>
      <c r="S1095" s="8">
        <f t="shared" si="136"/>
        <v>1993</v>
      </c>
      <c r="T1095" s="8">
        <v>1993</v>
      </c>
      <c r="U1095" s="8">
        <f t="shared" si="137"/>
        <v>29</v>
      </c>
      <c r="V1095" s="7">
        <v>34304</v>
      </c>
      <c r="W1095" t="s">
        <v>504</v>
      </c>
      <c r="X1095" s="2">
        <v>0.69299999999999995</v>
      </c>
      <c r="Y1095" s="6">
        <f t="shared" si="142"/>
        <v>1.8499239208777128E-2</v>
      </c>
      <c r="AA1095">
        <v>3076962</v>
      </c>
      <c r="AB1095">
        <v>21084</v>
      </c>
      <c r="AC1095">
        <v>13653032</v>
      </c>
      <c r="AD1095" t="s">
        <v>5</v>
      </c>
      <c r="AE1095">
        <v>18</v>
      </c>
      <c r="AF1095">
        <v>4</v>
      </c>
      <c r="AH1095" t="s">
        <v>503</v>
      </c>
      <c r="AI1095" t="s">
        <v>502</v>
      </c>
      <c r="AJ1095" t="s">
        <v>501</v>
      </c>
      <c r="AK1095" t="s">
        <v>500</v>
      </c>
      <c r="AL1095">
        <v>4</v>
      </c>
      <c r="AM1095" s="5">
        <f t="shared" si="138"/>
        <v>0.13793103448275862</v>
      </c>
      <c r="AN1095" s="4">
        <f t="shared" si="143"/>
        <v>2.089072843358707E-4</v>
      </c>
      <c r="AO1095" s="3"/>
      <c r="AP1095">
        <v>0</v>
      </c>
      <c r="AR1095" t="s">
        <v>1</v>
      </c>
      <c r="AT1095" s="2">
        <v>1.833</v>
      </c>
      <c r="AU1095" s="1">
        <f t="shared" si="139"/>
        <v>1.301213963144475</v>
      </c>
      <c r="AV1095" s="1">
        <f t="shared" si="140"/>
        <v>0.93540732465565002</v>
      </c>
      <c r="AW1095" s="1">
        <f t="shared" si="141"/>
        <v>0.5696006861668248</v>
      </c>
    </row>
    <row r="1096" spans="1:49" x14ac:dyDescent="0.2">
      <c r="A1096">
        <v>1094</v>
      </c>
      <c r="B1096" t="s">
        <v>499</v>
      </c>
      <c r="C1096" t="s">
        <v>498</v>
      </c>
      <c r="E1096">
        <v>8308845</v>
      </c>
      <c r="F1096" t="s">
        <v>497</v>
      </c>
      <c r="G1096" t="s">
        <v>15</v>
      </c>
      <c r="H1096" t="s">
        <v>14</v>
      </c>
      <c r="I1096" t="s">
        <v>496</v>
      </c>
      <c r="J1096">
        <v>60031101</v>
      </c>
      <c r="K1096" t="s">
        <v>495</v>
      </c>
      <c r="L1096" t="s">
        <v>494</v>
      </c>
      <c r="M1096" t="s">
        <v>493</v>
      </c>
      <c r="N1096">
        <v>2</v>
      </c>
      <c r="O1096" t="s">
        <v>492</v>
      </c>
      <c r="P1096" t="s">
        <v>491</v>
      </c>
      <c r="Q1096" t="s">
        <v>490</v>
      </c>
      <c r="R1096" s="7">
        <v>33970</v>
      </c>
      <c r="S1096" s="8">
        <f t="shared" si="136"/>
        <v>1993</v>
      </c>
      <c r="T1096" s="8">
        <v>1993</v>
      </c>
      <c r="U1096" s="8">
        <f t="shared" si="137"/>
        <v>29</v>
      </c>
      <c r="V1096" s="7">
        <v>34304</v>
      </c>
      <c r="W1096" t="s">
        <v>489</v>
      </c>
      <c r="X1096" s="2" t="s">
        <v>0</v>
      </c>
      <c r="Y1096" s="6" t="e">
        <f t="shared" si="142"/>
        <v>#VALUE!</v>
      </c>
      <c r="AA1096">
        <v>14664240</v>
      </c>
      <c r="AB1096">
        <v>36725</v>
      </c>
      <c r="AD1096" t="s">
        <v>5</v>
      </c>
      <c r="AE1096">
        <v>113</v>
      </c>
      <c r="AF1096">
        <v>6</v>
      </c>
      <c r="AH1096" t="s">
        <v>488</v>
      </c>
      <c r="AI1096" t="s">
        <v>487</v>
      </c>
      <c r="AK1096" t="s">
        <v>486</v>
      </c>
      <c r="AL1096">
        <v>21</v>
      </c>
      <c r="AM1096" s="5">
        <f t="shared" si="138"/>
        <v>0.72413793103448276</v>
      </c>
      <c r="AN1096" s="4">
        <f t="shared" si="143"/>
        <v>1.0967632427633211E-3</v>
      </c>
      <c r="AO1096" s="3"/>
      <c r="AP1096">
        <v>0</v>
      </c>
      <c r="AR1096" t="s">
        <v>1</v>
      </c>
      <c r="AT1096" s="2" t="s">
        <v>0</v>
      </c>
      <c r="AU1096" s="1" t="e">
        <f t="shared" si="139"/>
        <v>#VALUE!</v>
      </c>
      <c r="AV1096" s="1" t="e">
        <f t="shared" si="140"/>
        <v>#VALUE!</v>
      </c>
      <c r="AW1096" s="1" t="e">
        <f t="shared" si="141"/>
        <v>#VALUE!</v>
      </c>
    </row>
    <row r="1097" spans="1:49" x14ac:dyDescent="0.2">
      <c r="A1097">
        <v>1095</v>
      </c>
      <c r="B1097" t="s">
        <v>485</v>
      </c>
      <c r="C1097" t="s">
        <v>484</v>
      </c>
      <c r="F1097" t="s">
        <v>483</v>
      </c>
      <c r="G1097" t="s">
        <v>15</v>
      </c>
      <c r="H1097" t="s">
        <v>14</v>
      </c>
      <c r="I1097" t="s">
        <v>482</v>
      </c>
      <c r="J1097" t="s">
        <v>481</v>
      </c>
      <c r="K1097" t="s">
        <v>480</v>
      </c>
      <c r="L1097" t="s">
        <v>479</v>
      </c>
      <c r="M1097" t="s">
        <v>478</v>
      </c>
      <c r="N1097">
        <v>7</v>
      </c>
      <c r="O1097" t="s">
        <v>477</v>
      </c>
      <c r="P1097" t="s">
        <v>476</v>
      </c>
      <c r="Q1097" t="s">
        <v>475</v>
      </c>
      <c r="R1097" s="7">
        <v>33970</v>
      </c>
      <c r="S1097" s="8">
        <f t="shared" si="136"/>
        <v>1993</v>
      </c>
      <c r="T1097" s="8">
        <v>1993</v>
      </c>
      <c r="U1097" s="8">
        <f t="shared" si="137"/>
        <v>29</v>
      </c>
      <c r="V1097" s="7">
        <v>1993</v>
      </c>
      <c r="W1097" t="s">
        <v>474</v>
      </c>
      <c r="X1097" s="2" t="s">
        <v>0</v>
      </c>
      <c r="Y1097" s="6" t="e">
        <f t="shared" si="142"/>
        <v>#VALUE!</v>
      </c>
      <c r="AA1097" t="s">
        <v>473</v>
      </c>
      <c r="AB1097">
        <v>95827</v>
      </c>
      <c r="AC1097">
        <v>10969063</v>
      </c>
      <c r="AD1097" t="s">
        <v>5</v>
      </c>
      <c r="AE1097">
        <v>39</v>
      </c>
      <c r="AF1097">
        <v>4</v>
      </c>
      <c r="AH1097" t="s">
        <v>472</v>
      </c>
      <c r="AI1097" t="s">
        <v>471</v>
      </c>
      <c r="AK1097" t="s">
        <v>470</v>
      </c>
      <c r="AL1097">
        <v>23</v>
      </c>
      <c r="AM1097" s="5">
        <f t="shared" si="138"/>
        <v>0.7931034482758621</v>
      </c>
      <c r="AN1097" s="4">
        <f t="shared" si="143"/>
        <v>1.2012168849312565E-3</v>
      </c>
      <c r="AO1097" s="3"/>
      <c r="AP1097">
        <v>0</v>
      </c>
      <c r="AR1097" t="s">
        <v>1</v>
      </c>
      <c r="AT1097" s="2" t="s">
        <v>0</v>
      </c>
      <c r="AU1097" s="1" t="e">
        <f t="shared" si="139"/>
        <v>#VALUE!</v>
      </c>
      <c r="AV1097" s="1" t="e">
        <f t="shared" si="140"/>
        <v>#VALUE!</v>
      </c>
      <c r="AW1097" s="1" t="e">
        <f t="shared" si="141"/>
        <v>#VALUE!</v>
      </c>
    </row>
    <row r="1098" spans="1:49" x14ac:dyDescent="0.2">
      <c r="A1098">
        <v>1096</v>
      </c>
      <c r="B1098" t="s">
        <v>469</v>
      </c>
      <c r="C1098" t="s">
        <v>468</v>
      </c>
      <c r="F1098" t="s">
        <v>467</v>
      </c>
      <c r="G1098" t="s">
        <v>15</v>
      </c>
      <c r="H1098" t="s">
        <v>14</v>
      </c>
      <c r="I1098" t="s">
        <v>466</v>
      </c>
      <c r="J1098">
        <v>60029306</v>
      </c>
      <c r="K1098" t="s">
        <v>465</v>
      </c>
      <c r="L1098" t="s">
        <v>464</v>
      </c>
      <c r="M1098" t="s">
        <v>463</v>
      </c>
      <c r="N1098">
        <v>1</v>
      </c>
      <c r="O1098" t="s">
        <v>462</v>
      </c>
      <c r="P1098">
        <v>6507157984</v>
      </c>
      <c r="Q1098">
        <v>60029306</v>
      </c>
      <c r="R1098" s="7">
        <v>33970</v>
      </c>
      <c r="S1098" s="8">
        <f t="shared" si="136"/>
        <v>1993</v>
      </c>
      <c r="T1098" s="8">
        <v>1993</v>
      </c>
      <c r="U1098" s="8">
        <f t="shared" si="137"/>
        <v>29</v>
      </c>
      <c r="V1098" s="7">
        <v>33970</v>
      </c>
      <c r="W1098" t="s">
        <v>461</v>
      </c>
      <c r="X1098" s="2">
        <v>0.40400000000000003</v>
      </c>
      <c r="Y1098" s="6">
        <f t="shared" si="142"/>
        <v>1.0784549264568486E-2</v>
      </c>
      <c r="AA1098">
        <v>396265</v>
      </c>
      <c r="AB1098">
        <v>17473</v>
      </c>
      <c r="AC1098">
        <v>17522706</v>
      </c>
      <c r="AD1098" t="s">
        <v>5</v>
      </c>
      <c r="AE1098">
        <v>32</v>
      </c>
      <c r="AF1098">
        <v>247</v>
      </c>
      <c r="AH1098" t="s">
        <v>460</v>
      </c>
      <c r="AI1098" t="s">
        <v>459</v>
      </c>
      <c r="AK1098" t="s">
        <v>458</v>
      </c>
      <c r="AL1098">
        <v>1</v>
      </c>
      <c r="AM1098" s="5">
        <f t="shared" si="138"/>
        <v>3.4482758620689655E-2</v>
      </c>
      <c r="AN1098" s="4">
        <f t="shared" si="143"/>
        <v>5.2226821083967674E-5</v>
      </c>
      <c r="AO1098" s="3"/>
      <c r="AP1098">
        <v>0</v>
      </c>
      <c r="AR1098" t="s">
        <v>1</v>
      </c>
      <c r="AT1098" s="2">
        <v>1.7450000000000001</v>
      </c>
      <c r="AU1098" s="1">
        <f t="shared" si="139"/>
        <v>0.75648525315231296</v>
      </c>
      <c r="AV1098" s="1">
        <f t="shared" si="140"/>
        <v>0.54183880428262265</v>
      </c>
      <c r="AW1098" s="1">
        <f t="shared" si="141"/>
        <v>0.32719235541293229</v>
      </c>
    </row>
    <row r="1099" spans="1:49" x14ac:dyDescent="0.2">
      <c r="A1099">
        <v>1097</v>
      </c>
      <c r="B1099" t="s">
        <v>457</v>
      </c>
      <c r="C1099" t="s">
        <v>456</v>
      </c>
      <c r="D1099" t="s">
        <v>455</v>
      </c>
      <c r="F1099" t="s">
        <v>454</v>
      </c>
      <c r="G1099" t="s">
        <v>15</v>
      </c>
      <c r="H1099" t="s">
        <v>14</v>
      </c>
      <c r="I1099" t="s">
        <v>453</v>
      </c>
      <c r="J1099">
        <v>60021642</v>
      </c>
      <c r="K1099" t="s">
        <v>452</v>
      </c>
      <c r="L1099" t="s">
        <v>451</v>
      </c>
      <c r="M1099" t="s">
        <v>291</v>
      </c>
      <c r="N1099">
        <v>1</v>
      </c>
      <c r="O1099" t="s">
        <v>450</v>
      </c>
      <c r="P1099">
        <v>6602263978</v>
      </c>
      <c r="Q1099">
        <v>60021642</v>
      </c>
      <c r="R1099" s="7">
        <v>33970</v>
      </c>
      <c r="S1099" s="8">
        <f t="shared" si="136"/>
        <v>1993</v>
      </c>
      <c r="T1099" s="8">
        <v>1993</v>
      </c>
      <c r="U1099" s="8">
        <f t="shared" si="137"/>
        <v>29</v>
      </c>
      <c r="V1099" s="7">
        <v>34182</v>
      </c>
      <c r="W1099" t="s">
        <v>449</v>
      </c>
      <c r="X1099" s="2">
        <v>0.69599999999999995</v>
      </c>
      <c r="Y1099" s="6">
        <f t="shared" si="142"/>
        <v>1.857932249539521E-2</v>
      </c>
      <c r="AA1099">
        <v>320633</v>
      </c>
      <c r="AB1099">
        <v>27773</v>
      </c>
      <c r="AD1099" t="s">
        <v>5</v>
      </c>
      <c r="AE1099">
        <v>41</v>
      </c>
      <c r="AF1099">
        <v>8</v>
      </c>
      <c r="AH1099" t="s">
        <v>448</v>
      </c>
      <c r="AI1099" t="s">
        <v>447</v>
      </c>
      <c r="AK1099" t="s">
        <v>446</v>
      </c>
      <c r="AL1099">
        <v>11</v>
      </c>
      <c r="AM1099" s="5">
        <f t="shared" si="138"/>
        <v>0.37931034482758619</v>
      </c>
      <c r="AN1099" s="4">
        <f t="shared" si="143"/>
        <v>5.7449503192364435E-4</v>
      </c>
      <c r="AO1099" s="3"/>
      <c r="AP1099">
        <v>0</v>
      </c>
      <c r="AQ1099" t="s">
        <v>445</v>
      </c>
      <c r="AR1099" t="s">
        <v>444</v>
      </c>
      <c r="AS1099" t="s">
        <v>443</v>
      </c>
      <c r="AT1099" s="2">
        <v>2.0299999999999998</v>
      </c>
      <c r="AU1099" s="1">
        <f t="shared" si="139"/>
        <v>1.3177874256353739</v>
      </c>
      <c r="AV1099" s="1">
        <f t="shared" si="140"/>
        <v>0.95769087636594274</v>
      </c>
      <c r="AW1099" s="1">
        <f t="shared" si="141"/>
        <v>0.59759432709651139</v>
      </c>
    </row>
    <row r="1100" spans="1:49" x14ac:dyDescent="0.2">
      <c r="A1100">
        <v>1098</v>
      </c>
      <c r="B1100" t="s">
        <v>442</v>
      </c>
      <c r="C1100" t="s">
        <v>441</v>
      </c>
      <c r="F1100" t="s">
        <v>440</v>
      </c>
      <c r="G1100" t="s">
        <v>15</v>
      </c>
      <c r="H1100" t="s">
        <v>14</v>
      </c>
      <c r="I1100" t="s">
        <v>439</v>
      </c>
      <c r="J1100" t="s">
        <v>438</v>
      </c>
      <c r="K1100" t="s">
        <v>437</v>
      </c>
      <c r="L1100" t="s">
        <v>436</v>
      </c>
      <c r="M1100" t="s">
        <v>435</v>
      </c>
      <c r="N1100">
        <v>2</v>
      </c>
      <c r="O1100" t="s">
        <v>434</v>
      </c>
      <c r="P1100" t="s">
        <v>433</v>
      </c>
      <c r="Q1100" t="s">
        <v>432</v>
      </c>
      <c r="R1100" s="7">
        <v>33970</v>
      </c>
      <c r="S1100" s="8">
        <f t="shared" si="136"/>
        <v>1993</v>
      </c>
      <c r="T1100" s="8">
        <v>1993</v>
      </c>
      <c r="U1100" s="8">
        <f t="shared" si="137"/>
        <v>29</v>
      </c>
      <c r="V1100" s="7">
        <v>34029</v>
      </c>
      <c r="W1100" t="s">
        <v>431</v>
      </c>
      <c r="X1100" s="2">
        <v>0.54</v>
      </c>
      <c r="Y1100" s="6">
        <f t="shared" si="142"/>
        <v>1.4414991591254906E-2</v>
      </c>
      <c r="AA1100">
        <v>268976</v>
      </c>
      <c r="AB1100">
        <v>26990</v>
      </c>
      <c r="AC1100">
        <v>13623028</v>
      </c>
      <c r="AD1100" t="s">
        <v>5</v>
      </c>
      <c r="AE1100">
        <v>78</v>
      </c>
      <c r="AF1100">
        <v>4</v>
      </c>
      <c r="AH1100" t="s">
        <v>430</v>
      </c>
      <c r="AI1100" t="s">
        <v>429</v>
      </c>
      <c r="AK1100" t="s">
        <v>428</v>
      </c>
      <c r="AL1100">
        <v>10</v>
      </c>
      <c r="AM1100" s="5">
        <f t="shared" si="138"/>
        <v>0.34482758620689657</v>
      </c>
      <c r="AN1100" s="4">
        <f t="shared" si="143"/>
        <v>5.2226821083967677E-4</v>
      </c>
      <c r="AO1100" s="3"/>
      <c r="AP1100">
        <v>0</v>
      </c>
      <c r="AR1100" t="s">
        <v>1</v>
      </c>
      <c r="AT1100" s="2">
        <v>1.962</v>
      </c>
      <c r="AU1100" s="1">
        <f t="shared" si="139"/>
        <v>1.0247174577130338</v>
      </c>
      <c r="AV1100" s="1">
        <f t="shared" si="140"/>
        <v>0.74686299010472912</v>
      </c>
      <c r="AW1100" s="1">
        <f t="shared" si="141"/>
        <v>0.46900852249642455</v>
      </c>
    </row>
    <row r="1101" spans="1:49" x14ac:dyDescent="0.2">
      <c r="A1101">
        <v>1099</v>
      </c>
      <c r="B1101" t="s">
        <v>427</v>
      </c>
      <c r="C1101" t="s">
        <v>426</v>
      </c>
      <c r="F1101" t="s">
        <v>425</v>
      </c>
      <c r="G1101" t="s">
        <v>15</v>
      </c>
      <c r="H1101" t="s">
        <v>14</v>
      </c>
      <c r="I1101" t="s">
        <v>424</v>
      </c>
      <c r="J1101" t="s">
        <v>423</v>
      </c>
      <c r="K1101" t="s">
        <v>422</v>
      </c>
      <c r="L1101" t="s">
        <v>421</v>
      </c>
      <c r="M1101" t="s">
        <v>420</v>
      </c>
      <c r="N1101">
        <v>2</v>
      </c>
      <c r="O1101" t="s">
        <v>419</v>
      </c>
      <c r="P1101" t="s">
        <v>418</v>
      </c>
      <c r="Q1101" t="s">
        <v>417</v>
      </c>
      <c r="R1101" s="7">
        <v>33970</v>
      </c>
      <c r="S1101" s="8">
        <f t="shared" si="136"/>
        <v>1993</v>
      </c>
      <c r="T1101" s="8">
        <v>1993</v>
      </c>
      <c r="U1101" s="8">
        <f t="shared" si="137"/>
        <v>29</v>
      </c>
      <c r="V1101" s="7">
        <v>1993</v>
      </c>
      <c r="W1101" t="s">
        <v>192</v>
      </c>
      <c r="X1101" s="2">
        <v>1.1879999999999999</v>
      </c>
      <c r="Y1101" s="6">
        <f t="shared" si="142"/>
        <v>3.1712981500760788E-2</v>
      </c>
      <c r="AA1101">
        <v>8998221</v>
      </c>
      <c r="AB1101">
        <v>8900153323</v>
      </c>
      <c r="AD1101" t="s">
        <v>5</v>
      </c>
      <c r="AE1101">
        <v>5</v>
      </c>
      <c r="AF1101">
        <v>10</v>
      </c>
      <c r="AH1101" t="s">
        <v>416</v>
      </c>
      <c r="AI1101" t="s">
        <v>415</v>
      </c>
      <c r="AK1101" t="s">
        <v>414</v>
      </c>
      <c r="AL1101">
        <v>14</v>
      </c>
      <c r="AM1101" s="5">
        <f t="shared" si="138"/>
        <v>0.48275862068965519</v>
      </c>
      <c r="AN1101" s="4">
        <f t="shared" si="143"/>
        <v>7.3117549517554741E-4</v>
      </c>
      <c r="AO1101" s="3"/>
      <c r="AP1101">
        <v>0</v>
      </c>
      <c r="AR1101" t="s">
        <v>1</v>
      </c>
      <c r="AT1101" s="2" t="s">
        <v>0</v>
      </c>
      <c r="AU1101" s="1">
        <f t="shared" si="139"/>
        <v>2.2418439699085213</v>
      </c>
      <c r="AV1101" s="1">
        <f t="shared" si="140"/>
        <v>1.6222078497968169</v>
      </c>
      <c r="AW1101" s="1">
        <f t="shared" si="141"/>
        <v>1.002571729685112</v>
      </c>
    </row>
    <row r="1102" spans="1:49" x14ac:dyDescent="0.2">
      <c r="A1102">
        <v>1100</v>
      </c>
      <c r="B1102" t="s">
        <v>413</v>
      </c>
      <c r="C1102" t="s">
        <v>412</v>
      </c>
      <c r="F1102" t="s">
        <v>411</v>
      </c>
      <c r="G1102" t="s">
        <v>15</v>
      </c>
      <c r="H1102" t="s">
        <v>14</v>
      </c>
      <c r="I1102" t="s">
        <v>410</v>
      </c>
      <c r="J1102" t="s">
        <v>409</v>
      </c>
      <c r="K1102" t="s">
        <v>408</v>
      </c>
      <c r="L1102" t="s">
        <v>407</v>
      </c>
      <c r="M1102" t="s">
        <v>406</v>
      </c>
      <c r="N1102">
        <v>4</v>
      </c>
      <c r="O1102" t="s">
        <v>405</v>
      </c>
      <c r="P1102" t="s">
        <v>404</v>
      </c>
      <c r="Q1102" t="s">
        <v>403</v>
      </c>
      <c r="R1102" s="7">
        <v>33970</v>
      </c>
      <c r="S1102" s="8">
        <f t="shared" si="136"/>
        <v>1993</v>
      </c>
      <c r="T1102" s="8">
        <v>1993</v>
      </c>
      <c r="U1102" s="8">
        <f t="shared" si="137"/>
        <v>29</v>
      </c>
      <c r="V1102" s="7">
        <v>34304</v>
      </c>
      <c r="W1102" t="s">
        <v>402</v>
      </c>
      <c r="X1102" s="2">
        <v>2.61</v>
      </c>
      <c r="Y1102" s="6">
        <f t="shared" si="142"/>
        <v>6.9672459357732044E-2</v>
      </c>
      <c r="AA1102">
        <v>46256</v>
      </c>
      <c r="AB1102">
        <v>26704</v>
      </c>
      <c r="AD1102" t="s">
        <v>5</v>
      </c>
      <c r="AE1102">
        <v>106</v>
      </c>
      <c r="AF1102">
        <v>6</v>
      </c>
      <c r="AH1102" t="s">
        <v>401</v>
      </c>
      <c r="AI1102" t="s">
        <v>400</v>
      </c>
      <c r="AK1102" t="s">
        <v>399</v>
      </c>
      <c r="AL1102">
        <v>72</v>
      </c>
      <c r="AM1102" s="5">
        <f t="shared" si="138"/>
        <v>2.4827586206896552</v>
      </c>
      <c r="AN1102" s="4">
        <f t="shared" si="143"/>
        <v>3.7603311180456726E-3</v>
      </c>
      <c r="AO1102" s="3"/>
      <c r="AP1102">
        <v>0</v>
      </c>
      <c r="AR1102" t="s">
        <v>1</v>
      </c>
      <c r="AT1102" s="2">
        <v>6.2629999999999999</v>
      </c>
      <c r="AU1102" s="1">
        <f t="shared" si="139"/>
        <v>4.989882088582613</v>
      </c>
      <c r="AV1102" s="1">
        <f t="shared" si="140"/>
        <v>3.6716395237888859</v>
      </c>
      <c r="AW1102" s="1">
        <f t="shared" si="141"/>
        <v>2.3533969589951584</v>
      </c>
    </row>
    <row r="1103" spans="1:49" x14ac:dyDescent="0.2">
      <c r="A1103">
        <v>1101</v>
      </c>
      <c r="B1103" t="s">
        <v>398</v>
      </c>
      <c r="C1103" t="s">
        <v>397</v>
      </c>
      <c r="D1103" t="s">
        <v>396</v>
      </c>
      <c r="F1103" t="s">
        <v>395</v>
      </c>
      <c r="G1103" t="s">
        <v>15</v>
      </c>
      <c r="H1103" t="s">
        <v>14</v>
      </c>
      <c r="I1103" t="s">
        <v>394</v>
      </c>
      <c r="J1103">
        <v>60012729</v>
      </c>
      <c r="K1103" t="s">
        <v>393</v>
      </c>
      <c r="L1103" t="s">
        <v>392</v>
      </c>
      <c r="M1103" t="s">
        <v>391</v>
      </c>
      <c r="N1103">
        <v>6</v>
      </c>
      <c r="O1103" t="s">
        <v>390</v>
      </c>
      <c r="P1103" t="s">
        <v>389</v>
      </c>
      <c r="Q1103" t="s">
        <v>388</v>
      </c>
      <c r="R1103" s="7">
        <v>33970</v>
      </c>
      <c r="S1103" s="8">
        <f t="shared" si="136"/>
        <v>1993</v>
      </c>
      <c r="T1103" s="8">
        <v>1993</v>
      </c>
      <c r="U1103" s="8">
        <f t="shared" si="137"/>
        <v>29</v>
      </c>
      <c r="V1103" s="7">
        <v>34213</v>
      </c>
      <c r="W1103" t="s">
        <v>387</v>
      </c>
      <c r="X1103" s="2">
        <v>0.68200000000000005</v>
      </c>
      <c r="Y1103" s="6">
        <f t="shared" si="142"/>
        <v>1.8205600491177493E-2</v>
      </c>
      <c r="AA1103">
        <v>2731177</v>
      </c>
      <c r="AB1103">
        <v>12375</v>
      </c>
      <c r="AD1103" t="s">
        <v>5</v>
      </c>
      <c r="AE1103">
        <v>13</v>
      </c>
      <c r="AF1103">
        <v>9</v>
      </c>
      <c r="AH1103" t="s">
        <v>386</v>
      </c>
      <c r="AI1103" t="s">
        <v>385</v>
      </c>
      <c r="AK1103" t="s">
        <v>384</v>
      </c>
      <c r="AL1103">
        <v>7</v>
      </c>
      <c r="AM1103" s="5">
        <f t="shared" si="138"/>
        <v>0.2413793103448276</v>
      </c>
      <c r="AN1103" s="4">
        <f t="shared" si="143"/>
        <v>3.655877475877737E-4</v>
      </c>
      <c r="AO1103" s="3"/>
      <c r="AP1103">
        <v>0</v>
      </c>
      <c r="AQ1103" t="s">
        <v>383</v>
      </c>
      <c r="AR1103" t="s">
        <v>1</v>
      </c>
      <c r="AS1103" t="s">
        <v>382</v>
      </c>
      <c r="AT1103" s="2">
        <v>2.1520000000000001</v>
      </c>
      <c r="AU1103" s="1">
        <f t="shared" si="139"/>
        <v>1.2853596668100578</v>
      </c>
      <c r="AV1103" s="1">
        <f t="shared" si="140"/>
        <v>0.9285594119382633</v>
      </c>
      <c r="AW1103" s="1">
        <f t="shared" si="141"/>
        <v>0.57175915706646896</v>
      </c>
    </row>
    <row r="1104" spans="1:49" x14ac:dyDescent="0.2">
      <c r="A1104">
        <v>1102</v>
      </c>
      <c r="B1104" t="s">
        <v>381</v>
      </c>
      <c r="C1104" t="s">
        <v>380</v>
      </c>
      <c r="F1104" t="s">
        <v>379</v>
      </c>
      <c r="G1104" t="s">
        <v>15</v>
      </c>
      <c r="H1104" t="s">
        <v>14</v>
      </c>
      <c r="I1104" t="s">
        <v>378</v>
      </c>
      <c r="J1104">
        <v>60017134</v>
      </c>
      <c r="K1104" t="s">
        <v>377</v>
      </c>
      <c r="L1104" t="s">
        <v>376</v>
      </c>
      <c r="M1104" t="s">
        <v>59</v>
      </c>
      <c r="N1104">
        <v>5</v>
      </c>
      <c r="O1104" t="s">
        <v>375</v>
      </c>
      <c r="P1104" t="s">
        <v>374</v>
      </c>
      <c r="Q1104" t="s">
        <v>373</v>
      </c>
      <c r="R1104" s="7">
        <v>33970</v>
      </c>
      <c r="S1104" s="8">
        <f t="shared" si="136"/>
        <v>1993</v>
      </c>
      <c r="T1104" s="8">
        <v>1993</v>
      </c>
      <c r="U1104" s="8">
        <f t="shared" si="137"/>
        <v>29</v>
      </c>
      <c r="V1104" s="7" t="s">
        <v>372</v>
      </c>
      <c r="W1104" t="s">
        <v>371</v>
      </c>
      <c r="X1104" s="2">
        <v>0.79500000000000004</v>
      </c>
      <c r="Y1104" s="6">
        <f t="shared" si="142"/>
        <v>2.1222070953791944E-2</v>
      </c>
      <c r="AA1104">
        <v>9312048</v>
      </c>
      <c r="AB1104">
        <v>20459</v>
      </c>
      <c r="AC1104">
        <v>14390418</v>
      </c>
      <c r="AD1104" t="s">
        <v>5</v>
      </c>
      <c r="AE1104">
        <v>116</v>
      </c>
      <c r="AF1104" s="9">
        <v>44317</v>
      </c>
      <c r="AH1104" t="s">
        <v>370</v>
      </c>
      <c r="AI1104" t="s">
        <v>369</v>
      </c>
      <c r="AK1104" t="s">
        <v>368</v>
      </c>
      <c r="AL1104">
        <v>4</v>
      </c>
      <c r="AM1104" s="5">
        <f t="shared" si="138"/>
        <v>0.13793103448275862</v>
      </c>
      <c r="AN1104" s="4">
        <f t="shared" si="143"/>
        <v>2.089072843358707E-4</v>
      </c>
      <c r="AO1104" s="3"/>
      <c r="AP1104">
        <v>0</v>
      </c>
      <c r="AR1104" t="s">
        <v>1</v>
      </c>
      <c r="AT1104" s="2">
        <v>2.6030000000000002</v>
      </c>
      <c r="AU1104" s="1">
        <f t="shared" si="139"/>
        <v>1.4918121852955122</v>
      </c>
      <c r="AV1104" s="1">
        <f t="shared" si="140"/>
        <v>1.0715489119063908</v>
      </c>
      <c r="AW1104" s="1">
        <f t="shared" si="141"/>
        <v>0.65128563851726928</v>
      </c>
    </row>
    <row r="1105" spans="1:49" x14ac:dyDescent="0.2">
      <c r="A1105">
        <v>1103</v>
      </c>
      <c r="B1105" t="s">
        <v>367</v>
      </c>
      <c r="C1105" t="s">
        <v>366</v>
      </c>
      <c r="F1105" t="s">
        <v>365</v>
      </c>
      <c r="G1105" t="s">
        <v>15</v>
      </c>
      <c r="H1105" t="s">
        <v>14</v>
      </c>
      <c r="I1105" t="s">
        <v>364</v>
      </c>
      <c r="J1105">
        <v>60005980</v>
      </c>
      <c r="K1105" t="s">
        <v>363</v>
      </c>
      <c r="L1105" t="s">
        <v>362</v>
      </c>
      <c r="M1105" t="s">
        <v>361</v>
      </c>
      <c r="N1105">
        <v>1</v>
      </c>
      <c r="O1105" t="s">
        <v>360</v>
      </c>
      <c r="P1105">
        <v>6602603645</v>
      </c>
      <c r="Q1105">
        <v>60005980</v>
      </c>
      <c r="R1105" s="7">
        <v>33970</v>
      </c>
      <c r="S1105" s="8">
        <f t="shared" si="136"/>
        <v>1993</v>
      </c>
      <c r="T1105" s="8">
        <v>1993</v>
      </c>
      <c r="U1105" s="8">
        <f t="shared" si="137"/>
        <v>29</v>
      </c>
      <c r="V1105" s="7">
        <v>34213</v>
      </c>
      <c r="W1105" t="s">
        <v>359</v>
      </c>
      <c r="X1105" s="2">
        <v>0.76900000000000002</v>
      </c>
      <c r="Y1105" s="6">
        <f t="shared" si="142"/>
        <v>2.0528015803101894E-2</v>
      </c>
      <c r="AA1105">
        <v>9475745</v>
      </c>
      <c r="AB1105">
        <v>22605</v>
      </c>
      <c r="AC1105">
        <v>14390469</v>
      </c>
      <c r="AD1105" t="s">
        <v>5</v>
      </c>
      <c r="AE1105">
        <v>31</v>
      </c>
      <c r="AF1105">
        <v>3</v>
      </c>
      <c r="AH1105" t="s">
        <v>358</v>
      </c>
      <c r="AI1105" t="s">
        <v>357</v>
      </c>
      <c r="AJ1105" t="s">
        <v>356</v>
      </c>
      <c r="AK1105" t="s">
        <v>355</v>
      </c>
      <c r="AL1105">
        <v>14</v>
      </c>
      <c r="AM1105" s="5">
        <f t="shared" si="138"/>
        <v>0.48275862068965519</v>
      </c>
      <c r="AN1105" s="4">
        <f t="shared" si="143"/>
        <v>7.3117549517554741E-4</v>
      </c>
      <c r="AO1105" s="3"/>
      <c r="AP1105">
        <v>0</v>
      </c>
      <c r="AR1105" t="s">
        <v>1</v>
      </c>
      <c r="AT1105" s="2" t="s">
        <v>0</v>
      </c>
      <c r="AU1105" s="1">
        <f t="shared" si="139"/>
        <v>1.4588963710723988</v>
      </c>
      <c r="AV1105" s="1">
        <f t="shared" si="140"/>
        <v>1.0629595649138721</v>
      </c>
      <c r="AW1105" s="1">
        <f t="shared" si="141"/>
        <v>0.66702275875534511</v>
      </c>
    </row>
    <row r="1106" spans="1:49" x14ac:dyDescent="0.2">
      <c r="A1106">
        <v>1104</v>
      </c>
      <c r="B1106" t="s">
        <v>354</v>
      </c>
      <c r="C1106" t="s">
        <v>353</v>
      </c>
      <c r="F1106" t="s">
        <v>352</v>
      </c>
      <c r="G1106" t="s">
        <v>15</v>
      </c>
      <c r="H1106" t="s">
        <v>14</v>
      </c>
      <c r="I1106" t="s">
        <v>351</v>
      </c>
      <c r="J1106" t="s">
        <v>350</v>
      </c>
      <c r="K1106" t="s">
        <v>349</v>
      </c>
      <c r="L1106" t="s">
        <v>348</v>
      </c>
      <c r="M1106" t="s">
        <v>347</v>
      </c>
      <c r="N1106">
        <v>9</v>
      </c>
      <c r="O1106" t="s">
        <v>346</v>
      </c>
      <c r="P1106" t="s">
        <v>345</v>
      </c>
      <c r="Q1106" t="s">
        <v>344</v>
      </c>
      <c r="R1106" s="7">
        <v>33970</v>
      </c>
      <c r="S1106" s="8">
        <f t="shared" si="136"/>
        <v>1993</v>
      </c>
      <c r="T1106" s="8">
        <v>1993</v>
      </c>
      <c r="U1106" s="8">
        <f t="shared" si="137"/>
        <v>29</v>
      </c>
      <c r="V1106" s="7">
        <v>1993</v>
      </c>
      <c r="W1106" t="s">
        <v>192</v>
      </c>
      <c r="X1106" s="2">
        <v>1.1879999999999999</v>
      </c>
      <c r="Y1106" s="6">
        <f t="shared" si="142"/>
        <v>3.1712981500760788E-2</v>
      </c>
      <c r="AA1106">
        <v>8998221</v>
      </c>
      <c r="AB1106">
        <v>8900153323</v>
      </c>
      <c r="AD1106" t="s">
        <v>5</v>
      </c>
      <c r="AE1106">
        <v>5</v>
      </c>
      <c r="AF1106">
        <v>9</v>
      </c>
      <c r="AH1106" t="s">
        <v>343</v>
      </c>
      <c r="AI1106" t="s">
        <v>342</v>
      </c>
      <c r="AK1106" t="s">
        <v>341</v>
      </c>
      <c r="AL1106">
        <v>17</v>
      </c>
      <c r="AM1106" s="5">
        <f t="shared" si="138"/>
        <v>0.58620689655172409</v>
      </c>
      <c r="AN1106" s="4">
        <f t="shared" si="143"/>
        <v>8.8785595842745036E-4</v>
      </c>
      <c r="AO1106" s="3"/>
      <c r="AP1106">
        <v>0</v>
      </c>
      <c r="AR1106" t="s">
        <v>1</v>
      </c>
      <c r="AT1106" s="2" t="s">
        <v>0</v>
      </c>
      <c r="AU1106" s="1">
        <f t="shared" si="139"/>
        <v>2.2465443838060786</v>
      </c>
      <c r="AV1106" s="1">
        <f t="shared" si="140"/>
        <v>1.6300418729594117</v>
      </c>
      <c r="AW1106" s="1">
        <f t="shared" si="141"/>
        <v>1.0135393621127453</v>
      </c>
    </row>
    <row r="1107" spans="1:49" x14ac:dyDescent="0.2">
      <c r="A1107">
        <v>1105</v>
      </c>
      <c r="B1107" t="s">
        <v>340</v>
      </c>
      <c r="C1107" t="s">
        <v>339</v>
      </c>
      <c r="F1107" t="s">
        <v>338</v>
      </c>
      <c r="G1107" t="s">
        <v>15</v>
      </c>
      <c r="H1107" t="s">
        <v>14</v>
      </c>
      <c r="I1107" t="s">
        <v>337</v>
      </c>
      <c r="J1107" t="s">
        <v>336</v>
      </c>
      <c r="K1107" t="s">
        <v>335</v>
      </c>
      <c r="L1107" t="s">
        <v>334</v>
      </c>
      <c r="M1107" t="s">
        <v>333</v>
      </c>
      <c r="N1107">
        <v>2</v>
      </c>
      <c r="O1107" t="s">
        <v>332</v>
      </c>
      <c r="P1107" t="s">
        <v>331</v>
      </c>
      <c r="Q1107" t="s">
        <v>330</v>
      </c>
      <c r="R1107" s="7">
        <v>33970</v>
      </c>
      <c r="S1107" s="8">
        <f t="shared" si="136"/>
        <v>1993</v>
      </c>
      <c r="T1107" s="8">
        <v>1993</v>
      </c>
      <c r="U1107" s="8">
        <f t="shared" si="137"/>
        <v>29</v>
      </c>
      <c r="V1107" s="7">
        <v>1993</v>
      </c>
      <c r="W1107" t="s">
        <v>329</v>
      </c>
      <c r="X1107" s="2">
        <v>0.28599999999999998</v>
      </c>
      <c r="Y1107" s="6">
        <f t="shared" si="142"/>
        <v>7.6346066575905605E-3</v>
      </c>
      <c r="AA1107">
        <v>9205071</v>
      </c>
      <c r="AB1107">
        <v>28139</v>
      </c>
      <c r="AC1107">
        <v>15693937</v>
      </c>
      <c r="AD1107" t="s">
        <v>5</v>
      </c>
      <c r="AE1107">
        <v>7</v>
      </c>
      <c r="AF1107">
        <v>7</v>
      </c>
      <c r="AH1107" t="s">
        <v>328</v>
      </c>
      <c r="AI1107" t="s">
        <v>327</v>
      </c>
      <c r="AK1107" t="s">
        <v>326</v>
      </c>
      <c r="AL1107">
        <v>22</v>
      </c>
      <c r="AM1107" s="5">
        <f t="shared" si="138"/>
        <v>0.75862068965517238</v>
      </c>
      <c r="AN1107" s="4">
        <f t="shared" si="143"/>
        <v>1.1489900638472887E-3</v>
      </c>
      <c r="AO1107" s="3"/>
      <c r="AP1107">
        <v>0</v>
      </c>
      <c r="AR1107" t="s">
        <v>1</v>
      </c>
      <c r="AT1107" s="2" t="s">
        <v>0</v>
      </c>
      <c r="AU1107" s="1">
        <f t="shared" si="139"/>
        <v>0.5688921679467579</v>
      </c>
      <c r="AV1107" s="1">
        <f t="shared" si="140"/>
        <v>0.43917983607189248</v>
      </c>
      <c r="AW1107" s="1">
        <f t="shared" si="141"/>
        <v>0.30946750419702701</v>
      </c>
    </row>
    <row r="1108" spans="1:49" x14ac:dyDescent="0.2">
      <c r="A1108">
        <v>1106</v>
      </c>
      <c r="B1108" t="s">
        <v>325</v>
      </c>
      <c r="C1108" t="s">
        <v>324</v>
      </c>
      <c r="D1108" t="s">
        <v>323</v>
      </c>
      <c r="F1108" t="s">
        <v>322</v>
      </c>
      <c r="G1108" t="s">
        <v>15</v>
      </c>
      <c r="H1108" t="s">
        <v>14</v>
      </c>
      <c r="I1108" t="s">
        <v>321</v>
      </c>
      <c r="J1108" t="s">
        <v>320</v>
      </c>
      <c r="K1108" t="s">
        <v>319</v>
      </c>
      <c r="L1108" t="s">
        <v>318</v>
      </c>
      <c r="M1108" t="s">
        <v>317</v>
      </c>
      <c r="N1108">
        <v>3</v>
      </c>
      <c r="O1108" t="s">
        <v>316</v>
      </c>
      <c r="P1108" t="s">
        <v>315</v>
      </c>
      <c r="Q1108" t="s">
        <v>314</v>
      </c>
      <c r="R1108" s="7">
        <v>33970</v>
      </c>
      <c r="S1108" s="8">
        <f t="shared" si="136"/>
        <v>1993</v>
      </c>
      <c r="T1108" s="8">
        <v>1993</v>
      </c>
      <c r="U1108" s="8">
        <f t="shared" si="137"/>
        <v>29</v>
      </c>
      <c r="V1108" s="7">
        <v>1993</v>
      </c>
      <c r="W1108" t="s">
        <v>313</v>
      </c>
      <c r="X1108" s="2">
        <v>1.032</v>
      </c>
      <c r="Y1108" s="6">
        <f t="shared" si="142"/>
        <v>2.7548650596620487E-2</v>
      </c>
      <c r="AA1108">
        <v>1761617</v>
      </c>
      <c r="AB1108">
        <v>19257</v>
      </c>
      <c r="AD1108" t="s">
        <v>5</v>
      </c>
      <c r="AE1108">
        <v>142</v>
      </c>
      <c r="AF1108">
        <v>1</v>
      </c>
      <c r="AH1108" s="10">
        <v>43070</v>
      </c>
      <c r="AI1108" t="s">
        <v>312</v>
      </c>
      <c r="AJ1108" t="s">
        <v>311</v>
      </c>
      <c r="AK1108" t="s">
        <v>310</v>
      </c>
      <c r="AL1108">
        <v>61</v>
      </c>
      <c r="AM1108" s="5">
        <f t="shared" si="138"/>
        <v>2.103448275862069</v>
      </c>
      <c r="AN1108" s="4">
        <f t="shared" si="143"/>
        <v>3.185836086122028E-3</v>
      </c>
      <c r="AO1108" s="3"/>
      <c r="AP1108">
        <v>0</v>
      </c>
      <c r="AR1108" t="s">
        <v>1</v>
      </c>
      <c r="AT1108" s="2">
        <v>3.5489999999999999</v>
      </c>
      <c r="AU1108" s="1">
        <f t="shared" si="139"/>
        <v>2.0239806243470948</v>
      </c>
      <c r="AV1108" s="1">
        <f t="shared" si="140"/>
        <v>1.5367243341371257</v>
      </c>
      <c r="AW1108" s="1">
        <f t="shared" si="141"/>
        <v>1.0494680439271564</v>
      </c>
    </row>
    <row r="1109" spans="1:49" x14ac:dyDescent="0.2">
      <c r="A1109">
        <v>1107</v>
      </c>
      <c r="B1109" t="s">
        <v>309</v>
      </c>
      <c r="C1109" t="s">
        <v>308</v>
      </c>
      <c r="F1109" t="s">
        <v>307</v>
      </c>
      <c r="G1109" t="s">
        <v>15</v>
      </c>
      <c r="H1109" t="s">
        <v>14</v>
      </c>
      <c r="I1109" t="s">
        <v>306</v>
      </c>
      <c r="J1109">
        <v>60030553</v>
      </c>
      <c r="K1109" t="s">
        <v>305</v>
      </c>
      <c r="L1109" t="s">
        <v>304</v>
      </c>
      <c r="M1109" t="s">
        <v>303</v>
      </c>
      <c r="N1109">
        <v>5</v>
      </c>
      <c r="O1109" t="s">
        <v>302</v>
      </c>
      <c r="P1109" t="s">
        <v>301</v>
      </c>
      <c r="Q1109" t="s">
        <v>300</v>
      </c>
      <c r="R1109" s="7">
        <v>33970</v>
      </c>
      <c r="S1109" s="8">
        <f t="shared" si="136"/>
        <v>1993</v>
      </c>
      <c r="T1109" s="8">
        <v>1993</v>
      </c>
      <c r="U1109" s="8">
        <f t="shared" si="137"/>
        <v>29</v>
      </c>
      <c r="V1109" s="7">
        <v>34001</v>
      </c>
      <c r="W1109" t="s">
        <v>299</v>
      </c>
      <c r="X1109" s="2">
        <v>0.88100000000000001</v>
      </c>
      <c r="Y1109" s="6">
        <f t="shared" si="142"/>
        <v>2.3517791836843653E-2</v>
      </c>
      <c r="AA1109">
        <v>10459243</v>
      </c>
      <c r="AB1109">
        <v>17248</v>
      </c>
      <c r="AD1109" t="s">
        <v>5</v>
      </c>
      <c r="AE1109">
        <v>35</v>
      </c>
      <c r="AF1109">
        <v>1</v>
      </c>
      <c r="AH1109" t="s">
        <v>298</v>
      </c>
      <c r="AL1109">
        <v>40</v>
      </c>
      <c r="AM1109" s="5">
        <f t="shared" si="138"/>
        <v>1.3793103448275863</v>
      </c>
      <c r="AN1109" s="4">
        <f t="shared" si="143"/>
        <v>2.0890728433587071E-3</v>
      </c>
      <c r="AO1109" s="3"/>
      <c r="AP1109">
        <v>0</v>
      </c>
      <c r="AR1109" t="s">
        <v>1</v>
      </c>
      <c r="AT1109" s="2" t="s">
        <v>0</v>
      </c>
      <c r="AU1109" s="1">
        <f t="shared" si="139"/>
        <v>1.7089176138798168</v>
      </c>
      <c r="AV1109" s="1">
        <f t="shared" si="140"/>
        <v>1.280343234010118</v>
      </c>
      <c r="AW1109" s="1">
        <f t="shared" si="141"/>
        <v>0.85176885414041914</v>
      </c>
    </row>
    <row r="1110" spans="1:49" x14ac:dyDescent="0.2">
      <c r="A1110">
        <v>1108</v>
      </c>
      <c r="B1110" t="s">
        <v>297</v>
      </c>
      <c r="C1110" t="s">
        <v>296</v>
      </c>
      <c r="F1110" t="s">
        <v>295</v>
      </c>
      <c r="G1110" t="s">
        <v>15</v>
      </c>
      <c r="H1110" t="s">
        <v>14</v>
      </c>
      <c r="I1110" t="s">
        <v>294</v>
      </c>
      <c r="J1110">
        <v>60011685</v>
      </c>
      <c r="K1110" t="s">
        <v>293</v>
      </c>
      <c r="L1110" t="s">
        <v>292</v>
      </c>
      <c r="M1110" t="s">
        <v>291</v>
      </c>
      <c r="N1110">
        <v>2</v>
      </c>
      <c r="O1110" t="s">
        <v>290</v>
      </c>
      <c r="P1110" t="s">
        <v>289</v>
      </c>
      <c r="Q1110" t="s">
        <v>288</v>
      </c>
      <c r="R1110" s="7">
        <v>33970</v>
      </c>
      <c r="S1110" s="8">
        <f t="shared" si="136"/>
        <v>1993</v>
      </c>
      <c r="T1110" s="8">
        <v>1993</v>
      </c>
      <c r="U1110" s="8">
        <f t="shared" si="137"/>
        <v>29</v>
      </c>
      <c r="V1110" s="7">
        <v>1993</v>
      </c>
      <c r="W1110" t="s">
        <v>287</v>
      </c>
      <c r="X1110" s="2">
        <v>0.30099999999999999</v>
      </c>
      <c r="Y1110" s="6">
        <f t="shared" si="142"/>
        <v>8.0350230906809754E-3</v>
      </c>
      <c r="AA1110">
        <v>9395075</v>
      </c>
      <c r="AB1110">
        <v>14954</v>
      </c>
      <c r="AC1110">
        <v>18657125</v>
      </c>
      <c r="AD1110" t="s">
        <v>5</v>
      </c>
      <c r="AE1110">
        <v>48</v>
      </c>
      <c r="AF1110" s="9">
        <v>44228</v>
      </c>
      <c r="AH1110" t="s">
        <v>286</v>
      </c>
      <c r="AI1110" t="s">
        <v>285</v>
      </c>
      <c r="AJ1110" t="s">
        <v>284</v>
      </c>
      <c r="AK1110" t="s">
        <v>283</v>
      </c>
      <c r="AL1110">
        <v>8</v>
      </c>
      <c r="AM1110" s="5">
        <f t="shared" si="138"/>
        <v>0.27586206896551724</v>
      </c>
      <c r="AN1110" s="4">
        <f t="shared" si="143"/>
        <v>4.1781456867174139E-4</v>
      </c>
      <c r="AO1110" s="3"/>
      <c r="AP1110">
        <v>1</v>
      </c>
      <c r="AR1110" t="s">
        <v>1</v>
      </c>
      <c r="AT1110" s="2" t="s">
        <v>0</v>
      </c>
      <c r="AU1110" s="1">
        <f t="shared" si="139"/>
        <v>0.57498605340782039</v>
      </c>
      <c r="AV1110" s="1">
        <f t="shared" si="140"/>
        <v>0.42264188296763583</v>
      </c>
      <c r="AW1110" s="1">
        <f t="shared" si="141"/>
        <v>0.27029771252745116</v>
      </c>
    </row>
    <row r="1111" spans="1:49" x14ac:dyDescent="0.2">
      <c r="A1111">
        <v>1109</v>
      </c>
      <c r="B1111" t="s">
        <v>282</v>
      </c>
      <c r="C1111" t="s">
        <v>281</v>
      </c>
      <c r="F1111" t="s">
        <v>280</v>
      </c>
      <c r="G1111" t="s">
        <v>15</v>
      </c>
      <c r="H1111" t="s">
        <v>14</v>
      </c>
      <c r="I1111" t="s">
        <v>279</v>
      </c>
      <c r="J1111">
        <v>60000264</v>
      </c>
      <c r="K1111" t="s">
        <v>278</v>
      </c>
      <c r="L1111" t="s">
        <v>277</v>
      </c>
      <c r="M1111" t="s">
        <v>150</v>
      </c>
      <c r="N1111">
        <v>5</v>
      </c>
      <c r="O1111" t="s">
        <v>276</v>
      </c>
      <c r="P1111" t="s">
        <v>275</v>
      </c>
      <c r="Q1111" t="s">
        <v>274</v>
      </c>
      <c r="R1111" s="7">
        <v>33970</v>
      </c>
      <c r="S1111" s="8">
        <f t="shared" si="136"/>
        <v>1993</v>
      </c>
      <c r="T1111" s="8">
        <v>1993</v>
      </c>
      <c r="U1111" s="8">
        <f t="shared" si="137"/>
        <v>29</v>
      </c>
      <c r="V1111" s="7">
        <v>34001</v>
      </c>
      <c r="W1111" t="s">
        <v>273</v>
      </c>
      <c r="X1111" s="2">
        <v>0.9</v>
      </c>
      <c r="Y1111" s="6">
        <f t="shared" si="142"/>
        <v>2.4024985985424845E-2</v>
      </c>
      <c r="AA1111">
        <v>9630252</v>
      </c>
      <c r="AB1111">
        <v>29614</v>
      </c>
      <c r="AC1111">
        <v>13616595</v>
      </c>
      <c r="AD1111" t="s">
        <v>5</v>
      </c>
      <c r="AE1111">
        <v>2</v>
      </c>
      <c r="AF1111">
        <v>1</v>
      </c>
      <c r="AH1111" s="9">
        <v>44474</v>
      </c>
      <c r="AI1111" t="s">
        <v>272</v>
      </c>
      <c r="AK1111" t="s">
        <v>271</v>
      </c>
      <c r="AL1111">
        <v>149</v>
      </c>
      <c r="AM1111" s="5">
        <f t="shared" si="138"/>
        <v>5.1379310344827589</v>
      </c>
      <c r="AN1111" s="4">
        <f t="shared" si="143"/>
        <v>7.7817963415111836E-3</v>
      </c>
      <c r="AO1111" s="3"/>
      <c r="AP1111">
        <v>0</v>
      </c>
      <c r="AR1111" t="s">
        <v>1</v>
      </c>
      <c r="AT1111" s="2" t="s">
        <v>0</v>
      </c>
      <c r="AU1111" s="1">
        <f t="shared" si="139"/>
        <v>1.9152029092250746</v>
      </c>
      <c r="AV1111" s="1">
        <f t="shared" si="140"/>
        <v>1.5903391163468013</v>
      </c>
      <c r="AW1111" s="1">
        <f t="shared" si="141"/>
        <v>1.2654753234685281</v>
      </c>
    </row>
    <row r="1112" spans="1:49" x14ac:dyDescent="0.2">
      <c r="A1112">
        <v>1110</v>
      </c>
      <c r="B1112" t="s">
        <v>270</v>
      </c>
      <c r="C1112" t="s">
        <v>269</v>
      </c>
      <c r="F1112" t="s">
        <v>268</v>
      </c>
      <c r="G1112" t="s">
        <v>15</v>
      </c>
      <c r="H1112" t="s">
        <v>14</v>
      </c>
      <c r="I1112" t="s">
        <v>267</v>
      </c>
      <c r="J1112">
        <v>60108337</v>
      </c>
      <c r="K1112" t="s">
        <v>61</v>
      </c>
      <c r="L1112" t="s">
        <v>60</v>
      </c>
      <c r="M1112" t="s">
        <v>59</v>
      </c>
      <c r="N1112">
        <v>3</v>
      </c>
      <c r="O1112" t="s">
        <v>266</v>
      </c>
      <c r="P1112" t="s">
        <v>265</v>
      </c>
      <c r="Q1112" t="s">
        <v>264</v>
      </c>
      <c r="R1112" s="7">
        <v>33970</v>
      </c>
      <c r="S1112" s="8">
        <f t="shared" si="136"/>
        <v>1993</v>
      </c>
      <c r="T1112" s="8">
        <v>1993</v>
      </c>
      <c r="U1112" s="8">
        <f t="shared" si="137"/>
        <v>29</v>
      </c>
      <c r="V1112" s="7">
        <v>34060</v>
      </c>
      <c r="W1112" t="s">
        <v>263</v>
      </c>
      <c r="X1112" s="2">
        <v>1.1579999999999999</v>
      </c>
      <c r="Y1112" s="6">
        <f t="shared" si="142"/>
        <v>3.0912148634579962E-2</v>
      </c>
      <c r="AA1112">
        <v>1668595</v>
      </c>
      <c r="AB1112">
        <v>14223</v>
      </c>
      <c r="AC1112">
        <v>15735079</v>
      </c>
      <c r="AD1112" t="s">
        <v>5</v>
      </c>
      <c r="AE1112">
        <v>36</v>
      </c>
      <c r="AF1112">
        <v>1</v>
      </c>
      <c r="AH1112" t="s">
        <v>262</v>
      </c>
      <c r="AI1112" t="s">
        <v>261</v>
      </c>
      <c r="AJ1112" t="s">
        <v>260</v>
      </c>
      <c r="AK1112" t="s">
        <v>259</v>
      </c>
      <c r="AL1112">
        <v>104</v>
      </c>
      <c r="AM1112" s="5">
        <f t="shared" si="138"/>
        <v>3.5862068965517242</v>
      </c>
      <c r="AN1112" s="4">
        <f t="shared" si="143"/>
        <v>5.4315893927326378E-3</v>
      </c>
      <c r="AO1112" s="3"/>
      <c r="AP1112">
        <v>0</v>
      </c>
      <c r="AR1112" t="s">
        <v>1</v>
      </c>
      <c r="AT1112" s="2">
        <v>3.573</v>
      </c>
      <c r="AU1112" s="1">
        <f t="shared" si="139"/>
        <v>2.3267980862025763</v>
      </c>
      <c r="AV1112" s="1">
        <f t="shared" si="140"/>
        <v>1.8171869013656299</v>
      </c>
      <c r="AW1112" s="1">
        <f t="shared" si="141"/>
        <v>1.3075757165286834</v>
      </c>
    </row>
    <row r="1113" spans="1:49" x14ac:dyDescent="0.2">
      <c r="A1113">
        <v>1111</v>
      </c>
      <c r="B1113" t="s">
        <v>258</v>
      </c>
      <c r="C1113" t="s">
        <v>257</v>
      </c>
      <c r="D1113" t="s">
        <v>256</v>
      </c>
      <c r="F1113" t="s">
        <v>255</v>
      </c>
      <c r="G1113" t="s">
        <v>15</v>
      </c>
      <c r="H1113" t="s">
        <v>14</v>
      </c>
      <c r="I1113" t="s">
        <v>254</v>
      </c>
      <c r="J1113" t="s">
        <v>253</v>
      </c>
      <c r="K1113" t="s">
        <v>252</v>
      </c>
      <c r="L1113" t="s">
        <v>251</v>
      </c>
      <c r="M1113" t="s">
        <v>250</v>
      </c>
      <c r="N1113">
        <v>6</v>
      </c>
      <c r="O1113" t="s">
        <v>249</v>
      </c>
      <c r="P1113" t="s">
        <v>248</v>
      </c>
      <c r="Q1113" t="s">
        <v>247</v>
      </c>
      <c r="R1113" s="7">
        <v>33970</v>
      </c>
      <c r="S1113" s="8">
        <f t="shared" si="136"/>
        <v>1993</v>
      </c>
      <c r="T1113" s="8">
        <v>1993</v>
      </c>
      <c r="U1113" s="8">
        <f t="shared" si="137"/>
        <v>29</v>
      </c>
      <c r="V1113" s="7" t="s">
        <v>246</v>
      </c>
      <c r="W1113" t="s">
        <v>245</v>
      </c>
      <c r="X1113" s="2" t="s">
        <v>0</v>
      </c>
      <c r="Y1113" s="6" t="e">
        <f t="shared" si="142"/>
        <v>#VALUE!</v>
      </c>
      <c r="AA1113">
        <v>5848539</v>
      </c>
      <c r="AB1113">
        <v>40500</v>
      </c>
      <c r="AD1113" t="s">
        <v>5</v>
      </c>
      <c r="AE1113">
        <v>49</v>
      </c>
      <c r="AF1113" s="9">
        <v>44352</v>
      </c>
      <c r="AH1113" t="s">
        <v>244</v>
      </c>
      <c r="AI1113" t="s">
        <v>243</v>
      </c>
      <c r="AK1113" t="s">
        <v>242</v>
      </c>
      <c r="AL1113">
        <v>55</v>
      </c>
      <c r="AM1113" s="5">
        <f t="shared" si="138"/>
        <v>1.896551724137931</v>
      </c>
      <c r="AN1113" s="4">
        <f t="shared" si="143"/>
        <v>2.8724751596182221E-3</v>
      </c>
      <c r="AO1113" s="3"/>
      <c r="AP1113">
        <v>0</v>
      </c>
      <c r="AR1113" t="s">
        <v>1</v>
      </c>
      <c r="AT1113" s="2" t="s">
        <v>0</v>
      </c>
      <c r="AU1113" s="1" t="e">
        <f t="shared" si="139"/>
        <v>#VALUE!</v>
      </c>
      <c r="AV1113" s="1" t="e">
        <f t="shared" si="140"/>
        <v>#VALUE!</v>
      </c>
      <c r="AW1113" s="1" t="e">
        <f t="shared" si="141"/>
        <v>#VALUE!</v>
      </c>
    </row>
    <row r="1114" spans="1:49" x14ac:dyDescent="0.2">
      <c r="A1114">
        <v>1112</v>
      </c>
      <c r="B1114" t="s">
        <v>241</v>
      </c>
      <c r="C1114" t="s">
        <v>240</v>
      </c>
      <c r="F1114" t="s">
        <v>239</v>
      </c>
      <c r="G1114" t="s">
        <v>15</v>
      </c>
      <c r="H1114" t="s">
        <v>14</v>
      </c>
      <c r="I1114" t="s">
        <v>238</v>
      </c>
      <c r="J1114" t="s">
        <v>232</v>
      </c>
      <c r="K1114" t="s">
        <v>237</v>
      </c>
      <c r="L1114" t="s">
        <v>236</v>
      </c>
      <c r="M1114" t="s">
        <v>235</v>
      </c>
      <c r="N1114">
        <v>2</v>
      </c>
      <c r="O1114" t="s">
        <v>234</v>
      </c>
      <c r="P1114" t="s">
        <v>233</v>
      </c>
      <c r="Q1114" t="s">
        <v>232</v>
      </c>
      <c r="R1114" s="7">
        <v>33970</v>
      </c>
      <c r="S1114" s="8">
        <f t="shared" si="136"/>
        <v>1993</v>
      </c>
      <c r="T1114" s="8">
        <v>1993</v>
      </c>
      <c r="U1114" s="8">
        <f t="shared" si="137"/>
        <v>29</v>
      </c>
      <c r="V1114" s="7">
        <v>1993</v>
      </c>
      <c r="W1114" t="s">
        <v>231</v>
      </c>
      <c r="X1114" s="2">
        <v>1.78</v>
      </c>
      <c r="Y1114" s="6">
        <f t="shared" si="142"/>
        <v>4.7516083393395803E-2</v>
      </c>
      <c r="AA1114">
        <v>1631829</v>
      </c>
      <c r="AB1114">
        <v>85318</v>
      </c>
      <c r="AD1114" t="s">
        <v>5</v>
      </c>
      <c r="AE1114">
        <v>48</v>
      </c>
      <c r="AF1114">
        <v>8</v>
      </c>
      <c r="AH1114" t="s">
        <v>230</v>
      </c>
      <c r="AI1114" t="s">
        <v>229</v>
      </c>
      <c r="AK1114" t="s">
        <v>228</v>
      </c>
      <c r="AL1114">
        <v>52</v>
      </c>
      <c r="AM1114" s="5">
        <f t="shared" si="138"/>
        <v>1.7931034482758621</v>
      </c>
      <c r="AN1114" s="4">
        <f t="shared" si="143"/>
        <v>2.7157946963663189E-3</v>
      </c>
      <c r="AO1114" s="3"/>
      <c r="AP1114">
        <v>0</v>
      </c>
      <c r="AR1114" t="s">
        <v>1</v>
      </c>
      <c r="AT1114" s="2">
        <v>4.0359999999999996</v>
      </c>
      <c r="AU1114" s="1">
        <f t="shared" si="139"/>
        <v>3.4075996784286953</v>
      </c>
      <c r="AV1114" s="1">
        <f t="shared" si="140"/>
        <v>2.5115939044881062</v>
      </c>
      <c r="AW1114" s="1">
        <f t="shared" si="141"/>
        <v>1.6155881305475164</v>
      </c>
    </row>
    <row r="1115" spans="1:49" x14ac:dyDescent="0.2">
      <c r="A1115">
        <v>1113</v>
      </c>
      <c r="B1115" t="s">
        <v>227</v>
      </c>
      <c r="C1115" t="s">
        <v>226</v>
      </c>
      <c r="D1115" t="s">
        <v>225</v>
      </c>
      <c r="F1115" t="s">
        <v>224</v>
      </c>
      <c r="G1115" t="s">
        <v>15</v>
      </c>
      <c r="H1115" t="s">
        <v>14</v>
      </c>
      <c r="I1115" t="s">
        <v>223</v>
      </c>
      <c r="J1115" t="s">
        <v>222</v>
      </c>
      <c r="K1115" t="s">
        <v>221</v>
      </c>
      <c r="L1115" t="s">
        <v>220</v>
      </c>
      <c r="M1115" t="s">
        <v>219</v>
      </c>
      <c r="N1115">
        <v>5</v>
      </c>
      <c r="O1115" t="s">
        <v>218</v>
      </c>
      <c r="P1115" t="s">
        <v>217</v>
      </c>
      <c r="Q1115" t="s">
        <v>216</v>
      </c>
      <c r="R1115" s="7">
        <v>33970</v>
      </c>
      <c r="S1115" s="8">
        <f t="shared" si="136"/>
        <v>1993</v>
      </c>
      <c r="T1115" s="8">
        <v>1993</v>
      </c>
      <c r="U1115" s="8">
        <f t="shared" si="137"/>
        <v>29</v>
      </c>
      <c r="V1115" s="7">
        <v>1993</v>
      </c>
      <c r="W1115" t="s">
        <v>215</v>
      </c>
      <c r="X1115" s="2">
        <v>1.5249999999999999</v>
      </c>
      <c r="Y1115" s="6">
        <f t="shared" si="142"/>
        <v>4.070900403085876E-2</v>
      </c>
      <c r="AA1115">
        <v>191035</v>
      </c>
      <c r="AB1115">
        <v>27241</v>
      </c>
      <c r="AC1115">
        <v>10902643</v>
      </c>
      <c r="AD1115" t="s">
        <v>5</v>
      </c>
      <c r="AE1115">
        <v>106</v>
      </c>
      <c r="AF1115">
        <v>2</v>
      </c>
      <c r="AH1115" t="s">
        <v>214</v>
      </c>
      <c r="AI1115" t="s">
        <v>213</v>
      </c>
      <c r="AK1115" t="s">
        <v>212</v>
      </c>
      <c r="AL1115">
        <v>9</v>
      </c>
      <c r="AM1115" s="5">
        <f t="shared" si="138"/>
        <v>0.31034482758620691</v>
      </c>
      <c r="AN1115" s="4">
        <f t="shared" si="143"/>
        <v>4.7004138975570908E-4</v>
      </c>
      <c r="AO1115" s="3"/>
      <c r="AP1115">
        <v>0</v>
      </c>
      <c r="AR1115" t="s">
        <v>1</v>
      </c>
      <c r="AT1115" s="2">
        <v>3.508</v>
      </c>
      <c r="AU1115" s="1">
        <f t="shared" si="139"/>
        <v>2.8637315238527838</v>
      </c>
      <c r="AV1115" s="1">
        <f t="shared" si="140"/>
        <v>2.0589522710307238</v>
      </c>
      <c r="AW1115" s="1">
        <f t="shared" si="141"/>
        <v>1.2541730182086623</v>
      </c>
    </row>
    <row r="1116" spans="1:49" x14ac:dyDescent="0.2">
      <c r="A1116">
        <v>1114</v>
      </c>
      <c r="B1116" t="s">
        <v>211</v>
      </c>
      <c r="C1116" t="s">
        <v>210</v>
      </c>
      <c r="F1116" t="s">
        <v>209</v>
      </c>
      <c r="G1116" t="s">
        <v>15</v>
      </c>
      <c r="H1116" t="s">
        <v>14</v>
      </c>
      <c r="I1116" t="s">
        <v>208</v>
      </c>
      <c r="J1116">
        <v>60007566</v>
      </c>
      <c r="K1116" t="s">
        <v>207</v>
      </c>
      <c r="L1116" t="s">
        <v>206</v>
      </c>
      <c r="M1116" t="s">
        <v>10</v>
      </c>
      <c r="N1116">
        <v>2</v>
      </c>
      <c r="O1116" t="s">
        <v>205</v>
      </c>
      <c r="P1116" t="s">
        <v>204</v>
      </c>
      <c r="Q1116" t="s">
        <v>203</v>
      </c>
      <c r="R1116" s="7">
        <v>33970</v>
      </c>
      <c r="S1116" s="8">
        <f t="shared" si="136"/>
        <v>1993</v>
      </c>
      <c r="T1116" s="8">
        <v>1993</v>
      </c>
      <c r="U1116" s="8">
        <f t="shared" si="137"/>
        <v>29</v>
      </c>
      <c r="V1116" s="7">
        <v>1993</v>
      </c>
      <c r="W1116" t="s">
        <v>86</v>
      </c>
      <c r="X1116" s="2">
        <v>3.6880000000000002</v>
      </c>
      <c r="Y1116" s="6">
        <f t="shared" si="142"/>
        <v>9.8449053682496471E-2</v>
      </c>
      <c r="AA1116">
        <v>319007</v>
      </c>
      <c r="AB1116">
        <v>29150</v>
      </c>
      <c r="AD1116" t="s">
        <v>5</v>
      </c>
      <c r="AE1116">
        <v>70</v>
      </c>
      <c r="AF1116">
        <v>16</v>
      </c>
      <c r="AH1116" t="s">
        <v>202</v>
      </c>
      <c r="AI1116" t="s">
        <v>201</v>
      </c>
      <c r="AK1116" t="s">
        <v>200</v>
      </c>
      <c r="AL1116">
        <v>140</v>
      </c>
      <c r="AM1116" s="5">
        <f t="shared" si="138"/>
        <v>4.8275862068965516</v>
      </c>
      <c r="AN1116" s="4">
        <f t="shared" si="143"/>
        <v>7.3117549517554741E-3</v>
      </c>
      <c r="AO1116" s="3"/>
      <c r="AP1116">
        <v>0</v>
      </c>
      <c r="AR1116" t="s">
        <v>1</v>
      </c>
      <c r="AT1116" s="2">
        <v>9.1609999999999996</v>
      </c>
      <c r="AU1116" s="1">
        <f t="shared" si="139"/>
        <v>7.1107864063274171</v>
      </c>
      <c r="AV1116" s="1">
        <f t="shared" si="140"/>
        <v>5.2880404317125969</v>
      </c>
      <c r="AW1116" s="1">
        <f t="shared" si="141"/>
        <v>3.4652944570977771</v>
      </c>
    </row>
    <row r="1117" spans="1:49" x14ac:dyDescent="0.2">
      <c r="A1117">
        <v>1115</v>
      </c>
      <c r="B1117" t="s">
        <v>199</v>
      </c>
      <c r="C1117" t="s">
        <v>198</v>
      </c>
      <c r="F1117" t="s">
        <v>197</v>
      </c>
      <c r="G1117" t="s">
        <v>15</v>
      </c>
      <c r="H1117" t="s">
        <v>14</v>
      </c>
      <c r="I1117" t="s">
        <v>196</v>
      </c>
      <c r="J1117">
        <v>60018020</v>
      </c>
      <c r="K1117" t="s">
        <v>195</v>
      </c>
      <c r="L1117" t="s">
        <v>194</v>
      </c>
      <c r="M1117" t="s">
        <v>10</v>
      </c>
      <c r="N1117">
        <v>1</v>
      </c>
      <c r="O1117" t="s">
        <v>193</v>
      </c>
      <c r="P1117">
        <v>56144605100</v>
      </c>
      <c r="Q1117">
        <v>60018020</v>
      </c>
      <c r="R1117" s="7">
        <v>33970</v>
      </c>
      <c r="S1117" s="8">
        <f t="shared" si="136"/>
        <v>1993</v>
      </c>
      <c r="T1117" s="8">
        <v>1993</v>
      </c>
      <c r="U1117" s="8">
        <f t="shared" si="137"/>
        <v>29</v>
      </c>
      <c r="V1117" s="7">
        <v>1993</v>
      </c>
      <c r="W1117" t="s">
        <v>192</v>
      </c>
      <c r="X1117" s="2">
        <v>1.1879999999999999</v>
      </c>
      <c r="Y1117" s="6">
        <f t="shared" si="142"/>
        <v>3.1712981500760788E-2</v>
      </c>
      <c r="AA1117">
        <v>8998221</v>
      </c>
      <c r="AB1117">
        <v>8900153323</v>
      </c>
      <c r="AD1117" t="s">
        <v>5</v>
      </c>
      <c r="AE1117">
        <v>5</v>
      </c>
      <c r="AF1117">
        <v>2</v>
      </c>
      <c r="AH1117" t="s">
        <v>191</v>
      </c>
      <c r="AI1117" t="s">
        <v>190</v>
      </c>
      <c r="AK1117" t="s">
        <v>189</v>
      </c>
      <c r="AL1117">
        <v>102</v>
      </c>
      <c r="AM1117" s="5">
        <f t="shared" si="138"/>
        <v>3.5172413793103448</v>
      </c>
      <c r="AN1117" s="4">
        <f t="shared" si="143"/>
        <v>5.3271357505647026E-3</v>
      </c>
      <c r="AO1117" s="3"/>
      <c r="AP1117">
        <v>0</v>
      </c>
      <c r="AR1117" t="s">
        <v>1</v>
      </c>
      <c r="AT1117" s="2" t="s">
        <v>0</v>
      </c>
      <c r="AU1117" s="1">
        <f t="shared" si="139"/>
        <v>2.3797227775701963</v>
      </c>
      <c r="AV1117" s="1">
        <f t="shared" si="140"/>
        <v>1.8520058625662745</v>
      </c>
      <c r="AW1117" s="1">
        <f t="shared" si="141"/>
        <v>1.3242889475623527</v>
      </c>
    </row>
    <row r="1118" spans="1:49" x14ac:dyDescent="0.2">
      <c r="A1118">
        <v>1116</v>
      </c>
      <c r="B1118" t="s">
        <v>188</v>
      </c>
      <c r="C1118" t="s">
        <v>187</v>
      </c>
      <c r="D1118" t="s">
        <v>186</v>
      </c>
      <c r="F1118" t="s">
        <v>185</v>
      </c>
      <c r="G1118" t="s">
        <v>15</v>
      </c>
      <c r="H1118" t="s">
        <v>14</v>
      </c>
      <c r="I1118" t="s">
        <v>184</v>
      </c>
      <c r="J1118" t="s">
        <v>183</v>
      </c>
      <c r="K1118" t="s">
        <v>182</v>
      </c>
      <c r="L1118" t="s">
        <v>181</v>
      </c>
      <c r="M1118" t="s">
        <v>180</v>
      </c>
      <c r="N1118">
        <v>6</v>
      </c>
      <c r="O1118" t="s">
        <v>179</v>
      </c>
      <c r="P1118" t="s">
        <v>178</v>
      </c>
      <c r="Q1118" t="s">
        <v>177</v>
      </c>
      <c r="R1118" s="7">
        <v>33970</v>
      </c>
      <c r="S1118" s="8">
        <f t="shared" si="136"/>
        <v>1993</v>
      </c>
      <c r="T1118" s="8">
        <v>1993</v>
      </c>
      <c r="U1118" s="8">
        <f t="shared" si="137"/>
        <v>29</v>
      </c>
      <c r="V1118" s="7">
        <v>34243</v>
      </c>
      <c r="W1118" t="s">
        <v>70</v>
      </c>
      <c r="X1118" s="2">
        <v>1.718</v>
      </c>
      <c r="Y1118" s="6">
        <f t="shared" si="142"/>
        <v>4.5861028803288753E-2</v>
      </c>
      <c r="AA1118">
        <v>9651748</v>
      </c>
      <c r="AB1118">
        <v>20384</v>
      </c>
      <c r="AD1118" t="s">
        <v>5</v>
      </c>
      <c r="AE1118">
        <v>23</v>
      </c>
      <c r="AF1118">
        <v>7</v>
      </c>
      <c r="AH1118" t="s">
        <v>176</v>
      </c>
      <c r="AI1118" t="s">
        <v>175</v>
      </c>
      <c r="AJ1118" t="s">
        <v>174</v>
      </c>
      <c r="AK1118" t="s">
        <v>173</v>
      </c>
      <c r="AL1118">
        <v>60</v>
      </c>
      <c r="AM1118" s="5">
        <f t="shared" si="138"/>
        <v>2.0689655172413794</v>
      </c>
      <c r="AN1118" s="4">
        <f t="shared" si="143"/>
        <v>3.1336092650380604E-3</v>
      </c>
      <c r="AO1118" s="3"/>
      <c r="AP1118">
        <v>0</v>
      </c>
      <c r="AQ1118" t="s">
        <v>172</v>
      </c>
      <c r="AR1118" t="s">
        <v>171</v>
      </c>
      <c r="AS1118" t="s">
        <v>170</v>
      </c>
      <c r="AT1118" s="2" t="s">
        <v>0</v>
      </c>
      <c r="AU1118" s="1">
        <f t="shared" si="139"/>
        <v>3.3042802941813538</v>
      </c>
      <c r="AV1118" s="1">
        <f t="shared" si="140"/>
        <v>2.4497319034163407</v>
      </c>
      <c r="AW1118" s="1">
        <f t="shared" si="141"/>
        <v>1.5951835126513265</v>
      </c>
    </row>
    <row r="1119" spans="1:49" x14ac:dyDescent="0.2">
      <c r="A1119">
        <v>1117</v>
      </c>
      <c r="B1119" t="s">
        <v>169</v>
      </c>
      <c r="C1119" t="s">
        <v>168</v>
      </c>
      <c r="F1119" t="s">
        <v>167</v>
      </c>
      <c r="G1119" t="s">
        <v>15</v>
      </c>
      <c r="H1119" t="s">
        <v>14</v>
      </c>
      <c r="I1119" t="s">
        <v>166</v>
      </c>
      <c r="J1119">
        <v>60007776</v>
      </c>
      <c r="K1119" t="s">
        <v>165</v>
      </c>
      <c r="L1119" t="s">
        <v>164</v>
      </c>
      <c r="M1119" t="s">
        <v>10</v>
      </c>
      <c r="N1119">
        <v>4</v>
      </c>
      <c r="O1119" t="s">
        <v>163</v>
      </c>
      <c r="P1119" t="s">
        <v>162</v>
      </c>
      <c r="Q1119" t="s">
        <v>161</v>
      </c>
      <c r="R1119" s="7">
        <v>33970</v>
      </c>
      <c r="S1119" s="8">
        <f t="shared" si="136"/>
        <v>1993</v>
      </c>
      <c r="T1119" s="8">
        <v>1993</v>
      </c>
      <c r="U1119" s="8">
        <f t="shared" si="137"/>
        <v>29</v>
      </c>
      <c r="V1119" s="7">
        <v>34264</v>
      </c>
      <c r="W1119" t="s">
        <v>160</v>
      </c>
      <c r="X1119" s="2">
        <v>2.0070000000000001</v>
      </c>
      <c r="Y1119" s="6">
        <f t="shared" si="142"/>
        <v>5.3575718747497406E-2</v>
      </c>
      <c r="AA1119">
        <v>948276</v>
      </c>
      <c r="AB1119">
        <v>27962</v>
      </c>
      <c r="AC1119">
        <v>19448007</v>
      </c>
      <c r="AD1119" t="s">
        <v>5</v>
      </c>
      <c r="AE1119">
        <v>20</v>
      </c>
      <c r="AF1119">
        <v>20</v>
      </c>
      <c r="AH1119" t="s">
        <v>159</v>
      </c>
      <c r="AI1119" t="s">
        <v>158</v>
      </c>
      <c r="AK1119" t="s">
        <v>157</v>
      </c>
      <c r="AL1119">
        <v>35</v>
      </c>
      <c r="AM1119" s="5">
        <f t="shared" si="138"/>
        <v>1.2068965517241379</v>
      </c>
      <c r="AN1119" s="4">
        <f t="shared" si="143"/>
        <v>1.8279387379388685E-3</v>
      </c>
      <c r="AO1119" s="3"/>
      <c r="AP1119">
        <v>0</v>
      </c>
      <c r="AR1119" t="s">
        <v>1</v>
      </c>
      <c r="AT1119" s="2">
        <v>4.72</v>
      </c>
      <c r="AU1119" s="1">
        <f t="shared" si="139"/>
        <v>3.8051384744629844</v>
      </c>
      <c r="AV1119" s="1">
        <f t="shared" si="140"/>
        <v>2.7701828742718138</v>
      </c>
      <c r="AW1119" s="1">
        <f t="shared" si="141"/>
        <v>1.7352272740806429</v>
      </c>
    </row>
    <row r="1120" spans="1:49" x14ac:dyDescent="0.2">
      <c r="A1120">
        <v>1118</v>
      </c>
      <c r="B1120" t="s">
        <v>156</v>
      </c>
      <c r="C1120" t="s">
        <v>155</v>
      </c>
      <c r="F1120" t="s">
        <v>154</v>
      </c>
      <c r="G1120" t="s">
        <v>15</v>
      </c>
      <c r="H1120" t="s">
        <v>14</v>
      </c>
      <c r="I1120" t="s">
        <v>153</v>
      </c>
      <c r="J1120">
        <v>60025272</v>
      </c>
      <c r="K1120" t="s">
        <v>152</v>
      </c>
      <c r="L1120" t="s">
        <v>151</v>
      </c>
      <c r="M1120" t="s">
        <v>150</v>
      </c>
      <c r="N1120">
        <v>1</v>
      </c>
      <c r="O1120" t="s">
        <v>149</v>
      </c>
      <c r="P1120">
        <v>57211309840</v>
      </c>
      <c r="Q1120">
        <v>60025272</v>
      </c>
      <c r="R1120" s="7">
        <v>33970</v>
      </c>
      <c r="S1120" s="8">
        <f t="shared" si="136"/>
        <v>1993</v>
      </c>
      <c r="T1120" s="8">
        <v>1993</v>
      </c>
      <c r="U1120" s="8">
        <f t="shared" si="137"/>
        <v>29</v>
      </c>
      <c r="V1120" s="7">
        <v>1993</v>
      </c>
      <c r="W1120" t="s">
        <v>148</v>
      </c>
      <c r="X1120" s="2">
        <v>0.51100000000000001</v>
      </c>
      <c r="Y1120" s="6">
        <f t="shared" si="142"/>
        <v>1.3640853153946772E-2</v>
      </c>
      <c r="AA1120">
        <v>222933</v>
      </c>
      <c r="AB1120">
        <v>29630</v>
      </c>
      <c r="AC1120">
        <v>14645262</v>
      </c>
      <c r="AD1120" t="s">
        <v>5</v>
      </c>
      <c r="AE1120">
        <v>27</v>
      </c>
      <c r="AF1120">
        <v>4</v>
      </c>
      <c r="AH1120" t="s">
        <v>147</v>
      </c>
      <c r="AI1120" t="s">
        <v>146</v>
      </c>
      <c r="AJ1120" t="s">
        <v>145</v>
      </c>
      <c r="AK1120" t="s">
        <v>144</v>
      </c>
      <c r="AL1120">
        <v>58</v>
      </c>
      <c r="AM1120" s="5">
        <f t="shared" si="138"/>
        <v>2</v>
      </c>
      <c r="AN1120" s="4">
        <f t="shared" si="143"/>
        <v>3.0291556228701248E-3</v>
      </c>
      <c r="AO1120" s="3"/>
      <c r="AP1120">
        <v>0</v>
      </c>
      <c r="AR1120" t="s">
        <v>1</v>
      </c>
      <c r="AS1120" t="s">
        <v>143</v>
      </c>
      <c r="AT1120" s="2">
        <v>1.016</v>
      </c>
      <c r="AU1120" s="1">
        <f t="shared" si="139"/>
        <v>1.0457343894623776</v>
      </c>
      <c r="AV1120" s="1">
        <f t="shared" si="140"/>
        <v>0.83350043884084479</v>
      </c>
      <c r="AW1120" s="1">
        <f t="shared" si="141"/>
        <v>0.62126648821931185</v>
      </c>
    </row>
    <row r="1121" spans="1:49" x14ac:dyDescent="0.2">
      <c r="A1121">
        <v>1119</v>
      </c>
      <c r="B1121" t="s">
        <v>142</v>
      </c>
      <c r="C1121" t="s">
        <v>141</v>
      </c>
      <c r="F1121" t="s">
        <v>140</v>
      </c>
      <c r="G1121" t="s">
        <v>15</v>
      </c>
      <c r="H1121" t="s">
        <v>14</v>
      </c>
      <c r="I1121" t="s">
        <v>139</v>
      </c>
      <c r="J1121" t="s">
        <v>138</v>
      </c>
      <c r="K1121" t="s">
        <v>137</v>
      </c>
      <c r="L1121" t="s">
        <v>136</v>
      </c>
      <c r="M1121" t="s">
        <v>135</v>
      </c>
      <c r="N1121">
        <v>6</v>
      </c>
      <c r="O1121" t="s">
        <v>134</v>
      </c>
      <c r="P1121" t="s">
        <v>133</v>
      </c>
      <c r="Q1121" t="s">
        <v>132</v>
      </c>
      <c r="R1121" s="7">
        <v>33970</v>
      </c>
      <c r="S1121" s="8">
        <f t="shared" si="136"/>
        <v>1993</v>
      </c>
      <c r="T1121" s="8">
        <v>1993</v>
      </c>
      <c r="U1121" s="8">
        <f t="shared" si="137"/>
        <v>29</v>
      </c>
      <c r="V1121" s="7">
        <v>1993</v>
      </c>
      <c r="W1121" t="s">
        <v>131</v>
      </c>
      <c r="X1121" s="2">
        <v>1.641</v>
      </c>
      <c r="Y1121" s="6">
        <f t="shared" si="142"/>
        <v>4.3805557780091299E-2</v>
      </c>
      <c r="AA1121">
        <v>223654</v>
      </c>
      <c r="AB1121">
        <v>30422</v>
      </c>
      <c r="AD1121" t="s">
        <v>5</v>
      </c>
      <c r="AE1121">
        <v>97</v>
      </c>
      <c r="AF1121">
        <v>44</v>
      </c>
      <c r="AH1121" t="s">
        <v>130</v>
      </c>
      <c r="AI1121" t="s">
        <v>129</v>
      </c>
      <c r="AK1121" t="s">
        <v>128</v>
      </c>
      <c r="AL1121">
        <v>42</v>
      </c>
      <c r="AM1121" s="5">
        <f t="shared" si="138"/>
        <v>1.4482758620689655</v>
      </c>
      <c r="AN1121" s="4">
        <f t="shared" si="143"/>
        <v>2.1935264855266422E-3</v>
      </c>
      <c r="AO1121" s="3"/>
      <c r="AP1121">
        <v>0</v>
      </c>
      <c r="AR1121" t="s">
        <v>1</v>
      </c>
      <c r="AT1121" s="2" t="s">
        <v>0</v>
      </c>
      <c r="AU1121" s="1">
        <f t="shared" si="139"/>
        <v>3.1321948391721901</v>
      </c>
      <c r="AV1121" s="1">
        <f t="shared" si="140"/>
        <v>2.299954213280897</v>
      </c>
      <c r="AW1121" s="1">
        <f t="shared" si="141"/>
        <v>1.4677135873896039</v>
      </c>
    </row>
    <row r="1122" spans="1:49" x14ac:dyDescent="0.2">
      <c r="A1122">
        <v>1120</v>
      </c>
      <c r="B1122" t="s">
        <v>127</v>
      </c>
      <c r="C1122" t="s">
        <v>126</v>
      </c>
      <c r="D1122" t="s">
        <v>125</v>
      </c>
      <c r="F1122" t="s">
        <v>124</v>
      </c>
      <c r="G1122" t="s">
        <v>15</v>
      </c>
      <c r="H1122" t="s">
        <v>14</v>
      </c>
      <c r="I1122" t="s">
        <v>123</v>
      </c>
      <c r="J1122">
        <v>60029170</v>
      </c>
      <c r="K1122" t="s">
        <v>122</v>
      </c>
      <c r="L1122" t="s">
        <v>121</v>
      </c>
      <c r="M1122" t="s">
        <v>120</v>
      </c>
      <c r="N1122">
        <v>3</v>
      </c>
      <c r="O1122" t="s">
        <v>119</v>
      </c>
      <c r="P1122" t="s">
        <v>118</v>
      </c>
      <c r="Q1122" t="s">
        <v>117</v>
      </c>
      <c r="R1122" s="7">
        <v>33970</v>
      </c>
      <c r="S1122" s="8">
        <f t="shared" si="136"/>
        <v>1993</v>
      </c>
      <c r="T1122" s="8">
        <v>1993</v>
      </c>
      <c r="U1122" s="8">
        <f t="shared" si="137"/>
        <v>29</v>
      </c>
      <c r="V1122" s="7">
        <v>34029</v>
      </c>
      <c r="W1122" t="s">
        <v>38</v>
      </c>
      <c r="X1122" s="2">
        <v>0.89900000000000002</v>
      </c>
      <c r="Y1122" s="6">
        <f t="shared" si="142"/>
        <v>2.399829155655215E-2</v>
      </c>
      <c r="AA1122">
        <v>221910</v>
      </c>
      <c r="AB1122">
        <v>20487</v>
      </c>
      <c r="AD1122" t="s">
        <v>5</v>
      </c>
      <c r="AE1122">
        <v>39</v>
      </c>
      <c r="AF1122">
        <v>3</v>
      </c>
      <c r="AH1122" t="s">
        <v>116</v>
      </c>
      <c r="AI1122" t="s">
        <v>115</v>
      </c>
      <c r="AJ1122" t="s">
        <v>114</v>
      </c>
      <c r="AK1122" t="s">
        <v>113</v>
      </c>
      <c r="AL1122">
        <v>136</v>
      </c>
      <c r="AM1122" s="5">
        <f t="shared" si="138"/>
        <v>4.6896551724137927</v>
      </c>
      <c r="AN1122" s="4">
        <f t="shared" si="143"/>
        <v>7.1028476674196029E-3</v>
      </c>
      <c r="AO1122" s="3"/>
      <c r="AP1122">
        <v>0</v>
      </c>
      <c r="AR1122" t="s">
        <v>1</v>
      </c>
      <c r="AT1122" s="2">
        <v>2.3540000000000001</v>
      </c>
      <c r="AU1122" s="1">
        <f t="shared" si="139"/>
        <v>1.8929658389812383</v>
      </c>
      <c r="AV1122" s="1">
        <f t="shared" si="140"/>
        <v>1.5550569611985876</v>
      </c>
      <c r="AW1122" s="1">
        <f t="shared" si="141"/>
        <v>1.2171480834159365</v>
      </c>
    </row>
    <row r="1123" spans="1:49" x14ac:dyDescent="0.2">
      <c r="A1123">
        <v>1121</v>
      </c>
      <c r="B1123" t="s">
        <v>112</v>
      </c>
      <c r="C1123" t="s">
        <v>111</v>
      </c>
      <c r="D1123" t="s">
        <v>110</v>
      </c>
      <c r="F1123" t="s">
        <v>109</v>
      </c>
      <c r="G1123" t="s">
        <v>15</v>
      </c>
      <c r="H1123" t="s">
        <v>14</v>
      </c>
      <c r="I1123" t="s">
        <v>108</v>
      </c>
      <c r="J1123" t="s">
        <v>107</v>
      </c>
      <c r="K1123" t="s">
        <v>106</v>
      </c>
      <c r="L1123" t="s">
        <v>105</v>
      </c>
      <c r="M1123" t="s">
        <v>104</v>
      </c>
      <c r="N1123">
        <v>3</v>
      </c>
      <c r="O1123" t="s">
        <v>103</v>
      </c>
      <c r="P1123" t="s">
        <v>102</v>
      </c>
      <c r="Q1123" t="s">
        <v>101</v>
      </c>
      <c r="R1123" s="7">
        <v>33970</v>
      </c>
      <c r="S1123" s="8">
        <f t="shared" si="136"/>
        <v>1993</v>
      </c>
      <c r="T1123" s="8">
        <v>1993</v>
      </c>
      <c r="U1123" s="8">
        <f t="shared" si="137"/>
        <v>29</v>
      </c>
      <c r="V1123" s="7">
        <v>34121</v>
      </c>
      <c r="W1123" t="s">
        <v>38</v>
      </c>
      <c r="X1123" s="2">
        <v>0.89900000000000002</v>
      </c>
      <c r="Y1123" s="6">
        <f t="shared" si="142"/>
        <v>2.399829155655215E-2</v>
      </c>
      <c r="AA1123">
        <v>221910</v>
      </c>
      <c r="AB1123">
        <v>20487</v>
      </c>
      <c r="AD1123" t="s">
        <v>5</v>
      </c>
      <c r="AE1123">
        <v>39</v>
      </c>
      <c r="AF1123">
        <v>6</v>
      </c>
      <c r="AH1123" t="s">
        <v>100</v>
      </c>
      <c r="AI1123" t="s">
        <v>99</v>
      </c>
      <c r="AJ1123" t="s">
        <v>98</v>
      </c>
      <c r="AK1123" t="s">
        <v>97</v>
      </c>
      <c r="AL1123">
        <v>64</v>
      </c>
      <c r="AM1123" s="5">
        <f t="shared" si="138"/>
        <v>2.2068965517241379</v>
      </c>
      <c r="AN1123" s="4">
        <f t="shared" si="143"/>
        <v>3.3425165493739311E-3</v>
      </c>
      <c r="AO1123" s="3"/>
      <c r="AP1123">
        <v>0</v>
      </c>
      <c r="AR1123" t="s">
        <v>1</v>
      </c>
      <c r="AT1123" s="2">
        <v>2.3540000000000001</v>
      </c>
      <c r="AU1123" s="1">
        <f t="shared" si="139"/>
        <v>1.7801559054398681</v>
      </c>
      <c r="AV1123" s="1">
        <f t="shared" si="140"/>
        <v>1.3670404052963041</v>
      </c>
      <c r="AW1123" s="1">
        <f t="shared" si="141"/>
        <v>0.95392490515273964</v>
      </c>
    </row>
    <row r="1124" spans="1:49" x14ac:dyDescent="0.2">
      <c r="A1124">
        <v>1122</v>
      </c>
      <c r="B1124" t="s">
        <v>96</v>
      </c>
      <c r="C1124" t="s">
        <v>95</v>
      </c>
      <c r="F1124" t="s">
        <v>94</v>
      </c>
      <c r="G1124" t="s">
        <v>15</v>
      </c>
      <c r="H1124" t="s">
        <v>14</v>
      </c>
      <c r="I1124" t="s">
        <v>93</v>
      </c>
      <c r="J1124" t="s">
        <v>92</v>
      </c>
      <c r="K1124" t="s">
        <v>91</v>
      </c>
      <c r="L1124" t="s">
        <v>90</v>
      </c>
      <c r="M1124" t="s">
        <v>26</v>
      </c>
      <c r="N1124">
        <v>5</v>
      </c>
      <c r="O1124" t="s">
        <v>89</v>
      </c>
      <c r="P1124" t="s">
        <v>88</v>
      </c>
      <c r="Q1124" t="s">
        <v>87</v>
      </c>
      <c r="R1124" s="7">
        <v>33970</v>
      </c>
      <c r="S1124" s="8">
        <f t="shared" si="136"/>
        <v>1993</v>
      </c>
      <c r="T1124" s="8">
        <v>1993</v>
      </c>
      <c r="U1124" s="8">
        <f t="shared" si="137"/>
        <v>29</v>
      </c>
      <c r="V1124" s="7">
        <v>1993</v>
      </c>
      <c r="W1124" t="s">
        <v>86</v>
      </c>
      <c r="X1124" s="2">
        <v>3.6880000000000002</v>
      </c>
      <c r="Y1124" s="6">
        <f t="shared" si="142"/>
        <v>9.8449053682496471E-2</v>
      </c>
      <c r="AA1124">
        <v>319007</v>
      </c>
      <c r="AB1124">
        <v>29150</v>
      </c>
      <c r="AD1124" t="s">
        <v>5</v>
      </c>
      <c r="AE1124">
        <v>71</v>
      </c>
      <c r="AF1124">
        <v>25</v>
      </c>
      <c r="AH1124" t="s">
        <v>85</v>
      </c>
      <c r="AI1124" t="s">
        <v>84</v>
      </c>
      <c r="AK1124" t="s">
        <v>83</v>
      </c>
      <c r="AL1124">
        <v>26</v>
      </c>
      <c r="AM1124" s="5">
        <f t="shared" si="138"/>
        <v>0.89655172413793105</v>
      </c>
      <c r="AN1124" s="4">
        <f t="shared" si="143"/>
        <v>1.3578973481831594E-3</v>
      </c>
      <c r="AO1124" s="3"/>
      <c r="AP1124">
        <v>0</v>
      </c>
      <c r="AR1124" t="s">
        <v>1</v>
      </c>
      <c r="AT1124" s="2">
        <v>9.1609999999999996</v>
      </c>
      <c r="AU1124" s="1">
        <f t="shared" si="139"/>
        <v>6.9321706782202464</v>
      </c>
      <c r="AV1124" s="1">
        <f t="shared" si="140"/>
        <v>4.9903475515339819</v>
      </c>
      <c r="AW1124" s="1">
        <f t="shared" si="141"/>
        <v>3.0485244248477152</v>
      </c>
    </row>
    <row r="1125" spans="1:49" x14ac:dyDescent="0.2">
      <c r="A1125">
        <v>1123</v>
      </c>
      <c r="B1125" t="s">
        <v>82</v>
      </c>
      <c r="C1125" t="s">
        <v>81</v>
      </c>
      <c r="D1125" t="s">
        <v>80</v>
      </c>
      <c r="F1125" t="s">
        <v>79</v>
      </c>
      <c r="G1125" t="s">
        <v>15</v>
      </c>
      <c r="H1125" t="s">
        <v>14</v>
      </c>
      <c r="I1125" t="s">
        <v>78</v>
      </c>
      <c r="J1125" t="s">
        <v>77</v>
      </c>
      <c r="K1125" t="s">
        <v>76</v>
      </c>
      <c r="L1125" t="s">
        <v>75</v>
      </c>
      <c r="M1125" t="s">
        <v>74</v>
      </c>
      <c r="N1125">
        <v>4</v>
      </c>
      <c r="O1125" t="s">
        <v>73</v>
      </c>
      <c r="P1125" t="s">
        <v>72</v>
      </c>
      <c r="Q1125" t="s">
        <v>71</v>
      </c>
      <c r="R1125" s="7">
        <v>33970</v>
      </c>
      <c r="S1125" s="8">
        <f t="shared" si="136"/>
        <v>1993</v>
      </c>
      <c r="T1125" s="8">
        <v>1993</v>
      </c>
      <c r="U1125" s="8">
        <f t="shared" si="137"/>
        <v>29</v>
      </c>
      <c r="V1125" s="7">
        <v>34029</v>
      </c>
      <c r="W1125" t="s">
        <v>70</v>
      </c>
      <c r="X1125" s="2">
        <v>1.718</v>
      </c>
      <c r="Y1125" s="6">
        <f t="shared" si="142"/>
        <v>4.5861028803288753E-2</v>
      </c>
      <c r="AA1125">
        <v>9651748</v>
      </c>
      <c r="AB1125">
        <v>20384</v>
      </c>
      <c r="AD1125" t="s">
        <v>5</v>
      </c>
      <c r="AE1125">
        <v>23</v>
      </c>
      <c r="AF1125">
        <v>2</v>
      </c>
      <c r="AH1125" t="s">
        <v>69</v>
      </c>
      <c r="AI1125" t="s">
        <v>68</v>
      </c>
      <c r="AJ1125" t="s">
        <v>67</v>
      </c>
      <c r="AK1125" t="s">
        <v>66</v>
      </c>
      <c r="AL1125">
        <v>85</v>
      </c>
      <c r="AM1125" s="5">
        <f t="shared" si="138"/>
        <v>2.9310344827586206</v>
      </c>
      <c r="AN1125" s="4">
        <f t="shared" si="143"/>
        <v>4.4392797921372516E-3</v>
      </c>
      <c r="AO1125" s="3"/>
      <c r="AP1125">
        <v>0</v>
      </c>
      <c r="AR1125" t="s">
        <v>1</v>
      </c>
      <c r="AT1125" s="2" t="s">
        <v>0</v>
      </c>
      <c r="AU1125" s="1">
        <f t="shared" si="139"/>
        <v>3.3434504099943299</v>
      </c>
      <c r="AV1125" s="1">
        <f t="shared" si="140"/>
        <v>2.5150154297713003</v>
      </c>
      <c r="AW1125" s="1">
        <f t="shared" si="141"/>
        <v>1.6865804495482701</v>
      </c>
    </row>
    <row r="1126" spans="1:49" x14ac:dyDescent="0.2">
      <c r="A1126">
        <v>1124</v>
      </c>
      <c r="B1126" t="s">
        <v>65</v>
      </c>
      <c r="C1126" t="s">
        <v>64</v>
      </c>
      <c r="F1126" t="s">
        <v>63</v>
      </c>
      <c r="G1126" t="s">
        <v>15</v>
      </c>
      <c r="H1126" t="s">
        <v>14</v>
      </c>
      <c r="I1126" t="s">
        <v>62</v>
      </c>
      <c r="J1126">
        <v>60108337</v>
      </c>
      <c r="K1126" t="s">
        <v>61</v>
      </c>
      <c r="L1126" t="s">
        <v>60</v>
      </c>
      <c r="M1126" t="s">
        <v>59</v>
      </c>
      <c r="N1126">
        <v>2</v>
      </c>
      <c r="O1126" t="s">
        <v>58</v>
      </c>
      <c r="P1126" t="s">
        <v>57</v>
      </c>
      <c r="Q1126" t="s">
        <v>56</v>
      </c>
      <c r="R1126" s="7">
        <v>33970</v>
      </c>
      <c r="S1126" s="8">
        <f t="shared" si="136"/>
        <v>1993</v>
      </c>
      <c r="T1126" s="8">
        <v>1993</v>
      </c>
      <c r="U1126" s="8">
        <f t="shared" si="137"/>
        <v>29</v>
      </c>
      <c r="V1126" s="7">
        <v>34213</v>
      </c>
      <c r="W1126" t="s">
        <v>55</v>
      </c>
      <c r="X1126" s="2">
        <v>0.8</v>
      </c>
      <c r="Y1126" s="6">
        <f t="shared" si="142"/>
        <v>2.1355543098155415E-2</v>
      </c>
      <c r="AA1126">
        <v>3407594</v>
      </c>
      <c r="AB1126">
        <v>23456</v>
      </c>
      <c r="AC1126">
        <v>14321351</v>
      </c>
      <c r="AD1126" t="s">
        <v>5</v>
      </c>
      <c r="AE1126">
        <v>173</v>
      </c>
      <c r="AF1126">
        <v>3</v>
      </c>
      <c r="AH1126" t="s">
        <v>54</v>
      </c>
      <c r="AI1126" t="s">
        <v>53</v>
      </c>
      <c r="AJ1126" t="s">
        <v>52</v>
      </c>
      <c r="AK1126" t="s">
        <v>51</v>
      </c>
      <c r="AL1126">
        <v>53</v>
      </c>
      <c r="AM1126" s="5">
        <f t="shared" si="138"/>
        <v>1.8275862068965518</v>
      </c>
      <c r="AN1126" s="4">
        <f t="shared" si="143"/>
        <v>2.7680215174502869E-3</v>
      </c>
      <c r="AO1126" s="3"/>
      <c r="AP1126">
        <v>0</v>
      </c>
      <c r="AR1126" t="s">
        <v>1</v>
      </c>
      <c r="AT1126" s="2" t="s">
        <v>0</v>
      </c>
      <c r="AU1126" s="1">
        <f t="shared" si="139"/>
        <v>1.5779286623943876</v>
      </c>
      <c r="AV1126" s="1">
        <f t="shared" si="140"/>
        <v>1.2061782307802851</v>
      </c>
      <c r="AW1126" s="1">
        <f t="shared" si="141"/>
        <v>0.83442779916618248</v>
      </c>
    </row>
    <row r="1127" spans="1:49" x14ac:dyDescent="0.2">
      <c r="A1127">
        <v>1125</v>
      </c>
      <c r="B1127" t="s">
        <v>50</v>
      </c>
      <c r="C1127" t="s">
        <v>49</v>
      </c>
      <c r="D1127" t="s">
        <v>48</v>
      </c>
      <c r="F1127" t="s">
        <v>47</v>
      </c>
      <c r="G1127" t="s">
        <v>15</v>
      </c>
      <c r="H1127" t="s">
        <v>14</v>
      </c>
      <c r="I1127" t="s">
        <v>46</v>
      </c>
      <c r="J1127" t="s">
        <v>45</v>
      </c>
      <c r="K1127" t="s">
        <v>44</v>
      </c>
      <c r="L1127" t="s">
        <v>43</v>
      </c>
      <c r="M1127" t="s">
        <v>42</v>
      </c>
      <c r="N1127">
        <v>6</v>
      </c>
      <c r="O1127" t="s">
        <v>41</v>
      </c>
      <c r="P1127" t="s">
        <v>40</v>
      </c>
      <c r="Q1127" t="s">
        <v>39</v>
      </c>
      <c r="R1127" s="7">
        <v>33970</v>
      </c>
      <c r="S1127" s="8">
        <f t="shared" si="136"/>
        <v>1993</v>
      </c>
      <c r="T1127" s="8">
        <v>1993</v>
      </c>
      <c r="U1127" s="8">
        <f t="shared" si="137"/>
        <v>29</v>
      </c>
      <c r="V1127" s="7">
        <v>34001</v>
      </c>
      <c r="W1127" t="s">
        <v>38</v>
      </c>
      <c r="X1127" s="2">
        <v>0.89900000000000002</v>
      </c>
      <c r="Y1127" s="6">
        <f t="shared" si="142"/>
        <v>2.399829155655215E-2</v>
      </c>
      <c r="AA1127">
        <v>221910</v>
      </c>
      <c r="AB1127">
        <v>20487</v>
      </c>
      <c r="AD1127" t="s">
        <v>5</v>
      </c>
      <c r="AE1127">
        <v>39</v>
      </c>
      <c r="AF1127">
        <v>2</v>
      </c>
      <c r="AH1127" t="s">
        <v>37</v>
      </c>
      <c r="AI1127" t="s">
        <v>36</v>
      </c>
      <c r="AJ1127" t="s">
        <v>35</v>
      </c>
      <c r="AK1127" t="s">
        <v>34</v>
      </c>
      <c r="AL1127">
        <v>87</v>
      </c>
      <c r="AM1127" s="5">
        <f t="shared" si="138"/>
        <v>3</v>
      </c>
      <c r="AN1127" s="4">
        <f t="shared" si="143"/>
        <v>4.5437334343051876E-3</v>
      </c>
      <c r="AO1127" s="3"/>
      <c r="AP1127">
        <v>0</v>
      </c>
      <c r="AR1127" t="s">
        <v>1</v>
      </c>
      <c r="AT1127" s="2">
        <v>2.3540000000000001</v>
      </c>
      <c r="AU1127" s="1">
        <f t="shared" si="139"/>
        <v>1.8161924119878059</v>
      </c>
      <c r="AV1127" s="1">
        <f t="shared" si="140"/>
        <v>1.4271012495428668</v>
      </c>
      <c r="AW1127" s="1">
        <f t="shared" si="141"/>
        <v>1.0380100870979274</v>
      </c>
    </row>
    <row r="1128" spans="1:49" x14ac:dyDescent="0.2">
      <c r="A1128">
        <v>1126</v>
      </c>
      <c r="B1128" t="s">
        <v>33</v>
      </c>
      <c r="C1128" t="s">
        <v>32</v>
      </c>
      <c r="F1128" t="s">
        <v>31</v>
      </c>
      <c r="G1128" t="s">
        <v>15</v>
      </c>
      <c r="H1128" t="s">
        <v>14</v>
      </c>
      <c r="I1128" t="s">
        <v>30</v>
      </c>
      <c r="J1128" t="s">
        <v>29</v>
      </c>
      <c r="K1128" t="s">
        <v>28</v>
      </c>
      <c r="L1128" t="s">
        <v>27</v>
      </c>
      <c r="M1128" t="s">
        <v>26</v>
      </c>
      <c r="N1128">
        <v>4</v>
      </c>
      <c r="O1128" t="s">
        <v>25</v>
      </c>
      <c r="P1128" t="s">
        <v>24</v>
      </c>
      <c r="Q1128" t="s">
        <v>23</v>
      </c>
      <c r="R1128" s="7">
        <v>33970</v>
      </c>
      <c r="S1128" s="8">
        <f t="shared" si="136"/>
        <v>1993</v>
      </c>
      <c r="T1128" s="8">
        <v>1993</v>
      </c>
      <c r="U1128" s="8">
        <f t="shared" si="137"/>
        <v>29</v>
      </c>
      <c r="V1128" s="7">
        <v>1993</v>
      </c>
      <c r="W1128" t="s">
        <v>22</v>
      </c>
      <c r="X1128" s="2">
        <v>1.887</v>
      </c>
      <c r="Y1128" s="6">
        <f t="shared" si="142"/>
        <v>5.0372387282774087E-2</v>
      </c>
      <c r="AA1128">
        <v>5562821</v>
      </c>
      <c r="AB1128">
        <v>29459</v>
      </c>
      <c r="AD1128" t="s">
        <v>5</v>
      </c>
      <c r="AE1128">
        <v>48</v>
      </c>
      <c r="AF1128">
        <v>2</v>
      </c>
      <c r="AH1128" t="s">
        <v>21</v>
      </c>
      <c r="AI1128" t="s">
        <v>20</v>
      </c>
      <c r="AK1128" t="s">
        <v>19</v>
      </c>
      <c r="AL1128">
        <v>29</v>
      </c>
      <c r="AM1128" s="5">
        <f t="shared" si="138"/>
        <v>1</v>
      </c>
      <c r="AN1128" s="4">
        <f t="shared" si="143"/>
        <v>1.5145778114350624E-3</v>
      </c>
      <c r="AO1128" s="3"/>
      <c r="AP1128">
        <v>0</v>
      </c>
      <c r="AR1128" t="s">
        <v>1</v>
      </c>
      <c r="AT1128" s="2">
        <v>5.2960000000000003</v>
      </c>
      <c r="AU1128" s="1">
        <f t="shared" si="139"/>
        <v>3.5715044441372377</v>
      </c>
      <c r="AV1128" s="1">
        <f t="shared" si="140"/>
        <v>2.5943482547104573</v>
      </c>
      <c r="AW1128" s="1">
        <f t="shared" si="141"/>
        <v>1.6171920652836771</v>
      </c>
    </row>
    <row r="1129" spans="1:49" x14ac:dyDescent="0.2">
      <c r="A1129">
        <v>1127</v>
      </c>
      <c r="B1129" t="s">
        <v>18</v>
      </c>
      <c r="C1129" t="s">
        <v>17</v>
      </c>
      <c r="F1129" t="s">
        <v>16</v>
      </c>
      <c r="G1129" t="s">
        <v>15</v>
      </c>
      <c r="H1129" t="s">
        <v>14</v>
      </c>
      <c r="I1129" t="s">
        <v>13</v>
      </c>
      <c r="J1129">
        <v>60021939</v>
      </c>
      <c r="K1129" t="s">
        <v>12</v>
      </c>
      <c r="L1129" t="s">
        <v>11</v>
      </c>
      <c r="M1129" t="s">
        <v>10</v>
      </c>
      <c r="N1129">
        <v>6</v>
      </c>
      <c r="O1129" t="s">
        <v>9</v>
      </c>
      <c r="P1129" t="s">
        <v>8</v>
      </c>
      <c r="Q1129" t="s">
        <v>7</v>
      </c>
      <c r="R1129" s="7">
        <v>33970</v>
      </c>
      <c r="S1129" s="8">
        <f t="shared" si="136"/>
        <v>1993</v>
      </c>
      <c r="T1129" s="8">
        <v>1993</v>
      </c>
      <c r="U1129" s="8">
        <f t="shared" si="137"/>
        <v>29</v>
      </c>
      <c r="V1129" s="7">
        <v>1993</v>
      </c>
      <c r="W1129" t="s">
        <v>6</v>
      </c>
      <c r="X1129" s="2">
        <v>0.56000000000000005</v>
      </c>
      <c r="Y1129" s="6">
        <f t="shared" si="142"/>
        <v>1.4948880168708793E-2</v>
      </c>
      <c r="AA1129">
        <v>2678292</v>
      </c>
      <c r="AB1129">
        <v>24705</v>
      </c>
      <c r="AC1129">
        <v>13665855</v>
      </c>
      <c r="AD1129" t="s">
        <v>5</v>
      </c>
      <c r="AE1129">
        <v>14</v>
      </c>
      <c r="AF1129">
        <v>2</v>
      </c>
      <c r="AH1129" t="s">
        <v>4</v>
      </c>
      <c r="AI1129" t="s">
        <v>3</v>
      </c>
      <c r="AK1129" t="s">
        <v>2</v>
      </c>
      <c r="AL1129">
        <v>55</v>
      </c>
      <c r="AM1129" s="5">
        <f t="shared" si="138"/>
        <v>1.896551724137931</v>
      </c>
      <c r="AN1129" s="4">
        <f t="shared" si="143"/>
        <v>2.8724751596182221E-3</v>
      </c>
      <c r="AO1129" s="3"/>
      <c r="AP1129">
        <v>0</v>
      </c>
      <c r="AR1129" t="s">
        <v>1</v>
      </c>
      <c r="AT1129" s="2" t="s">
        <v>0</v>
      </c>
      <c r="AU1129" s="1">
        <f t="shared" si="139"/>
        <v>1.1325958665981621</v>
      </c>
      <c r="AV1129" s="1">
        <f t="shared" si="140"/>
        <v>0.89106776641635077</v>
      </c>
      <c r="AW1129" s="1">
        <f t="shared" si="141"/>
        <v>0.64953966623453929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1993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2021-11-11T11:40:13Z</dcterms:created>
  <dcterms:modified xsi:type="dcterms:W3CDTF">2022-01-19T20:20:27Z</dcterms:modified>
</cp:coreProperties>
</file>