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407DE595-1A35-7B45-9150-AD96C78D2B8F}" xr6:coauthVersionLast="47" xr6:coauthVersionMax="47" xr10:uidLastSave="{7BC602AC-F63E-0841-B52B-2D32D51C89BD}"/>
  <bookViews>
    <workbookView xWindow="13220" yWindow="8480" windowWidth="27640" windowHeight="16940" xr2:uid="{24D08A1F-F79F-A840-B31F-96107F5FAE9E}"/>
  </bookViews>
  <sheets>
    <sheet name="199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Y8" i="1"/>
  <c r="AM8" i="1"/>
  <c r="AN8" i="1" s="1"/>
  <c r="S9" i="1"/>
  <c r="U9" i="1"/>
  <c r="AM9" i="1" s="1"/>
  <c r="AN9" i="1" s="1"/>
  <c r="Y9" i="1"/>
  <c r="S10" i="1"/>
  <c r="U10" i="1"/>
  <c r="AM10" i="1" s="1"/>
  <c r="AN10" i="1" s="1"/>
  <c r="Y10" i="1"/>
  <c r="S11" i="1"/>
  <c r="U11" i="1"/>
  <c r="AM11" i="1" s="1"/>
  <c r="AN11" i="1" s="1"/>
  <c r="Y11" i="1"/>
  <c r="S12" i="1"/>
  <c r="U12" i="1"/>
  <c r="AM12" i="1" s="1"/>
  <c r="AN12" i="1" s="1"/>
  <c r="Y12" i="1"/>
  <c r="S13" i="1"/>
  <c r="U13" i="1"/>
  <c r="Y13" i="1"/>
  <c r="AM13" i="1"/>
  <c r="AN13" i="1" s="1"/>
  <c r="S14" i="1"/>
  <c r="U14" i="1"/>
  <c r="AM14" i="1" s="1"/>
  <c r="AN14" i="1" s="1"/>
  <c r="Y14" i="1"/>
  <c r="S15" i="1"/>
  <c r="U15" i="1"/>
  <c r="AM15" i="1" s="1"/>
  <c r="AN15" i="1" s="1"/>
  <c r="Y15" i="1"/>
  <c r="S16" i="1"/>
  <c r="U16" i="1"/>
  <c r="AM16" i="1" s="1"/>
  <c r="AN16" i="1" s="1"/>
  <c r="Y16" i="1"/>
  <c r="S17" i="1"/>
  <c r="U17" i="1"/>
  <c r="AM17" i="1" s="1"/>
  <c r="AN17" i="1" s="1"/>
  <c r="Y17" i="1"/>
  <c r="S18" i="1"/>
  <c r="U18" i="1"/>
  <c r="Y18" i="1"/>
  <c r="AM18" i="1"/>
  <c r="AN18" i="1" s="1"/>
  <c r="S19" i="1"/>
  <c r="U19" i="1"/>
  <c r="AM19" i="1" s="1"/>
  <c r="AN19" i="1" s="1"/>
  <c r="AV19" i="1" s="1"/>
  <c r="Y19" i="1"/>
  <c r="S20" i="1"/>
  <c r="U20" i="1"/>
  <c r="AM20" i="1" s="1"/>
  <c r="AN20" i="1" s="1"/>
  <c r="Y20" i="1"/>
  <c r="S21" i="1"/>
  <c r="U21" i="1"/>
  <c r="AM21" i="1" s="1"/>
  <c r="AN21" i="1" s="1"/>
  <c r="Y21" i="1"/>
  <c r="S22" i="1"/>
  <c r="U22" i="1"/>
  <c r="AM22" i="1" s="1"/>
  <c r="AN22" i="1" s="1"/>
  <c r="Y22" i="1"/>
  <c r="S23" i="1"/>
  <c r="U23" i="1"/>
  <c r="AM23" i="1" s="1"/>
  <c r="AN23" i="1" s="1"/>
  <c r="Y23" i="1"/>
  <c r="S24" i="1"/>
  <c r="U24" i="1"/>
  <c r="AM24" i="1" s="1"/>
  <c r="AN24" i="1" s="1"/>
  <c r="Y24" i="1"/>
  <c r="S25" i="1"/>
  <c r="U25" i="1"/>
  <c r="AM25" i="1" s="1"/>
  <c r="AN25" i="1" s="1"/>
  <c r="AU25" i="1" s="1"/>
  <c r="Y25" i="1"/>
  <c r="AW25" i="1" s="1"/>
  <c r="S26" i="1"/>
  <c r="U26" i="1"/>
  <c r="AM26" i="1" s="1"/>
  <c r="AN26" i="1" s="1"/>
  <c r="Y26" i="1"/>
  <c r="S27" i="1"/>
  <c r="U27" i="1"/>
  <c r="AM27" i="1" s="1"/>
  <c r="AN27" i="1" s="1"/>
  <c r="Y27" i="1"/>
  <c r="S28" i="1"/>
  <c r="U28" i="1"/>
  <c r="Y28" i="1"/>
  <c r="AM28" i="1"/>
  <c r="AN28" i="1"/>
  <c r="S29" i="1"/>
  <c r="U29" i="1"/>
  <c r="AM29" i="1" s="1"/>
  <c r="AN29" i="1" s="1"/>
  <c r="Y29" i="1"/>
  <c r="S30" i="1"/>
  <c r="U30" i="1"/>
  <c r="AM30" i="1" s="1"/>
  <c r="AN30" i="1" s="1"/>
  <c r="Y30" i="1"/>
  <c r="S31" i="1"/>
  <c r="U31" i="1"/>
  <c r="AM31" i="1" s="1"/>
  <c r="AN31" i="1" s="1"/>
  <c r="Y31" i="1"/>
  <c r="S32" i="1"/>
  <c r="U32" i="1"/>
  <c r="AM32" i="1" s="1"/>
  <c r="AN32" i="1" s="1"/>
  <c r="Y32" i="1"/>
  <c r="AU32" i="1" s="1"/>
  <c r="S33" i="1"/>
  <c r="U33" i="1"/>
  <c r="AM33" i="1" s="1"/>
  <c r="AN33" i="1" s="1"/>
  <c r="Y33" i="1"/>
  <c r="S34" i="1"/>
  <c r="U34" i="1"/>
  <c r="AM34" i="1" s="1"/>
  <c r="AN34" i="1" s="1"/>
  <c r="Y34" i="1"/>
  <c r="AU34" i="1" s="1"/>
  <c r="S35" i="1"/>
  <c r="U35" i="1"/>
  <c r="AM35" i="1" s="1"/>
  <c r="AN35" i="1" s="1"/>
  <c r="Y35" i="1"/>
  <c r="AU35" i="1" s="1"/>
  <c r="S36" i="1"/>
  <c r="U36" i="1"/>
  <c r="AM36" i="1" s="1"/>
  <c r="AN36" i="1" s="1"/>
  <c r="Y36" i="1"/>
  <c r="S37" i="1"/>
  <c r="U37" i="1"/>
  <c r="AM37" i="1" s="1"/>
  <c r="AN37" i="1" s="1"/>
  <c r="Y37" i="1"/>
  <c r="AU37" i="1" s="1"/>
  <c r="S38" i="1"/>
  <c r="U38" i="1"/>
  <c r="Y38" i="1"/>
  <c r="AM38" i="1"/>
  <c r="AN38" i="1" s="1"/>
  <c r="S39" i="1"/>
  <c r="U39" i="1"/>
  <c r="AM39" i="1" s="1"/>
  <c r="AN39" i="1" s="1"/>
  <c r="Y39" i="1"/>
  <c r="AU39" i="1" s="1"/>
  <c r="S40" i="1"/>
  <c r="U40" i="1"/>
  <c r="AM40" i="1" s="1"/>
  <c r="AN40" i="1" s="1"/>
  <c r="Y40" i="1"/>
  <c r="AU40" i="1" s="1"/>
  <c r="S41" i="1"/>
  <c r="U41" i="1"/>
  <c r="AM41" i="1" s="1"/>
  <c r="AN41" i="1" s="1"/>
  <c r="Y41" i="1"/>
  <c r="S42" i="1"/>
  <c r="U42" i="1"/>
  <c r="AM42" i="1" s="1"/>
  <c r="AN42" i="1" s="1"/>
  <c r="Y42" i="1"/>
  <c r="AU42" i="1" s="1"/>
  <c r="S43" i="1"/>
  <c r="U43" i="1"/>
  <c r="Y43" i="1"/>
  <c r="AM43" i="1"/>
  <c r="AN43" i="1" s="1"/>
  <c r="S44" i="1"/>
  <c r="U44" i="1"/>
  <c r="AM44" i="1" s="1"/>
  <c r="AN44" i="1" s="1"/>
  <c r="Y44" i="1"/>
  <c r="AU44" i="1" s="1"/>
  <c r="S45" i="1"/>
  <c r="U45" i="1"/>
  <c r="AM45" i="1" s="1"/>
  <c r="AN45" i="1" s="1"/>
  <c r="Y45" i="1"/>
  <c r="AU45" i="1" s="1"/>
  <c r="S46" i="1"/>
  <c r="U46" i="1"/>
  <c r="Y46" i="1"/>
  <c r="AM46" i="1"/>
  <c r="AN46" i="1" s="1"/>
  <c r="S47" i="1"/>
  <c r="U47" i="1"/>
  <c r="AM47" i="1" s="1"/>
  <c r="AN47" i="1" s="1"/>
  <c r="Y47" i="1"/>
  <c r="S48" i="1"/>
  <c r="U48" i="1"/>
  <c r="AM48" i="1" s="1"/>
  <c r="AN48" i="1" s="1"/>
  <c r="Y48" i="1"/>
  <c r="S49" i="1"/>
  <c r="U49" i="1"/>
  <c r="AM49" i="1" s="1"/>
  <c r="AN49" i="1" s="1"/>
  <c r="Y49" i="1"/>
  <c r="S50" i="1"/>
  <c r="U50" i="1"/>
  <c r="AM50" i="1" s="1"/>
  <c r="AN50" i="1" s="1"/>
  <c r="Y50" i="1"/>
  <c r="S51" i="1"/>
  <c r="U51" i="1"/>
  <c r="AM51" i="1" s="1"/>
  <c r="AN51" i="1" s="1"/>
  <c r="Y51" i="1"/>
  <c r="S52" i="1"/>
  <c r="U52" i="1"/>
  <c r="AM52" i="1" s="1"/>
  <c r="AN52" i="1" s="1"/>
  <c r="Y52" i="1"/>
  <c r="S53" i="1"/>
  <c r="U53" i="1"/>
  <c r="Y53" i="1"/>
  <c r="AM53" i="1"/>
  <c r="AN53" i="1" s="1"/>
  <c r="S54" i="1"/>
  <c r="U54" i="1"/>
  <c r="AM54" i="1" s="1"/>
  <c r="AN54" i="1" s="1"/>
  <c r="Y54" i="1"/>
  <c r="S55" i="1"/>
  <c r="U55" i="1"/>
  <c r="AM55" i="1" s="1"/>
  <c r="AN55" i="1" s="1"/>
  <c r="AV55" i="1" s="1"/>
  <c r="Y55" i="1"/>
  <c r="S56" i="1"/>
  <c r="U56" i="1"/>
  <c r="Y56" i="1"/>
  <c r="AM56" i="1"/>
  <c r="AN56" i="1" s="1"/>
  <c r="S57" i="1"/>
  <c r="U57" i="1"/>
  <c r="AM57" i="1" s="1"/>
  <c r="AN57" i="1" s="1"/>
  <c r="Y57" i="1"/>
  <c r="AU57" i="1" s="1"/>
  <c r="S58" i="1"/>
  <c r="U58" i="1"/>
  <c r="AM58" i="1" s="1"/>
  <c r="AN58" i="1" s="1"/>
  <c r="Y58" i="1"/>
  <c r="S59" i="1"/>
  <c r="U59" i="1"/>
  <c r="AM59" i="1" s="1"/>
  <c r="AN59" i="1" s="1"/>
  <c r="Y59" i="1"/>
  <c r="S60" i="1"/>
  <c r="U60" i="1"/>
  <c r="AM60" i="1" s="1"/>
  <c r="AN60" i="1" s="1"/>
  <c r="Y60" i="1"/>
  <c r="AU60" i="1" s="1"/>
  <c r="S61" i="1"/>
  <c r="U61" i="1"/>
  <c r="AM61" i="1" s="1"/>
  <c r="AN61" i="1" s="1"/>
  <c r="Y61" i="1"/>
  <c r="S62" i="1"/>
  <c r="U62" i="1"/>
  <c r="AM62" i="1" s="1"/>
  <c r="AN62" i="1" s="1"/>
  <c r="Y62" i="1"/>
  <c r="S63" i="1"/>
  <c r="U63" i="1"/>
  <c r="AM63" i="1" s="1"/>
  <c r="AN63" i="1" s="1"/>
  <c r="Y63" i="1"/>
  <c r="S64" i="1"/>
  <c r="U64" i="1"/>
  <c r="AM64" i="1" s="1"/>
  <c r="AN64" i="1" s="1"/>
  <c r="Y64" i="1"/>
  <c r="S65" i="1"/>
  <c r="U65" i="1"/>
  <c r="AM65" i="1" s="1"/>
  <c r="AN65" i="1" s="1"/>
  <c r="Y65" i="1"/>
  <c r="S66" i="1"/>
  <c r="U66" i="1"/>
  <c r="Y66" i="1"/>
  <c r="AM66" i="1"/>
  <c r="AN66" i="1"/>
  <c r="S67" i="1"/>
  <c r="U67" i="1"/>
  <c r="AM67" i="1" s="1"/>
  <c r="AN67" i="1" s="1"/>
  <c r="Y67" i="1"/>
  <c r="S68" i="1"/>
  <c r="U68" i="1"/>
  <c r="Y68" i="1"/>
  <c r="AM68" i="1"/>
  <c r="AN68" i="1" s="1"/>
  <c r="S69" i="1"/>
  <c r="U69" i="1"/>
  <c r="AM69" i="1" s="1"/>
  <c r="AN69" i="1" s="1"/>
  <c r="Y69" i="1"/>
  <c r="S70" i="1"/>
  <c r="U70" i="1"/>
  <c r="AM70" i="1" s="1"/>
  <c r="AN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AM78" i="1" s="1"/>
  <c r="AN78" i="1" s="1"/>
  <c r="Y78" i="1"/>
  <c r="S79" i="1"/>
  <c r="U79" i="1"/>
  <c r="AM79" i="1" s="1"/>
  <c r="AN79" i="1" s="1"/>
  <c r="Y79" i="1"/>
  <c r="S80" i="1"/>
  <c r="U80" i="1"/>
  <c r="Y80" i="1"/>
  <c r="AM80" i="1"/>
  <c r="AN80" i="1" s="1"/>
  <c r="AV80" i="1" s="1"/>
  <c r="S81" i="1"/>
  <c r="U81" i="1"/>
  <c r="AM81" i="1" s="1"/>
  <c r="AN81" i="1" s="1"/>
  <c r="Y81" i="1"/>
  <c r="S82" i="1"/>
  <c r="U82" i="1"/>
  <c r="AM82" i="1" s="1"/>
  <c r="AN82" i="1" s="1"/>
  <c r="Y82" i="1"/>
  <c r="S83" i="1"/>
  <c r="U83" i="1"/>
  <c r="AM83" i="1" s="1"/>
  <c r="AN83" i="1" s="1"/>
  <c r="Y83" i="1"/>
  <c r="S84" i="1"/>
  <c r="U84" i="1"/>
  <c r="AM84" i="1" s="1"/>
  <c r="AN84" i="1" s="1"/>
  <c r="Y84" i="1"/>
  <c r="AU84" i="1" s="1"/>
  <c r="S85" i="1"/>
  <c r="U85" i="1"/>
  <c r="AM85" i="1" s="1"/>
  <c r="AN85" i="1" s="1"/>
  <c r="Y85" i="1"/>
  <c r="AU85" i="1" s="1"/>
  <c r="S86" i="1"/>
  <c r="U86" i="1"/>
  <c r="AM86" i="1" s="1"/>
  <c r="AN86" i="1" s="1"/>
  <c r="Y86" i="1"/>
  <c r="S87" i="1"/>
  <c r="U87" i="1"/>
  <c r="AM87" i="1" s="1"/>
  <c r="AN87" i="1" s="1"/>
  <c r="Y87" i="1"/>
  <c r="AU87" i="1" s="1"/>
  <c r="S88" i="1"/>
  <c r="U88" i="1"/>
  <c r="AM88" i="1" s="1"/>
  <c r="AN88" i="1" s="1"/>
  <c r="Y88" i="1"/>
  <c r="S89" i="1"/>
  <c r="U89" i="1"/>
  <c r="AM89" i="1" s="1"/>
  <c r="AN89" i="1" s="1"/>
  <c r="Y89" i="1"/>
  <c r="S90" i="1"/>
  <c r="U90" i="1"/>
  <c r="AM90" i="1" s="1"/>
  <c r="AN90" i="1" s="1"/>
  <c r="Y90" i="1"/>
  <c r="S91" i="1"/>
  <c r="U91" i="1"/>
  <c r="AM91" i="1" s="1"/>
  <c r="AN91" i="1" s="1"/>
  <c r="Y91" i="1"/>
  <c r="AV91" i="1" s="1"/>
  <c r="S92" i="1"/>
  <c r="U92" i="1"/>
  <c r="AM92" i="1" s="1"/>
  <c r="AN92" i="1" s="1"/>
  <c r="Y92" i="1"/>
  <c r="S93" i="1"/>
  <c r="U93" i="1"/>
  <c r="AM93" i="1" s="1"/>
  <c r="AN93" i="1" s="1"/>
  <c r="Y93" i="1"/>
  <c r="S94" i="1"/>
  <c r="U94" i="1"/>
  <c r="AM94" i="1" s="1"/>
  <c r="AN94" i="1" s="1"/>
  <c r="Y94" i="1"/>
  <c r="S95" i="1"/>
  <c r="U95" i="1"/>
  <c r="AM95" i="1" s="1"/>
  <c r="AN95" i="1" s="1"/>
  <c r="Y95" i="1"/>
  <c r="S96" i="1"/>
  <c r="U96" i="1"/>
  <c r="AM96" i="1" s="1"/>
  <c r="AN96" i="1" s="1"/>
  <c r="Y96" i="1"/>
  <c r="AV96" i="1" s="1"/>
  <c r="S97" i="1"/>
  <c r="U97" i="1"/>
  <c r="AM97" i="1" s="1"/>
  <c r="AN97" i="1" s="1"/>
  <c r="Y97" i="1"/>
  <c r="AU97" i="1" s="1"/>
  <c r="S98" i="1"/>
  <c r="U98" i="1"/>
  <c r="AM98" i="1" s="1"/>
  <c r="AN98" i="1" s="1"/>
  <c r="Y98" i="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Y103" i="1"/>
  <c r="S104" i="1"/>
  <c r="U104" i="1"/>
  <c r="AM104" i="1" s="1"/>
  <c r="AN104" i="1" s="1"/>
  <c r="Y104" i="1"/>
  <c r="S105" i="1"/>
  <c r="U105" i="1"/>
  <c r="AM105" i="1" s="1"/>
  <c r="AN105" i="1" s="1"/>
  <c r="Y105" i="1"/>
  <c r="S106" i="1"/>
  <c r="U106" i="1"/>
  <c r="AM106" i="1" s="1"/>
  <c r="AN106" i="1" s="1"/>
  <c r="Y106" i="1"/>
  <c r="AV106" i="1" s="1"/>
  <c r="S107" i="1"/>
  <c r="U107" i="1"/>
  <c r="AM107" i="1" s="1"/>
  <c r="AN107" i="1" s="1"/>
  <c r="Y107" i="1"/>
  <c r="AU107" i="1" s="1"/>
  <c r="S108" i="1"/>
  <c r="U108" i="1"/>
  <c r="AM108" i="1" s="1"/>
  <c r="AN108" i="1" s="1"/>
  <c r="Y108" i="1"/>
  <c r="S109" i="1"/>
  <c r="U109" i="1"/>
  <c r="AM109" i="1" s="1"/>
  <c r="AN109" i="1" s="1"/>
  <c r="Y109" i="1"/>
  <c r="S110" i="1"/>
  <c r="U110" i="1"/>
  <c r="AM110" i="1" s="1"/>
  <c r="AN110" i="1" s="1"/>
  <c r="Y110" i="1"/>
  <c r="S111" i="1"/>
  <c r="U111" i="1"/>
  <c r="AM111" i="1" s="1"/>
  <c r="AN111" i="1" s="1"/>
  <c r="Y111" i="1"/>
  <c r="AV111" i="1" s="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AV116" i="1" s="1"/>
  <c r="S117" i="1"/>
  <c r="U117" i="1"/>
  <c r="AM117" i="1" s="1"/>
  <c r="AN117" i="1" s="1"/>
  <c r="Y117" i="1"/>
  <c r="AU117" i="1" s="1"/>
  <c r="S118" i="1"/>
  <c r="U118" i="1"/>
  <c r="AM118" i="1" s="1"/>
  <c r="AN118" i="1" s="1"/>
  <c r="Y118" i="1"/>
  <c r="S119" i="1"/>
  <c r="U119" i="1"/>
  <c r="AM119" i="1" s="1"/>
  <c r="AN119" i="1" s="1"/>
  <c r="Y119" i="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AV126" i="1" s="1"/>
  <c r="S127" i="1"/>
  <c r="U127" i="1"/>
  <c r="AM127" i="1" s="1"/>
  <c r="AN127" i="1" s="1"/>
  <c r="Y127" i="1"/>
  <c r="AU127" i="1" s="1"/>
  <c r="S128" i="1"/>
  <c r="U128" i="1"/>
  <c r="AM128" i="1" s="1"/>
  <c r="AN128" i="1" s="1"/>
  <c r="Y128" i="1"/>
  <c r="S129" i="1"/>
  <c r="U129" i="1"/>
  <c r="AM129" i="1" s="1"/>
  <c r="AN129" i="1" s="1"/>
  <c r="Y129" i="1"/>
  <c r="S130" i="1"/>
  <c r="U130" i="1"/>
  <c r="AM130" i="1" s="1"/>
  <c r="AN130" i="1" s="1"/>
  <c r="Y130" i="1"/>
  <c r="S131" i="1"/>
  <c r="U131" i="1"/>
  <c r="AM131" i="1" s="1"/>
  <c r="AN131" i="1" s="1"/>
  <c r="Y131" i="1"/>
  <c r="AV131" i="1" s="1"/>
  <c r="S132" i="1"/>
  <c r="U132" i="1"/>
  <c r="AM132" i="1" s="1"/>
  <c r="AN132" i="1" s="1"/>
  <c r="Y132" i="1"/>
  <c r="S133" i="1"/>
  <c r="U133" i="1"/>
  <c r="AM133" i="1" s="1"/>
  <c r="AN133" i="1" s="1"/>
  <c r="Y133" i="1"/>
  <c r="S134" i="1"/>
  <c r="U134" i="1"/>
  <c r="AM134" i="1" s="1"/>
  <c r="AN134" i="1" s="1"/>
  <c r="Y134" i="1"/>
  <c r="S135" i="1"/>
  <c r="U135" i="1"/>
  <c r="Y135" i="1"/>
  <c r="AM135" i="1"/>
  <c r="AN135" i="1" s="1"/>
  <c r="S136" i="1"/>
  <c r="U136" i="1"/>
  <c r="AM136" i="1" s="1"/>
  <c r="AN136" i="1" s="1"/>
  <c r="Y136" i="1"/>
  <c r="S137" i="1"/>
  <c r="U137" i="1"/>
  <c r="AM137" i="1" s="1"/>
  <c r="AN137" i="1" s="1"/>
  <c r="Y137" i="1"/>
  <c r="S138" i="1"/>
  <c r="U138" i="1"/>
  <c r="AM138" i="1" s="1"/>
  <c r="AN138" i="1" s="1"/>
  <c r="Y138" i="1"/>
  <c r="S139" i="1"/>
  <c r="U139" i="1"/>
  <c r="AM139" i="1" s="1"/>
  <c r="AN139" i="1" s="1"/>
  <c r="Y139" i="1"/>
  <c r="S140" i="1"/>
  <c r="U140" i="1"/>
  <c r="AM140" i="1" s="1"/>
  <c r="AN140" i="1" s="1"/>
  <c r="Y140" i="1"/>
  <c r="AU140" i="1" s="1"/>
  <c r="S141" i="1"/>
  <c r="U141" i="1"/>
  <c r="AM141" i="1" s="1"/>
  <c r="AN141" i="1" s="1"/>
  <c r="Y141" i="1"/>
  <c r="S142" i="1"/>
  <c r="U142" i="1"/>
  <c r="AM142" i="1" s="1"/>
  <c r="AN142" i="1" s="1"/>
  <c r="Y142" i="1"/>
  <c r="S143" i="1"/>
  <c r="U143" i="1"/>
  <c r="AM143" i="1" s="1"/>
  <c r="AN143" i="1" s="1"/>
  <c r="Y143" i="1"/>
  <c r="AU143" i="1" s="1"/>
  <c r="S144" i="1"/>
  <c r="U144" i="1"/>
  <c r="AM144" i="1" s="1"/>
  <c r="AN144" i="1" s="1"/>
  <c r="Y144" i="1"/>
  <c r="S145" i="1"/>
  <c r="U145" i="1"/>
  <c r="AM145" i="1" s="1"/>
  <c r="AN145" i="1" s="1"/>
  <c r="AV145" i="1" s="1"/>
  <c r="Y145" i="1"/>
  <c r="S146" i="1"/>
  <c r="U146" i="1"/>
  <c r="AM146" i="1" s="1"/>
  <c r="AN146" i="1" s="1"/>
  <c r="Y146" i="1"/>
  <c r="S147" i="1"/>
  <c r="U147" i="1"/>
  <c r="Y147" i="1"/>
  <c r="AM147" i="1"/>
  <c r="AN147" i="1" s="1"/>
  <c r="S148" i="1"/>
  <c r="U148" i="1"/>
  <c r="AM148" i="1" s="1"/>
  <c r="AN148" i="1" s="1"/>
  <c r="Y148" i="1"/>
  <c r="S149" i="1"/>
  <c r="U149" i="1"/>
  <c r="AM149" i="1" s="1"/>
  <c r="AN149" i="1" s="1"/>
  <c r="Y149" i="1"/>
  <c r="S150" i="1"/>
  <c r="U150" i="1"/>
  <c r="AM150" i="1" s="1"/>
  <c r="AN150" i="1" s="1"/>
  <c r="Y150" i="1"/>
  <c r="AU150" i="1" s="1"/>
  <c r="AV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AV155" i="1"/>
  <c r="S156" i="1"/>
  <c r="U156" i="1"/>
  <c r="Y156" i="1"/>
  <c r="AM156" i="1"/>
  <c r="AN156" i="1" s="1"/>
  <c r="S157" i="1"/>
  <c r="U157" i="1"/>
  <c r="AM157" i="1" s="1"/>
  <c r="AN157" i="1" s="1"/>
  <c r="Y157" i="1"/>
  <c r="S158" i="1"/>
  <c r="U158" i="1"/>
  <c r="AM158" i="1" s="1"/>
  <c r="AN158" i="1" s="1"/>
  <c r="Y158" i="1"/>
  <c r="S159" i="1"/>
  <c r="U159" i="1"/>
  <c r="AM159" i="1" s="1"/>
  <c r="AN159" i="1" s="1"/>
  <c r="Y159" i="1"/>
  <c r="S160" i="1"/>
  <c r="U160" i="1"/>
  <c r="AM160" i="1" s="1"/>
  <c r="AN160" i="1" s="1"/>
  <c r="Y160" i="1"/>
  <c r="AV160" i="1" s="1"/>
  <c r="S161" i="1"/>
  <c r="U161" i="1"/>
  <c r="Y161" i="1"/>
  <c r="AM161" i="1"/>
  <c r="AN161" i="1" s="1"/>
  <c r="S162" i="1"/>
  <c r="U162" i="1"/>
  <c r="AM162" i="1" s="1"/>
  <c r="AN162" i="1" s="1"/>
  <c r="Y162" i="1"/>
  <c r="S163" i="1"/>
  <c r="U163" i="1"/>
  <c r="AM163" i="1" s="1"/>
  <c r="AN163" i="1" s="1"/>
  <c r="Y163" i="1"/>
  <c r="S164" i="1"/>
  <c r="U164" i="1"/>
  <c r="AM164" i="1" s="1"/>
  <c r="AN164" i="1" s="1"/>
  <c r="Y164" i="1"/>
  <c r="S165" i="1"/>
  <c r="U165" i="1"/>
  <c r="AM165" i="1" s="1"/>
  <c r="AN165" i="1" s="1"/>
  <c r="Y165" i="1"/>
  <c r="AV165" i="1"/>
  <c r="S166" i="1"/>
  <c r="U166" i="1"/>
  <c r="AM166" i="1" s="1"/>
  <c r="AN166" i="1" s="1"/>
  <c r="Y166" i="1"/>
  <c r="S167" i="1"/>
  <c r="U167" i="1"/>
  <c r="AM167" i="1" s="1"/>
  <c r="AN167" i="1" s="1"/>
  <c r="Y167" i="1"/>
  <c r="S168" i="1"/>
  <c r="U168" i="1"/>
  <c r="AM168" i="1" s="1"/>
  <c r="AN168" i="1" s="1"/>
  <c r="Y168" i="1"/>
  <c r="AV168" i="1" s="1"/>
  <c r="S169" i="1"/>
  <c r="U169" i="1"/>
  <c r="AM169" i="1" s="1"/>
  <c r="AN169" i="1" s="1"/>
  <c r="Y169" i="1"/>
  <c r="S170" i="1"/>
  <c r="U170" i="1"/>
  <c r="AM170" i="1" s="1"/>
  <c r="AN170" i="1" s="1"/>
  <c r="Y170" i="1"/>
  <c r="AU170" i="1" s="1"/>
  <c r="S171" i="1"/>
  <c r="U171" i="1"/>
  <c r="Y171" i="1"/>
  <c r="AM171" i="1"/>
  <c r="AN171" i="1" s="1"/>
  <c r="S172" i="1"/>
  <c r="U172" i="1"/>
  <c r="AM172" i="1" s="1"/>
  <c r="AN172" i="1" s="1"/>
  <c r="Y172" i="1"/>
  <c r="S173" i="1"/>
  <c r="U173" i="1"/>
  <c r="AM173" i="1" s="1"/>
  <c r="AN173" i="1" s="1"/>
  <c r="Y173" i="1"/>
  <c r="S174" i="1"/>
  <c r="U174" i="1"/>
  <c r="AM174" i="1" s="1"/>
  <c r="AN174" i="1" s="1"/>
  <c r="Y174" i="1"/>
  <c r="AV174" i="1" s="1"/>
  <c r="S175" i="1"/>
  <c r="U175" i="1"/>
  <c r="AM175" i="1" s="1"/>
  <c r="AN175" i="1" s="1"/>
  <c r="Y175" i="1"/>
  <c r="AV175" i="1" s="1"/>
  <c r="S176" i="1"/>
  <c r="U176" i="1"/>
  <c r="Y176" i="1"/>
  <c r="AM176" i="1"/>
  <c r="AN176" i="1" s="1"/>
  <c r="S177" i="1"/>
  <c r="U177" i="1"/>
  <c r="AM177" i="1" s="1"/>
  <c r="AN177" i="1" s="1"/>
  <c r="Y177" i="1"/>
  <c r="S178" i="1"/>
  <c r="U178" i="1"/>
  <c r="AM178" i="1" s="1"/>
  <c r="AN178" i="1" s="1"/>
  <c r="Y178" i="1"/>
  <c r="S179" i="1"/>
  <c r="U179" i="1"/>
  <c r="AM179" i="1" s="1"/>
  <c r="AN179" i="1" s="1"/>
  <c r="Y179" i="1"/>
  <c r="S180" i="1"/>
  <c r="U180" i="1"/>
  <c r="AM180" i="1" s="1"/>
  <c r="AN180" i="1" s="1"/>
  <c r="Y180" i="1"/>
  <c r="S181" i="1"/>
  <c r="U181" i="1"/>
  <c r="Y181" i="1"/>
  <c r="AV181" i="1" s="1"/>
  <c r="AM181" i="1"/>
  <c r="AN181" i="1"/>
  <c r="S182" i="1"/>
  <c r="U182" i="1"/>
  <c r="AM182" i="1" s="1"/>
  <c r="AN182" i="1" s="1"/>
  <c r="Y182" i="1"/>
  <c r="S183" i="1"/>
  <c r="U183" i="1"/>
  <c r="AM183" i="1" s="1"/>
  <c r="Y183" i="1"/>
  <c r="AN183" i="1"/>
  <c r="S184" i="1"/>
  <c r="U184" i="1"/>
  <c r="AM184" i="1" s="1"/>
  <c r="AN184" i="1" s="1"/>
  <c r="Y184" i="1"/>
  <c r="AV184" i="1" s="1"/>
  <c r="S185" i="1"/>
  <c r="U185" i="1"/>
  <c r="AM185" i="1" s="1"/>
  <c r="AN185" i="1" s="1"/>
  <c r="Y185" i="1"/>
  <c r="S186" i="1"/>
  <c r="U186" i="1"/>
  <c r="Y186" i="1"/>
  <c r="AM186" i="1"/>
  <c r="AN186" i="1"/>
  <c r="AV186" i="1" s="1"/>
  <c r="S187" i="1"/>
  <c r="U187" i="1"/>
  <c r="AM187" i="1" s="1"/>
  <c r="AN187" i="1" s="1"/>
  <c r="Y187" i="1"/>
  <c r="S188" i="1"/>
  <c r="U188" i="1"/>
  <c r="AM188" i="1" s="1"/>
  <c r="Y188" i="1"/>
  <c r="AN188" i="1"/>
  <c r="S189" i="1"/>
  <c r="U189" i="1"/>
  <c r="AM189" i="1" s="1"/>
  <c r="AN189" i="1" s="1"/>
  <c r="Y189" i="1"/>
  <c r="S190" i="1"/>
  <c r="U190" i="1"/>
  <c r="AM190" i="1" s="1"/>
  <c r="AN190" i="1" s="1"/>
  <c r="Y190" i="1"/>
  <c r="AU190" i="1" s="1"/>
  <c r="S191" i="1"/>
  <c r="U191" i="1"/>
  <c r="Y191" i="1"/>
  <c r="AM191" i="1"/>
  <c r="AN191" i="1"/>
  <c r="S192" i="1"/>
  <c r="U192" i="1"/>
  <c r="AM192" i="1" s="1"/>
  <c r="AN192" i="1" s="1"/>
  <c r="Y192" i="1"/>
  <c r="AV192" i="1" s="1"/>
  <c r="S193" i="1"/>
  <c r="U193" i="1"/>
  <c r="AM193" i="1" s="1"/>
  <c r="Y193" i="1"/>
  <c r="AN193" i="1"/>
  <c r="S194" i="1"/>
  <c r="U194" i="1"/>
  <c r="AM194" i="1" s="1"/>
  <c r="AN194" i="1" s="1"/>
  <c r="Y194" i="1"/>
  <c r="AU11" i="1" l="1"/>
  <c r="AV130" i="1"/>
  <c r="AV110" i="1"/>
  <c r="AV90" i="1"/>
  <c r="AV59" i="1"/>
  <c r="AV136" i="1"/>
  <c r="AV65" i="1"/>
  <c r="AV135" i="1"/>
  <c r="AU122" i="1"/>
  <c r="AU102" i="1"/>
  <c r="AU64" i="1"/>
  <c r="AU16" i="1"/>
  <c r="AV24" i="1"/>
  <c r="AV95" i="1"/>
  <c r="AV105" i="1"/>
  <c r="AV180" i="1"/>
  <c r="AU36" i="1"/>
  <c r="AV183" i="1"/>
  <c r="AU21" i="1"/>
  <c r="AU2" i="1"/>
  <c r="AU147" i="1"/>
  <c r="AV14" i="1"/>
  <c r="AV125" i="1"/>
  <c r="AV194" i="1"/>
  <c r="AV50" i="1"/>
  <c r="AV115" i="1"/>
  <c r="AV141" i="1"/>
  <c r="AU31" i="1"/>
  <c r="AV100" i="1"/>
  <c r="AU7" i="1"/>
  <c r="AV188" i="1"/>
  <c r="AV193" i="1"/>
  <c r="AV120" i="1"/>
  <c r="AV164" i="1"/>
  <c r="AV151" i="1"/>
  <c r="AU132" i="1"/>
  <c r="AU112" i="1"/>
  <c r="AU92" i="1"/>
  <c r="AU79" i="1"/>
  <c r="AV49" i="1"/>
  <c r="AV146" i="1"/>
  <c r="AV176" i="1"/>
  <c r="AU30" i="1"/>
  <c r="AV30" i="1"/>
  <c r="AW30" i="1"/>
  <c r="AV156" i="1"/>
  <c r="AV161" i="1"/>
  <c r="AV121" i="1"/>
  <c r="AV101" i="1"/>
  <c r="AV170" i="1"/>
  <c r="AU48" i="1"/>
  <c r="AU18" i="1"/>
  <c r="AU53" i="1"/>
  <c r="AV190" i="1"/>
  <c r="AV185" i="1"/>
  <c r="AU180" i="1"/>
  <c r="AU94" i="1"/>
  <c r="AU89" i="1"/>
  <c r="AV84" i="1"/>
  <c r="AU58" i="1"/>
  <c r="AU28" i="1"/>
  <c r="AU63" i="1"/>
  <c r="AU47" i="1"/>
  <c r="AU23" i="1"/>
  <c r="AU17" i="1"/>
  <c r="AV11" i="1"/>
  <c r="AV169" i="1"/>
  <c r="AU68" i="1"/>
  <c r="AU52" i="1"/>
  <c r="AV179" i="1"/>
  <c r="AV163" i="1"/>
  <c r="AU73" i="1"/>
  <c r="AV189" i="1"/>
  <c r="AU148" i="1"/>
  <c r="AU138" i="1"/>
  <c r="AU83" i="1"/>
  <c r="AU78" i="1"/>
  <c r="AU62" i="1"/>
  <c r="AU22" i="1"/>
  <c r="AV16" i="1"/>
  <c r="AU133" i="1"/>
  <c r="AU128" i="1"/>
  <c r="AU123" i="1"/>
  <c r="AU118" i="1"/>
  <c r="AU113" i="1"/>
  <c r="AU108" i="1"/>
  <c r="AU103" i="1"/>
  <c r="AU98" i="1"/>
  <c r="AU93" i="1"/>
  <c r="AU88" i="1"/>
  <c r="AU41" i="1"/>
  <c r="AV36" i="1"/>
  <c r="AV31" i="1"/>
  <c r="AV178" i="1"/>
  <c r="AU46" i="1"/>
  <c r="AU142" i="1"/>
  <c r="AU82" i="1"/>
  <c r="AU77" i="1"/>
  <c r="AU51" i="1"/>
  <c r="AU26" i="1"/>
  <c r="AU9" i="1"/>
  <c r="AU56" i="1"/>
  <c r="AU61" i="1"/>
  <c r="AV40" i="1"/>
  <c r="AV35" i="1"/>
  <c r="AU66" i="1"/>
  <c r="AV45" i="1"/>
  <c r="AV25" i="1"/>
  <c r="AU156" i="1"/>
  <c r="AU71" i="1"/>
  <c r="AU55" i="1"/>
  <c r="AU151" i="1"/>
  <c r="AU81" i="1"/>
  <c r="AU76" i="1"/>
  <c r="AV39" i="1"/>
  <c r="AV34" i="1"/>
  <c r="AU8" i="1"/>
  <c r="AV166" i="1"/>
  <c r="AU141" i="1"/>
  <c r="AU136" i="1"/>
  <c r="AU86" i="1"/>
  <c r="AU65" i="1"/>
  <c r="AV60" i="1"/>
  <c r="AU49" i="1"/>
  <c r="AV44" i="1"/>
  <c r="AU19" i="1"/>
  <c r="AU146" i="1"/>
  <c r="AU131" i="1"/>
  <c r="AU126" i="1"/>
  <c r="AU121" i="1"/>
  <c r="AU116" i="1"/>
  <c r="AU111" i="1"/>
  <c r="AU106" i="1"/>
  <c r="AU101" i="1"/>
  <c r="AU96" i="1"/>
  <c r="AU91" i="1"/>
  <c r="AV171" i="1"/>
  <c r="AV70" i="1"/>
  <c r="AU59" i="1"/>
  <c r="AV54" i="1"/>
  <c r="AU13" i="1"/>
  <c r="AV2" i="1"/>
  <c r="AU80" i="1"/>
  <c r="AV75" i="1"/>
  <c r="AU38" i="1"/>
  <c r="AU33" i="1"/>
  <c r="AV29" i="1"/>
  <c r="AU24" i="1"/>
  <c r="AU165" i="1"/>
  <c r="AV140" i="1"/>
  <c r="AV85" i="1"/>
  <c r="AU43" i="1"/>
  <c r="AV7" i="1"/>
  <c r="AU182" i="1"/>
  <c r="AV182" i="1"/>
  <c r="AW182" i="1"/>
  <c r="AU159" i="1"/>
  <c r="AW159" i="1"/>
  <c r="AU154" i="1"/>
  <c r="AW154" i="1"/>
  <c r="AU74" i="1"/>
  <c r="AU12" i="1"/>
  <c r="AU173" i="1"/>
  <c r="AW173" i="1"/>
  <c r="AU149" i="1"/>
  <c r="AU139" i="1"/>
  <c r="AU191" i="1"/>
  <c r="AW191" i="1"/>
  <c r="AU177" i="1"/>
  <c r="AV177" i="1"/>
  <c r="AW177" i="1"/>
  <c r="AU168" i="1"/>
  <c r="AW168" i="1"/>
  <c r="AU144" i="1"/>
  <c r="AU134" i="1"/>
  <c r="AU129" i="1"/>
  <c r="AU124" i="1"/>
  <c r="AU119" i="1"/>
  <c r="AU114" i="1"/>
  <c r="AU109" i="1"/>
  <c r="AU104" i="1"/>
  <c r="AU99" i="1"/>
  <c r="AU6" i="1"/>
  <c r="AU163" i="1"/>
  <c r="AW163" i="1"/>
  <c r="AU158" i="1"/>
  <c r="AV158" i="1"/>
  <c r="AW158" i="1"/>
  <c r="AU186" i="1"/>
  <c r="AW186" i="1"/>
  <c r="AU172" i="1"/>
  <c r="AV172" i="1"/>
  <c r="AW172" i="1"/>
  <c r="AU167" i="1"/>
  <c r="AV167" i="1"/>
  <c r="AW167" i="1"/>
  <c r="AU153" i="1"/>
  <c r="AV153" i="1"/>
  <c r="AW153" i="1"/>
  <c r="AU27" i="1"/>
  <c r="AU181" i="1"/>
  <c r="AW181" i="1"/>
  <c r="AU162" i="1"/>
  <c r="AV162" i="1"/>
  <c r="AW162" i="1"/>
  <c r="AU157" i="1"/>
  <c r="AV157" i="1"/>
  <c r="AW157" i="1"/>
  <c r="AU5" i="1"/>
  <c r="AV5" i="1"/>
  <c r="AW5" i="1"/>
  <c r="AU194" i="1"/>
  <c r="AW194" i="1"/>
  <c r="AU67" i="1"/>
  <c r="AU10" i="1"/>
  <c r="AV10" i="1"/>
  <c r="AW10" i="1"/>
  <c r="AU185" i="1"/>
  <c r="AU176" i="1"/>
  <c r="AW176" i="1"/>
  <c r="AU152" i="1"/>
  <c r="AU72" i="1"/>
  <c r="AV26" i="1"/>
  <c r="AU4" i="1"/>
  <c r="AU137" i="1"/>
  <c r="AV21" i="1"/>
  <c r="AU189" i="1"/>
  <c r="AW189" i="1"/>
  <c r="AU171" i="1"/>
  <c r="AW171" i="1"/>
  <c r="AU15" i="1"/>
  <c r="AV15" i="1"/>
  <c r="AW15" i="1"/>
  <c r="AU166" i="1"/>
  <c r="AW166" i="1"/>
  <c r="AV3" i="1"/>
  <c r="AW3" i="1"/>
  <c r="AU193" i="1"/>
  <c r="AW193" i="1"/>
  <c r="AU184" i="1"/>
  <c r="AW184" i="1"/>
  <c r="AU175" i="1"/>
  <c r="AU161" i="1"/>
  <c r="AW161" i="1"/>
  <c r="AU50" i="1"/>
  <c r="AU14" i="1"/>
  <c r="AU3" i="1"/>
  <c r="AU20" i="1"/>
  <c r="AV20" i="1"/>
  <c r="AW20" i="1"/>
  <c r="AU179" i="1"/>
  <c r="AW179" i="1"/>
  <c r="AU188" i="1"/>
  <c r="AW188" i="1"/>
  <c r="AU192" i="1"/>
  <c r="AW192" i="1"/>
  <c r="AU174" i="1"/>
  <c r="AW174" i="1"/>
  <c r="AU160" i="1"/>
  <c r="AU155" i="1"/>
  <c r="AU70" i="1"/>
  <c r="AU54" i="1"/>
  <c r="AU183" i="1"/>
  <c r="AW183" i="1"/>
  <c r="AU75" i="1"/>
  <c r="AU29" i="1"/>
  <c r="AU187" i="1"/>
  <c r="AV187" i="1"/>
  <c r="AW187" i="1"/>
  <c r="AU169" i="1"/>
  <c r="AW169" i="1"/>
  <c r="AV191" i="1"/>
  <c r="AU178" i="1"/>
  <c r="AW178" i="1"/>
  <c r="AV173" i="1"/>
  <c r="AU164" i="1"/>
  <c r="AW164" i="1"/>
  <c r="AV159" i="1"/>
  <c r="AV154" i="1"/>
  <c r="AU145" i="1"/>
  <c r="AU135" i="1"/>
  <c r="AU130" i="1"/>
  <c r="AU125" i="1"/>
  <c r="AU120" i="1"/>
  <c r="AU115" i="1"/>
  <c r="AU110" i="1"/>
  <c r="AU105" i="1"/>
  <c r="AU100" i="1"/>
  <c r="AU95" i="1"/>
  <c r="AU90" i="1"/>
  <c r="AU69" i="1"/>
  <c r="AW156" i="1"/>
  <c r="AW151" i="1"/>
  <c r="AW146" i="1"/>
  <c r="AW141" i="1"/>
  <c r="AW136"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V86" i="1"/>
  <c r="AV81" i="1"/>
  <c r="AV76" i="1"/>
  <c r="AV71" i="1"/>
  <c r="AV66" i="1"/>
  <c r="AV61" i="1"/>
  <c r="AV56" i="1"/>
  <c r="AV51" i="1"/>
  <c r="AV46" i="1"/>
  <c r="AV41" i="1"/>
  <c r="AV6"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V148" i="1"/>
  <c r="AV143" i="1"/>
  <c r="AV138" i="1"/>
  <c r="AV13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W190" i="1"/>
  <c r="AW185" i="1"/>
  <c r="AW180"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W7" i="1"/>
  <c r="AW2" i="1"/>
  <c r="AV152" i="1"/>
  <c r="AV147" i="1"/>
  <c r="AV142" i="1"/>
  <c r="AV137" i="1"/>
  <c r="AV132" i="1"/>
  <c r="AV127" i="1"/>
  <c r="AV122" i="1"/>
  <c r="AV117" i="1"/>
  <c r="AV112" i="1"/>
  <c r="AV107" i="1"/>
  <c r="AV102" i="1"/>
  <c r="AV97" i="1"/>
  <c r="AV92" i="1"/>
  <c r="AV87" i="1"/>
  <c r="AV82" i="1"/>
  <c r="AV77" i="1"/>
  <c r="AV72" i="1"/>
  <c r="AV67" i="1"/>
  <c r="AV62" i="1"/>
  <c r="AV57" i="1"/>
  <c r="AV52" i="1"/>
  <c r="AV47" i="1"/>
  <c r="AV42" i="1"/>
  <c r="AV37" i="1"/>
  <c r="AV32" i="1"/>
  <c r="AV27" i="1"/>
  <c r="AV22" i="1"/>
  <c r="AV17" i="1"/>
  <c r="AV12"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49" i="1"/>
  <c r="AV144" i="1"/>
  <c r="AV139" i="1"/>
  <c r="AV134" i="1"/>
  <c r="AV129" i="1"/>
  <c r="AV124" i="1"/>
  <c r="AV119" i="1"/>
  <c r="AV114" i="1"/>
  <c r="AV109" i="1"/>
  <c r="AV104" i="1"/>
  <c r="AV99" i="1"/>
  <c r="AV94" i="1"/>
  <c r="AV89" i="1"/>
  <c r="AV79" i="1"/>
  <c r="AV74" i="1"/>
  <c r="AV69" i="1"/>
  <c r="AV64" i="1"/>
  <c r="AV9" i="1"/>
  <c r="AV4" i="1"/>
</calcChain>
</file>

<file path=xl/sharedStrings.xml><?xml version="1.0" encoding="utf-8"?>
<sst xmlns="http://schemas.openxmlformats.org/spreadsheetml/2006/main" count="3639" uniqueCount="2354">
  <si>
    <t>n</t>
  </si>
  <si>
    <t>undefined</t>
  </si>
  <si>
    <t>Journal</t>
  </si>
  <si>
    <t>United States</t>
  </si>
  <si>
    <t>Article</t>
  </si>
  <si>
    <t>ar</t>
  </si>
  <si>
    <t>Italy;Italy;Italy</t>
  </si>
  <si>
    <t>Journal of Comparative Physiology A</t>
  </si>
  <si>
    <t>Germany</t>
  </si>
  <si>
    <t>Netherlands;Netherlands</t>
  </si>
  <si>
    <t>Sweden</t>
  </si>
  <si>
    <t>Lund</t>
  </si>
  <si>
    <t>Lunds Universitet</t>
  </si>
  <si>
    <t>Japan</t>
  </si>
  <si>
    <t>Tokyo</t>
  </si>
  <si>
    <t>Deutsche Forschungsgemeinschaft</t>
  </si>
  <si>
    <t>DFG</t>
  </si>
  <si>
    <t>Germany;Germany;Germany</t>
  </si>
  <si>
    <t>United States;United States</t>
  </si>
  <si>
    <t>Germany;France</t>
  </si>
  <si>
    <t>Photosynthesis Research</t>
  </si>
  <si>
    <t>Poland</t>
  </si>
  <si>
    <t>Lublin</t>
  </si>
  <si>
    <t>Maria Curie-Sklodowska University in Lublin</t>
  </si>
  <si>
    <t>France</t>
  </si>
  <si>
    <t>Rennes</t>
  </si>
  <si>
    <t>Universite de Rennes 1</t>
  </si>
  <si>
    <t>China</t>
  </si>
  <si>
    <t>United Kingdom</t>
  </si>
  <si>
    <t>Cambridge</t>
  </si>
  <si>
    <t>Canada</t>
  </si>
  <si>
    <t>Russian Federation</t>
  </si>
  <si>
    <t>Nizhny Novgorod</t>
  </si>
  <si>
    <t>Institute of Applied Physics of the Russian Academy of Sciences</t>
  </si>
  <si>
    <t>60000765;60000765</t>
  </si>
  <si>
    <t>Erlangen</t>
  </si>
  <si>
    <t>Friedrich-Alexander-Universit√§t Erlangen-N√ºrnberg</t>
  </si>
  <si>
    <t>India</t>
  </si>
  <si>
    <t>San Diego</t>
  </si>
  <si>
    <t>National Aeronautics and Space Administration</t>
  </si>
  <si>
    <t>NASA</t>
  </si>
  <si>
    <t>Pasadena</t>
  </si>
  <si>
    <t>Jet Propulsion Laboratory</t>
  </si>
  <si>
    <t>Netherlands</t>
  </si>
  <si>
    <t>Japan;Japan;Japan</t>
  </si>
  <si>
    <t>Germany;Germany</t>
  </si>
  <si>
    <t>National Science Foundation</t>
  </si>
  <si>
    <t>NSF</t>
  </si>
  <si>
    <t>AEU. Archiv fur Elektronik und Ubertragungstechnik</t>
  </si>
  <si>
    <t>Bethesda</t>
  </si>
  <si>
    <t>0018926X</t>
  </si>
  <si>
    <t>IEEE Transactions on Antennas and Propagation</t>
  </si>
  <si>
    <t>Australia</t>
  </si>
  <si>
    <t>Brisbane</t>
  </si>
  <si>
    <t>Tempe</t>
  </si>
  <si>
    <t>Arizona State University</t>
  </si>
  <si>
    <t>Syracuse</t>
  </si>
  <si>
    <t>Colchester</t>
  </si>
  <si>
    <t>University of Essex</t>
  </si>
  <si>
    <t>New York</t>
  </si>
  <si>
    <t>France;Germany</t>
  </si>
  <si>
    <t>IEEE Microwave and Guided Wave Letters</t>
  </si>
  <si>
    <t>Ann Arbor</t>
  </si>
  <si>
    <t>Ottawa ON,</t>
  </si>
  <si>
    <t>National Research Council Canada</t>
  </si>
  <si>
    <t>Tucson</t>
  </si>
  <si>
    <t>Ukraine</t>
  </si>
  <si>
    <t>Kharkiv</t>
  </si>
  <si>
    <t>Mulheim an der Ruhr</t>
  </si>
  <si>
    <t>Max Planck Institute for Chemical Energy Conversion</t>
  </si>
  <si>
    <t>Stanford</t>
  </si>
  <si>
    <t>;</t>
  </si>
  <si>
    <t>Arizona Research Laboratories</t>
  </si>
  <si>
    <t>Sapporo</t>
  </si>
  <si>
    <t>Hokkaido University</t>
  </si>
  <si>
    <t>E76-B</t>
  </si>
  <si>
    <t>IEICE Transactions on Communications</t>
  </si>
  <si>
    <t>60032325;60032325;60032325</t>
  </si>
  <si>
    <t>Koganei</t>
  </si>
  <si>
    <t>Japan National Institute of Information and Communications Technology</t>
  </si>
  <si>
    <t>Telecommunications and Radio Engineering (English translation of Elektrosvyaz and Radiotekhnika)</t>
  </si>
  <si>
    <t>Nippon Telegraph and Telephone Corporation</t>
  </si>
  <si>
    <t>1432041X</t>
  </si>
  <si>
    <t>0930035X</t>
  </si>
  <si>
    <t>Roux's Archives of Developmental Biology</t>
  </si>
  <si>
    <t>Los Angeles</t>
  </si>
  <si>
    <t>University of California, Los Angeles</t>
  </si>
  <si>
    <t>Russian Federation;Russian Federation</t>
  </si>
  <si>
    <t>Germany;United States</t>
  </si>
  <si>
    <t>National Institute of Allergy and Infectious Diseases</t>
  </si>
  <si>
    <t>NIAID</t>
  </si>
  <si>
    <t>Berlin</t>
  </si>
  <si>
    <t>Canada;Canada</t>
  </si>
  <si>
    <t>International Journal of Radiation Oncology, Biology, Physics</t>
  </si>
  <si>
    <t>37-42</t>
  </si>
  <si>
    <t>Italy</t>
  </si>
  <si>
    <t>Spain</t>
  </si>
  <si>
    <t>Belgium</t>
  </si>
  <si>
    <t>Brussels</t>
  </si>
  <si>
    <t>60025555;60025555</t>
  </si>
  <si>
    <t>127-131</t>
  </si>
  <si>
    <t>60003892;60003892</t>
  </si>
  <si>
    <t>India;India</t>
  </si>
  <si>
    <t>60108318;60108318</t>
  </si>
  <si>
    <t>NYU Tandon School of Engineering</t>
  </si>
  <si>
    <t>Gaithersburg</t>
  </si>
  <si>
    <t>National Institute of Standards and Technology</t>
  </si>
  <si>
    <t>Toshiba Corporation</t>
  </si>
  <si>
    <t>60030553;60030553;60030553</t>
  </si>
  <si>
    <t>International Journal of Infrared and Millimeter Waves</t>
  </si>
  <si>
    <t>Washington, D.C.</t>
  </si>
  <si>
    <t>;;</t>
  </si>
  <si>
    <t>Xi'an</t>
  </si>
  <si>
    <t>Space Communications Research Corp</t>
  </si>
  <si>
    <t>60031004;60031004;60031004</t>
  </si>
  <si>
    <t>The University of Queensland</t>
  </si>
  <si>
    <t>York</t>
  </si>
  <si>
    <t>University of York</t>
  </si>
  <si>
    <t>Amoroso F.</t>
  </si>
  <si>
    <t>Rome</t>
  </si>
  <si>
    <t>Sapienza Universit√† di Roma</t>
  </si>
  <si>
    <t>Canada;United States</t>
  </si>
  <si>
    <t>Mitsubishi Electric Corporation</t>
  </si>
  <si>
    <t>University of Michigan, Ann Arbor</t>
  </si>
  <si>
    <t>Groningen;Utrecht</t>
  </si>
  <si>
    <t>University of Groningen;SRON Netherlands Institute for Space Research</t>
  </si>
  <si>
    <t>60010023;60001512</t>
  </si>
  <si>
    <t>Dierichs M.</t>
  </si>
  <si>
    <t>Moscow</t>
  </si>
  <si>
    <t>Russian Academy of Sciences</t>
  </si>
  <si>
    <t>Kyoto</t>
  </si>
  <si>
    <t>Berkeley</t>
  </si>
  <si>
    <t>University of California, Berkeley</t>
  </si>
  <si>
    <t>Turkey</t>
  </si>
  <si>
    <t>Perth</t>
  </si>
  <si>
    <t>Sendai</t>
  </si>
  <si>
    <t>Tohoku University</t>
  </si>
  <si>
    <t>60008134;60008134;60008134</t>
  </si>
  <si>
    <t>Paris</t>
  </si>
  <si>
    <t>CNRS Centre National de la Recherche Scientifique</t>
  </si>
  <si>
    <t>R01AI023253</t>
  </si>
  <si>
    <t>273-281</t>
  </si>
  <si>
    <t>Greece;Greece</t>
  </si>
  <si>
    <t>Komotini;Thessaloniki</t>
  </si>
  <si>
    <t>Democritus University of Thrace;Aristotle University of Thessaloniki</t>
  </si>
  <si>
    <t>60030988;60015331</t>
  </si>
  <si>
    <t>Nanjing</t>
  </si>
  <si>
    <t>Southeast University</t>
  </si>
  <si>
    <t>60032882;60032882</t>
  </si>
  <si>
    <t>Eindhoven</t>
  </si>
  <si>
    <t>Technische Universiteit Eindhoven</t>
  </si>
  <si>
    <t>Xidian University</t>
  </si>
  <si>
    <t>Finland</t>
  </si>
  <si>
    <t>Espoo</t>
  </si>
  <si>
    <t>Madrid</t>
  </si>
  <si>
    <t>60025778;60025778</t>
  </si>
  <si>
    <t>7004469751;7006384021</t>
  </si>
  <si>
    <t>Eleftheriades, George V.;Rebeiz, Gabriel M.</t>
  </si>
  <si>
    <t>Eleftheriades G.</t>
  </si>
  <si>
    <t>Chofu</t>
  </si>
  <si>
    <t>United Kingdom;United States</t>
  </si>
  <si>
    <t>Applied Superconductivity</t>
  </si>
  <si>
    <t>SERC</t>
  </si>
  <si>
    <t>60023053;60023053</t>
  </si>
  <si>
    <t>Switzerland</t>
  </si>
  <si>
    <t>Lausanne</t>
  </si>
  <si>
    <t>Swiss Federal Institute of Technology Lausanne</t>
  </si>
  <si>
    <t>Southampton</t>
  </si>
  <si>
    <t>University of Southampton</t>
  </si>
  <si>
    <t>NEC Corporation</t>
  </si>
  <si>
    <t>;;;</t>
  </si>
  <si>
    <t>60031293;60031293;60031293;60031293;60031293</t>
  </si>
  <si>
    <t>Shibutani M.</t>
  </si>
  <si>
    <t>60101699;60101699;60101699;60101699;60101699</t>
  </si>
  <si>
    <t>Waterhouse R.</t>
  </si>
  <si>
    <t>Oxford</t>
  </si>
  <si>
    <t>Hong J.</t>
  </si>
  <si>
    <t>Milwaukee</t>
  </si>
  <si>
    <t>60025555;60025555;60025555;60025555</t>
  </si>
  <si>
    <t>60001271;60001271;60001271;60001271</t>
  </si>
  <si>
    <t>Advanced Telecommunications Research Institute International (ATR)</t>
  </si>
  <si>
    <t>Filipovic D.</t>
  </si>
  <si>
    <t>1469-1471</t>
  </si>
  <si>
    <t>California Institute of Technology</t>
  </si>
  <si>
    <t>Ankara</t>
  </si>
  <si>
    <t>South Africa;South Africa</t>
  </si>
  <si>
    <t>Palo Alto</t>
  </si>
  <si>
    <t>95-104</t>
  </si>
  <si>
    <t>60014652;60014652;60014652;60014652</t>
  </si>
  <si>
    <t>Italy;Italy</t>
  </si>
  <si>
    <t>Uehara K.</t>
  </si>
  <si>
    <t>Madison</t>
  </si>
  <si>
    <t>University of Wisconsin-Madison</t>
  </si>
  <si>
    <t>Ministry of Posts and Telecommunications, Japan</t>
  </si>
  <si>
    <t>Connecticut State Emergency Response Commission</t>
  </si>
  <si>
    <t>Wu X.</t>
  </si>
  <si>
    <t>60008134;60008134</t>
  </si>
  <si>
    <t>Cahill R.</t>
  </si>
  <si>
    <t>Nokia Corporation</t>
  </si>
  <si>
    <t>0004637X</t>
  </si>
  <si>
    <t>Astrophysical Journal</t>
  </si>
  <si>
    <t>Radiophysics and Quantum Electronics</t>
  </si>
  <si>
    <t>Measurement Techniques</t>
  </si>
  <si>
    <t>1341-1347</t>
  </si>
  <si>
    <t>Journal of Electronics (China)</t>
  </si>
  <si>
    <t>University of Wisconsin-Milwaukee</t>
  </si>
  <si>
    <t>Hanson G.</t>
  </si>
  <si>
    <t>Nihon University</t>
  </si>
  <si>
    <t>Aachen</t>
  </si>
  <si>
    <t>Rheinisch-Westf√§lische Technische Hochschule Aachen</t>
  </si>
  <si>
    <t>Technical University of Berlin</t>
  </si>
  <si>
    <t>55835393000;7003764625</t>
  </si>
  <si>
    <t>Misawa, Masayoshi;Meguro, Akira</t>
  </si>
  <si>
    <t>Misawa M.</t>
  </si>
  <si>
    <t>EPL</t>
  </si>
  <si>
    <t>E76-C</t>
  </si>
  <si>
    <t>IEICE Transactions on Electronics</t>
  </si>
  <si>
    <t>60031293;60031293;60031293</t>
  </si>
  <si>
    <t>35869004100;57224264409;7007085216</t>
  </si>
  <si>
    <t>BBA - Bioenergetics</t>
  </si>
  <si>
    <t>Physics Letters A</t>
  </si>
  <si>
    <t>Denmark;Denmark</t>
  </si>
  <si>
    <t>Copenhagen;Odense</t>
  </si>
  <si>
    <t>Journal of the American Chemical Society</t>
  </si>
  <si>
    <t>Archiv f√ºr Elektrotechnik</t>
  </si>
  <si>
    <t>Visschers R.</t>
  </si>
  <si>
    <t>287-294</t>
  </si>
  <si>
    <t>60032350;60032350</t>
  </si>
  <si>
    <t>Garching bei Munchen</t>
  </si>
  <si>
    <t>Li J.</t>
  </si>
  <si>
    <t>COMSAT Technical Review</t>
  </si>
  <si>
    <t>Planta</t>
  </si>
  <si>
    <t>Journal of Chemical Ecology</t>
  </si>
  <si>
    <t>Milan;Padua</t>
  </si>
  <si>
    <t>Universit√† degli Studi di Milano;Universit√† degli Studi di Padova</t>
  </si>
  <si>
    <t>60030318;60000481</t>
  </si>
  <si>
    <t>Jennings R.</t>
  </si>
  <si>
    <t>Naturwissenschaften</t>
  </si>
  <si>
    <t>6603558268;6507254373</t>
  </si>
  <si>
    <t>Dvurechenskiy, V. D.;Aristarkhov, P. A.</t>
  </si>
  <si>
    <t>Dvurechenskiy V.</t>
  </si>
  <si>
    <t>Massachusetts Institute of Technology</t>
  </si>
  <si>
    <t>M√ºller M.</t>
  </si>
  <si>
    <t>69-73</t>
  </si>
  <si>
    <t>60020599;60020599;60020599;60020599;60020599;60020599</t>
  </si>
  <si>
    <t>7003899725;7003455129;6602497039;7103272273;7004587640;7006727968</t>
  </si>
  <si>
    <t>Enschede</t>
  </si>
  <si>
    <t>Universiteit Twente</t>
  </si>
  <si>
    <t>Terpstra D.</t>
  </si>
  <si>
    <t>Journal of Physics D: Applied Physics</t>
  </si>
  <si>
    <t>60031806;60031806;60031806;60031806</t>
  </si>
  <si>
    <t>The University of Western Australia</t>
  </si>
  <si>
    <t>FEBS Letters</t>
  </si>
  <si>
    <t>Sjogren L.</t>
  </si>
  <si>
    <t>Canadian Aeronautics and Space Journal</t>
  </si>
  <si>
    <t>60027550;60027550;60027550;60027550;60027550</t>
  </si>
  <si>
    <t>7003633790;27172314300;7202154899;7006554258;56478417600</t>
  </si>
  <si>
    <t>Sjogren, L. B.;Liu, H. X.L.;Qin, X. H.;Domier, C. W.;Luhmann, N. C.</t>
  </si>
  <si>
    <t>Computers and Structures</t>
  </si>
  <si>
    <t>['¬© 1993', 'vitamin d3', 'sodium styrenesulfonate', 'sensitized isomerization', 'rights reserved', 'previtamin d3', 'photochemical step', 'organic solution', 'exceptionally clean', 'energy donors', 'aqueous solution']</t>
  </si>
  <si>
    <t>The photochemical step in the synthesis of vitamin D3 in an aqueous solution of poly(sodium styrenesulfonate-co-2-vinylnaphthalene) (PSSS-VN) was studied using solar light. The photoisomerization of 7-dehydrocholesterol to previtamin D3 was found to be exceptionally clean and efficient. The process was shown to be photosensitized by the pendant naphthalene chromophores in the copolymer via singlet-singlet energy transfer. The lack of tachysterol, a major side product formed during photoisomerization in organic solution, was explained by triplet-sensitized isomerization of tachysterol to previtamin. Triplet-triplet energy transfer from excited polymeric naphthalene chromophores to tachysterol is efficient because of the high local concentration of tachysterol in the vicinity of the energy donors. ¬© 1993, American Chemical Society. All rights reserved.</t>
  </si>
  <si>
    <t>5975-5981</t>
  </si>
  <si>
    <t>60016849;60016849-101555420;60016849</t>
  </si>
  <si>
    <t>7004369519;6507933359;7102379256</t>
  </si>
  <si>
    <t>Nowakowska, Maria;Foyle, Victor P.;Guillet, James E.</t>
  </si>
  <si>
    <t>Toronto;West Hill</t>
  </si>
  <si>
    <t>University of Toronto;Surpass Chemicals Ltd.</t>
  </si>
  <si>
    <t>60016849;101555420</t>
  </si>
  <si>
    <t>Nowakowska M.</t>
  </si>
  <si>
    <t>Studies of the Antenna Effect in Polymer Molecules. 24. Solar Photosynthesis of Previtamin D&lt;inf&gt;3&lt;/inf&gt; in Aqueous Solutions of Poly(sodium styrenesulfonate-co-2-vinylnaphthalene)</t>
  </si>
  <si>
    <t>10.1021/ja00067a012</t>
  </si>
  <si>
    <t>2-s2.0-0001236181</t>
  </si>
  <si>
    <t>['without impairing', 'well conserved', 'water potential', 'water oxidation', 'water deficiency', 'two weeks', 'two genotypes', 'saturation curves', 'plastoquinone pool', 'pigment complexes', 'physical loss', 'photosystem 2', 'photochemical trap', 'one cause', 'medium stress', 'may result', 'massive decrease', 'lipids induced', 'light intensity', 'less markedly', 'induced reduction', 'increasing severity', 'im suggests', 'excitation energy', 'electron transport', 'drought treatment', 'core antennae', 'conformational changes', 'concentration relative', 'capturing light', 'artificial donor', 'antennae connected', 'analyzed according', 'active neighbors', '2 ).', '107 ).']</t>
  </si>
  <si>
    <t>chloroplasts | flash light | kinetic model | Lupinus albus L. | oxygen evolution | photosynthesis | water stress</t>
  </si>
  <si>
    <t>Two genotypes of Lupinus albus L., resistant and susceptible to drought, were subjected to water deficiency for up to two weeks. Such treatment progressively lowered the leaf water content from about 85% to about 60% (water potential from -0.8 to -4.3 MPa). Light-saturation curves of the uncoupled electron transport were analyzed according to a simple kinetic model of separated or connected reversible photoreactions. It gives an extrapolated maximum rate (Vmax) and the efficiency for capturing light (Im, which is the light intensity at Vmax/2). For Photosystem 2, Vmax and, less markedly, Im, declined with increasing severity of drought treatment; the artificial donor, diphenylcarbazide, could not restore the activity. One cause of this Photosystem 2 inhibition could be the loss of active Photosystem 2 centers. Indeed, their concentration relative to chlorophyll, estimated by flash-induced reduction of dimethylquinone, was halved by a medium stress. To the extent that it was still not restored by diphenylcarbazide, the site of Photosystem 2 inactivation must have been close to the photochemical trap, after water oxidation and before or at plastoquinone pool. By relating electron transport rate to active centers instead of chlorophyll, no inhibition by drought was detected. Therefore, water stress inactivates specifically Photosystem 2, without impairing a downhill thermal step of electron transport. On the other hand, the decrease of Im suggests that antennae connected to inactive centers may transfer their excitation energy to active neighbors, which implies that antenna network remains essentially intact. Gel electrophoresis confirmed that the apoproteins of the pigment complexes were well conserved. In conclusion, the inactivation of Photosystem 2 may not be a physical loss of its centers and core antennae but probably reflects protein alterations or conformational changes. These may result from the massive decrease of lipids induced by drought (Meyer et al. 1992, Photosynth. Res. 32: 95-107). Both lupin genotypes behaved similarly but, for a same deficiency, the resistant seemed unexpectedly more sensitive to drought. ¬© 1993 Kluwer Academic Publishers.</t>
  </si>
  <si>
    <t>49-60</t>
  </si>
  <si>
    <t>7402775325;6701493730</t>
  </si>
  <si>
    <t>Meyer, Sylvie;de Kouchkovsky, Yaroslav</t>
  </si>
  <si>
    <t>Meyer S.</t>
  </si>
  <si>
    <t>Electron transport, Photosystem-2 reaction centers and chlorophyll-protein complexes of thylakoids of drought resistant and sensitive Lupin piants</t>
  </si>
  <si>
    <t>10.1007/BF02185438</t>
  </si>
  <si>
    <t>2-s2.0-0002425030</t>
  </si>
  <si>
    <t>['quite accurate', 'one measure', 'novel approach', 'method gives', 'metallic strip', 'material used', 'known accurately', 'important parameters', 'frequency response', 'frequency responce', 'direct measure', 'dimensional parameters', 'dielectric constant', 'dielectric antenna', 'determined provided', 'computer techniques']</t>
  </si>
  <si>
    <t>The value of dielectric constant are the most important parameters in material science technology. In micro-wave and millimeter wave circuits using dielectric materials the values of this parameters should be known accurately. It is observed that the number of methods are reported in litrature, however these methods impose difficulties in experimentation and are not very accurate. In this paper a novel approach to the measurement of the dielectric constant of low loss materials at micro-wave and millimeter wave frequencies has been discussed. In this method by using antenna theory, a metallic strip dielectric guide is taken in to constideration and band reject phenomenon of dielectric antenna is used. Frequency response of an antenna in band reject mode is a function of the dimensional parameters, such as the metallic strip period, the profile of the metallic strip and the dielectric constant of the material used. Hence if one measure the frequency responce of the antenna in band reject mode, the dielectric constant of the material is determined provided all other parameters are known. This method gives a direct measure of dielectric constant and is quite accurate as computer techniques are used for evaluating the dielectric constant. This method verified experimentally also. ¬© 1993 Plenum Publishing Corporation.</t>
  </si>
  <si>
    <t>1471-1483</t>
  </si>
  <si>
    <t>100363696;60021318;60021318</t>
  </si>
  <si>
    <t>7103173746;35578578600;56363814400</t>
  </si>
  <si>
    <t>Rastogi, Alok Kumar;Tiwari, A. K.;Shrivastava, R. P.</t>
  </si>
  <si>
    <t>Bhopal;Bhopal</t>
  </si>
  <si>
    <t>Maulana Azad National Institute of Technology;MVAM</t>
  </si>
  <si>
    <t>60021318;100363696</t>
  </si>
  <si>
    <t>Rastogi A.</t>
  </si>
  <si>
    <t>Strip dielectric wave guide antenna-for the measurement of dielectric constant of low-loss materials</t>
  </si>
  <si>
    <t>10.1007/BF02084420</t>
  </si>
  <si>
    <t>2-s2.0-0027625433</t>
  </si>
  <si>
    <t>['transmitting antenna', 'transmitted waves', 'transmitted wave', 'thus possible', 'temperature change', 'straight line', 'spectral analysis', 'spatial resolution', 'signals transmitted', 'receiving antenna', 'paper examines', 'opposite side', 'multipath signals', 'microwave tomogram', 'microwave ct', 'incident wave', 'dimensional distribution', 'dielectric materials', 'conventional algorithms', 'complicated structures', 'chirp signal', 'chirp radar', 'beat signal', '2 ghz', '10 mm']</t>
  </si>
  <si>
    <t>Chirp signal | Computed tomography | Microwaves | Noninvasive sensing | Temperature distribution</t>
  </si>
  <si>
    <t>The chirp radar-type microwave computed tomograph (CT) measures the temperature change in a human body noninvasively. The paper examines its feasibility. A chirp pulse signal between 1 and 2 GHz is radiated from the transmitting antenna to the phantom. The transmitted waves are detected by the receiving antenna, which is place on the opposite side of the object, and the beat signal between the incident wave and the transmitted wave is produced by the mixer. By spectral analysis of the beat signal, only those signals transmitted on the straight line between the transmitting antenna and the receiving antenna are discriminated from multipath signals. The microwave tomogram can therefore be reconstructed easily using the conventional algorithms for an X-ray CT image. The microwave CT can use the chirp signal to remove the influence of multipath signals caused by diffraction and reflection. The imaging of dielectric materials with complicated structures is thus possible. The experimental results using phantoms show that the spatial resolution of this microwave CT is about 10 mm and that a two-dimensional distribution of temperature change can be measured. ¬© 1993 IFMBE.</t>
  </si>
  <si>
    <t>Medical &amp; Biological Engineering &amp; Computing</t>
  </si>
  <si>
    <t>Miyakawa, M.</t>
  </si>
  <si>
    <t>Niigata</t>
  </si>
  <si>
    <t>Niigata University</t>
  </si>
  <si>
    <t>Miyakawa M.</t>
  </si>
  <si>
    <t>Tomographic measurement of temperature change in phantoms of the human body by chirp radar-type microwave computed tomography</t>
  </si>
  <si>
    <t>10.1007/BF02446647</t>
  </si>
  <si>
    <t>2-s2.0-0027628264</t>
  </si>
  <si>
    <t>['two msas', 'successfully calculated', 'mutual coupling', 'difference time', 'complex configuration']</t>
  </si>
  <si>
    <t>We analyze the mutual coupling between two microstrip antennas (MSAs) with the finite-difference time-domain (FDTD) method. It is suitable for substrates which have a complex configuration or include feed line structures. The mutual coupling between two MSAs on discontinuous orthogonal substrates is successfully calculated.</t>
  </si>
  <si>
    <t>762-764</t>
  </si>
  <si>
    <t>7201993763;35564404500</t>
  </si>
  <si>
    <t>Uehara, Kazuhiro;Kagoshima, Kenichi</t>
  </si>
  <si>
    <t>FDTD method analysis of mutual coupling between microstrip antennas</t>
  </si>
  <si>
    <t>2-s2.0-0027628952</t>
  </si>
  <si>
    <t>['numerical solutions', 'new technique', 'microstrip antennas', 'field pattern', 'field distribution', 'current distribution', 'computation time']</t>
  </si>
  <si>
    <t>Numerical solutions for the near-field of microstrip antennas are presented. The field distribution is calculated by taking the inverse Fourier transform involving the current distribution with the help of the spectral-domain moment method. A new technique to save the computation time is devised, and the field pattern of the circularly polarized antenna is illustrated.</t>
  </si>
  <si>
    <t>759-761</t>
  </si>
  <si>
    <t>60008107;60008107;60008107</t>
  </si>
  <si>
    <t>7404558959;7003938202;35608829900</t>
  </si>
  <si>
    <t>Sasaki, Yasufumi;Kominami, Masanobu;Sawa, Shinnosuke</t>
  </si>
  <si>
    <t>Sakai</t>
  </si>
  <si>
    <t>Osaka Prefecture University</t>
  </si>
  <si>
    <t>Sasaki Y.</t>
  </si>
  <si>
    <t>Numerical solution for the near-field of microstrip antennas</t>
  </si>
  <si>
    <t>2-s2.0-0027631930</t>
  </si>
  <si>
    <t>['specific circuitry', 'space experiments', 'phase shifters', 'laser ablation', 'experimental data', 'copper metallization', '32 ghz']</t>
  </si>
  <si>
    <t>Since the discovery of high temperature superconductivity in 1987, NASA Lewis Research Centre has been involved in efforts to demonstrate it advantages for applications involving microwave electronics in space, especially space communications. The program has included thin film fabrication by means of laser ablation. Specific circuitry which has been investigated includes microstrip ring resonators at 32 GHz, phase shifters which utilize a superconducting, optically activated switch, an 8√ó8 32 GHz superconducting microstrip antenna array, and an HTS-ring-resonator stabilized oscillator at 8GHz. The latter two components are candidates for use in space experiments which will be described in other papers. Experimental data on most of the circuits will be presented as well as, in some cases, a comparison of their performance with an identical circuit utilizing gold or copper metallization.</t>
  </si>
  <si>
    <t>7 -9 pt 2</t>
  </si>
  <si>
    <t>60016296;60016296;60016296;60016296;60016296</t>
  </si>
  <si>
    <t>6508196571;7006626132;7003870589;7801359552;6602697276</t>
  </si>
  <si>
    <t>Leonaard, R. F.;Bhasin, K. B.;Romanofsky, R. R.;Cubbage, C. D.;Chorey, C. Z.</t>
  </si>
  <si>
    <t>Leonaard R.F.</t>
  </si>
  <si>
    <t>Space applications of superconducting microwave electronics at NASA Lewis research center</t>
  </si>
  <si>
    <t>2-s2.0-0027632287</t>
  </si>
  <si>
    <t>['two ports', 'theoretical analysis', 'receiving antennas', 'layer self', 'isolation characteristics', 'good agreement', 'feed locations', 'feed location', 'experimentally investigate', 'experimental results', 'element antenna', 'diplexing antenna', 'already shown']</t>
  </si>
  <si>
    <t>In a two-layer self-diplexing antenna fed at two ports, theoretical analysis has already shown that the isolation characteristics can be improved by adjusting the angle between the feed locations of the transmitting and receiving antennas. In this letter, we experimentally investigate the isolation characteristics of the self-diplexing array antenna. First, calculated and experimental results for each feed location of the element antenna are compared and good agreement is found. Second, experimental results with a 19-element planar array indicate that a self-diplexing antenna with suitably chosen feed configuration is effective in improving the isolation in a phased array antenna.</t>
  </si>
  <si>
    <t>755-758</t>
  </si>
  <si>
    <t>7006680804;35595788800;7402657600;7201747933</t>
  </si>
  <si>
    <t>Chujo, Wataru;Fujise, Masayuki;Arai, Hiroyuki;Goto, Naohisa</t>
  </si>
  <si>
    <t>Chujo W.</t>
  </si>
  <si>
    <t>Improvement of the isolation characteristics of a two-layer self-diplexing array antenna using a circularly polarized ring patch antenna</t>
  </si>
  <si>
    <t>2-s2.0-0027632577</t>
  </si>
  <si>
    <t>['termination loss', 'paper presents', 'optimum condition', 'much simple', 'measured performances', 'measured gain', 'layered rlsa', 'high gain', 'efficiency enhancement', 'considerable power', 'authors proposed', '9 dbi', '87 %)', '81 %)', '7 dbi']</t>
  </si>
  <si>
    <t>A radial line slot antenna (RLSA) is a high gain and high efficiency planar array. A single-layered RLSA is much simple in structure but the slot length must be varied to synthesize uniform aperture illumination. These are now commercialized for 12 GHz band DBS reception. In RLSAs, considerable power is dissipated in the termination as is common to other traveling wave antennas; the uniform aperture illumination is not the optimum condition for high again in RLSAs. Authors proposed a theoretical method reducing the termination loss for further efficiency enhancement. This paper presents the measured performances of the SL-RLSAs of this design with non-uniform aperture illumination. The efficiency enhancement of about 10% is observed; the measured gain of 36.7 dBi (87%) and 32.9 dBi (81%) for a 0.6 m œÜ and 0.4 m œÜ antennas respectively verify this technique.</t>
  </si>
  <si>
    <t>777-783</t>
  </si>
  <si>
    <t>60002787;60002787;60002787;60002787</t>
  </si>
  <si>
    <t>7408117894;35481283400;35495699200;7201747933</t>
  </si>
  <si>
    <t>Takahashi, Masaharu;Takada, Jun ichi;Ando, Makoto;Goto, Naohisa</t>
  </si>
  <si>
    <t>Chiba</t>
  </si>
  <si>
    <t>Chiba University</t>
  </si>
  <si>
    <t>Takahashi M.</t>
  </si>
  <si>
    <t>Aperture illumination control in radial line slot antennas</t>
  </si>
  <si>
    <t>2-s2.0-0027635337</t>
  </si>
  <si>
    <t>['unwanted torque', 'time relationship', 'satellite antennas', 'prediction methods', 'normal distribution', 'measured angle', 'hinge axis', 'ground testing', 'deployment reliability', 'deployment performance', 'deployment motion', 'deployment mechanisms', 'deployable antennas', 'curve fitting', 'constituent parts', 'angular velocity']</t>
  </si>
  <si>
    <t>A method to predict the deployment performance and reliability of satellite antennas is proposed. The gravity cancellation method is selected to minimize gravitational effect on deployment performance. Unwanted torque about the hinge axis is calculated using measured misalignment data in ground deployment testing. Parameters of the equation of deployment motion are identified by curve fitting of measured angle-time or angular velocity-time relationship. The comparison between calculated unwanted torque and the identified one shows good agreement. Therefore, in-orbit deployment performance can be predicted by deleting effects unique to ground testing. The deployment reliability prediction method is based on driving and resistive torque generated by constituent parts of deployment mechanisms. Torque measurements show that each part torque distribution can be fitted to the normal distribution. Deployment reliability can be calculated as a probability that driving torque distribution is greater than resistive torque distribution. Prediction methods are applied to the deployable antennas for Engineering Test Satellite VI(ETS-VI), scheduled for launch in 1994.</t>
  </si>
  <si>
    <t>104-111</t>
  </si>
  <si>
    <t>Nippon Kikai Gakkai Ronbunshu, C Hen/Transactions of the Japan Society of Mechanical Engineers, Part C</t>
  </si>
  <si>
    <t>Deployment performance and reliability prediction of large deployable antenna for satellite use</t>
  </si>
  <si>
    <t>2-s2.0-0027635514</t>
  </si>
  <si>
    <t>['two compounds', 'three compounds', 'spring migrants', 'semiochemicals released', 'phorodon humuli', 'olfactometer demonstrated', 'natural ratio', 'methyl salicylate', 'mass spectrometry', 'hop leaves', 'hop aphid', 'hexenal alone']</t>
  </si>
  <si>
    <t>Œ≤-caryophyllene | (E)-2-hexenal | aggregation | Aphididae | attractant | Damson-hop aphid | Homoptera | methyl salicylate | Phorodon humuli | semiochemicals</t>
  </si>
  <si>
    <t>Behavioral studies using an olfactometer demonstrated that spring migrants of the damson-hop aphid, Phorodon humuli, respond to semiochemicals released by spring migrants feeding on hop leaves. Samples of the total volatiles released on feeding were analyzed by coupled gas chromatographysingle cell recording techniques and showed the presence of several active components. Three compounds were identified, using coupled gas chromatography-mass spectrometry, as methyl salicylate, (E)-2-hexenal and Œ≤-caryophyllene. These three compounds elicited responses from separate olfactory receptors on the antenna. In the olfactometer, both (E)-2-hexenal and Œ≤-caryophyllene gave positive responses from spring migrants, and a mixture of the two compounds in the natural ratio was more attractive than (E)-2-hexenal alone. Addition of methyl salicylate eliminated the response to the active binary mixture. ¬© 1993 Plenum Publishing Corporation.</t>
  </si>
  <si>
    <t>1569-1576</t>
  </si>
  <si>
    <t>60022020;60027152;60002793;60002793;60002793</t>
  </si>
  <si>
    <t>7403368190;57210686392;7101754379;7003829798;7103167157</t>
  </si>
  <si>
    <t>Campbell, C. A.M.;Pettersson, J.;Pickett, J. A.;Wadhams, L. J.;Woodcock, C. M.</t>
  </si>
  <si>
    <t>Sweden;United Kingdom;United Kingdom</t>
  </si>
  <si>
    <t>Uppsala;Coventry;Harpenden</t>
  </si>
  <si>
    <t>Sveriges lantbruksuniversitet;University of Warwick;Rothamsted Research</t>
  </si>
  <si>
    <t>60027152;60022020;60002793</t>
  </si>
  <si>
    <t>Campbell C.A.M.</t>
  </si>
  <si>
    <t>Spring migration of damson-hop aphid, Phorodon humuli (Homoptera, Aphididae), and summer host plant-derived semiochemicals released on feeding</t>
  </si>
  <si>
    <t>10.1007/BF00984897</t>
  </si>
  <si>
    <t>2-s2.0-33845755146</t>
  </si>
  <si>
    <t>['virtual sensors', 'virtual array', 'simulation results', 'real two', 'real array', 'problem considered', 'lobe beam', 'interpolation matrix', 'direction finding', 'dimensional array', 'angular sector']</t>
  </si>
  <si>
    <t>Antenna array | Array signal processing | Direction finding | Interpolation</t>
  </si>
  <si>
    <t>The problem considered in this paper is to interpolate a virtual uniform array from a real two-dimensional array with arbitrary geometry via an interpolation matrix. The key to this problem is how to arrange these virtual sensors. It is shown that the virtual uniform linear array should have the same main-lobe beam-pattern as the real array over an angular sector of interest. Simulation results are presented to illustrate the application of virtual array in direction finding. ¬© 1993 Science Press.</t>
  </si>
  <si>
    <t>203-208</t>
  </si>
  <si>
    <t>Min, Lu</t>
  </si>
  <si>
    <t>Min L.</t>
  </si>
  <si>
    <t>Design of virtual uniform linear arrays for efficient direction finding</t>
  </si>
  <si>
    <t>10.1007/BF02684548</t>
  </si>
  <si>
    <t>2-s2.0-51649145460</t>
  </si>
  <si>
    <t>['weakly affected', 'three oscillators', 'third asymmetry', 'thermal noise', 'system composed', 'system calculated', 'second asymmetry', 'resonant gravitational', 'resonant frequency', 'resonant frequencies', 'real case', 'quality factors', 'present paper', 'normal modes', 'lowest one', 'low temperature', 'last feature', 'first oscillator', 'equivalent temperature', 'energy deposited', 'electrical q', 'different contribution', 'central mode', 'capacitive transducer', 'analytical evaluation', 'analysed concerning']</t>
  </si>
  <si>
    <t>A system composed of three coupled oscillators having the same resonant frequency is analysed. This system, which is the representation of the real physical system composed of a resonant gravitational-wave antenna equipped with a capacitive transducer and connected to a superconducting current amplifier, presents a series of asymmetries in the normal modes. An analytical evaluation of the resonant frequencies of the three normal modes of this system is given. These three normal modes are not equivalent, and their behaviour is the object of the present paper. The quality factors of the normal modes are calculated, showing that the central-mode quality factor is very weakly affected by the lowest one of the three oscillators, namely the electrical Q. A second asymmetry is then found by calculating the spread of a pulse of energy deposited into the first oscillator: it is shown that most of this energy is detected in the central mode. These two asymmetries permit to increase the sensitivity of the system calculated for the central mode. A third asymmetry is then analysed concerning the different contribution of each oscillator to the thermal noise of each mode. Supposing, as it is in the real case, that the three oscillators are in equilibrium, but at different thermodynamic temperatures, an equivalent thermodynamic temperature is calculated for each mode. This last feature can then be used to lower the equivalent temperature of the central mode without the need of cooling all the three oscillators at the same low temperature. ¬© 1993 Societ√† Italiana di Fisica.</t>
  </si>
  <si>
    <t>319-333</t>
  </si>
  <si>
    <t>Il Nuovo Cimento C</t>
  </si>
  <si>
    <t>60032350-60021660</t>
  </si>
  <si>
    <t>Cosmelli, C.</t>
  </si>
  <si>
    <t>Rome;Rome</t>
  </si>
  <si>
    <t>Sapienza Universit√† di Roma;Istituto Nazionale di Fisica Nucleare - INFN</t>
  </si>
  <si>
    <t>60032350;60021660</t>
  </si>
  <si>
    <t>Cosmelli C.</t>
  </si>
  <si>
    <t>Asymmetries on a three-coupled-oscillator system: Their use in a gravitational-radiation detector</t>
  </si>
  <si>
    <t>10.1007/BF02507644</t>
  </si>
  <si>
    <t>2-s2.0-51649146131</t>
  </si>
  <si>
    <t>['‚ àó', 'source exceeding', 'observations made', 'four antennas', 'first time', 'first image', 'data indicate', 'angular resolution', '5 au', '43 ghz']</t>
  </si>
  <si>
    <t>Interferometry | Jets of galaxies | The Galactic center</t>
  </si>
  <si>
    <t>The Galactic Center radio source Sgr A‚àó was detected for the first time with VLBI at 43 GHz. Observations made with four antennas of the Very Long Baseline Array suggest a size of the source exceeding that of a scatter-broadened unresolved object by a factor of 2-3. The data indicate that the structure is elongated along P.A. = -25 ¬± 10¬∞. A first image was made, with an angular resolution of ‚àº 1 mas (corresponding to 8.5 AU at r0 = 8.5 kpc).</t>
  </si>
  <si>
    <t>L37-L40</t>
  </si>
  <si>
    <t>Astronomy and Astrophysics</t>
  </si>
  <si>
    <t>60001754;60021907;60001754;60001754;60001754;60001753;60021557;60021557-60002644;60001754;60015009;60007328;60007328;60007328-60020680;60020680-60033420;60020680</t>
  </si>
  <si>
    <t>7004015011;7004929291;7004016026;6701588518;6508073401;6603240764;7004247728;7003522277;6603934271;7402815984;7202614585;6603177988;6603808702;7003729814;7202507088</t>
  </si>
  <si>
    <t>Krichbaum, T. P.;Zensus, J. A.;Witzel, A.;Mezger, P. G.;Standke, K. J.;Schalinski, C. J.;Alberdi, A.;Marcaide, J. M.;Zylka, R.;Rogers, A. E.E.;Booth, R. S.;R√∂nn√§ng, B. O.;Colomer, F.;Bartel, N.;Shapiro, I. I.</t>
  </si>
  <si>
    <t>Canada;United States;Spain;United States;United States;Sweden;Spain;Germany;France</t>
  </si>
  <si>
    <t>Toronto;Socorro;Granada;Cambridge;Westford;Onsala;Valencia;Bonn;Saint Martin d'Heres</t>
  </si>
  <si>
    <t>York University;National Radio Astronomy Observatory Socorro;Instituto de Astrof√≠sica de Andaluc√≠a - CSIC;Harvard-Smithsonian Center for Astrophysics;MIT Haystack Observatory;Onsala Space Observatory;Universitat de Val√®ncia;Max Planck Institute for Radio Astronomy;IRAM Institut de RadioAstronomie Millim√©trique</t>
  </si>
  <si>
    <t>60033420;60021907;60021557;60020680;60015009;60007328;60002644;60001754;60001753</t>
  </si>
  <si>
    <t>Krichbaum T.</t>
  </si>
  <si>
    <t>First 43 GHz VLBI detection of the compact source Sgr A‚àó in the Galactic Center</t>
  </si>
  <si>
    <t>2-s2.0-85011764728</t>
  </si>
  <si>
    <t>['¬© 1993', 'surface proteins', 'significant alteration', 'results suggest', 'removed previously', 'released first', 'psae resolution', 'nascn results', 'nascn concentration', 'nadp oxidoreductase', 'isolated psae', 'integral sector', 'functional integrity', 'fnr ).', 'ferredoxin either', 'fa fb', 'exposed subunits', 'essential role', 'electron transport', 'either methylviologen', 'catalytic site', 'antibody raised', 'acceptor side']</t>
  </si>
  <si>
    <t>Chloroplast | Electron transport | Fluorescence | Photosystem I | PsaE</t>
  </si>
  <si>
    <t>Treatment of thylakoids from spinach with NaSCN removes extrinsic stroma-exposed subunits of the Photosystem I complex in addition to CF1 and some other surface proteins. By increasing the NaSCN concentration, PsaE is released first, followed by PsaD and PsaC. At 0.5 M NaSCN, about 80% of PsaE is resolved without significant loss of other PS I polypeptides. Time-resolved fluorescence spectroscopy showed no significant alteration of PS I isolated from membranes thus treated with regard to energy transfer within the antennas as well as primary charge separation. Washing of thylakoids with NaSCN results in inhibition of electron transport from an artificial electron donor (ascorbate/DAD) to either methylviologen or NADP. Although higher NaSCN concentrations are required for inhibition than for resolution of PsaE, electron transport is restored by reconstitution with isolated PsaE from Synechococcus. We conclude that inhibition is due to dislocation of PsaC as a consequence of PsaE resolution, impeding efficient electron transfer from Fx to FA FB. An antibody raised against PsaC inhibits methylviologen reduction only when PsaE has been removed previously. An antibody raised against PsaE inhibits electron transport to NADP, but not to methylviologen. We conclude that binding of this antibody sterically hinders the access of ferredoxin either to the FA FB center or the catalytic site of ferredoxin: NADP oxidoreductase (FNR). Our results suggest an essential role of PsaE in stabilization of the acceptor side of PS I, in particular in maintenance of the functional integrity between the FA FB protein and the membrane-integral sector of the PS I core. ¬© 1993.</t>
  </si>
  <si>
    <t>204-210</t>
  </si>
  <si>
    <t>60025310;60025310</t>
  </si>
  <si>
    <t>7102101702;7003701038</t>
  </si>
  <si>
    <t>Weber, Nicola;Strotmann, Heinrich</t>
  </si>
  <si>
    <t>Dusseldorf</t>
  </si>
  <si>
    <t>Heinrich-Heine-Universit√§t D√ºsseldorf</t>
  </si>
  <si>
    <t>Weber N.</t>
  </si>
  <si>
    <t>On the function of subunit PsaE in chloroplast Photosystem I</t>
  </si>
  <si>
    <t>10.1016/0005-2728(93)90144-5</t>
  </si>
  <si>
    <t>2-s2.0-0027161399</t>
  </si>
  <si>
    <t>SFB 312</t>
  </si>
  <si>
    <t>['¬© 1993', 'two polypeptides', 'rso thylakoids', 'ps ii', 'protein complex', 'polyclonal antiserum', 'oligomeric pigment', 'oligomeric forms', 'new chl', 'k .-', 'isolated polypeptides', 'isoelectric points', 'heterogeneously composed', 'dordrecht ).', 'described recently', 'denaturing conditions', 'current research', 'clearly identified', 'binding polypeptide', 'around 6', '70 kda', '3 chl', '24 kda', '15 kda', '120 kda', '., ed', '., bechtel', '), vol']</t>
  </si>
  <si>
    <t>(Spinach) | Light-harvesting complex | Photosynthesis | Photosystem II | Pigment binding protein</t>
  </si>
  <si>
    <t>We described recently a new Chl a b binding polypeptide in PS II from spinach (Irrgang, K.-D., Bechtel, C., Vater, J. and Renger, G. (1990) in Current Research in Photosynthesis (Baltscheffsky, M., ed.), Vol. I, pp. 375-378, Kluwer, Dordrecht). This 14-15 kDa chlorophyll a b binding polypeptide complex was isolated and purified from intrinsic photosystem II membrane polypeptides. About 3 Chl a and 1 Chl b were bound per protein molecule. A polyclonal antiserum was induced against this pigment-protein complex. SDS polyacrylamide gradient gel electrophoresis in combination with immunoblotting revealed reactivities with two polypeptides of very similar relative molecular masses of 14 and 15 kDa that are clearly identified in thylakoids, PS II membrane fragments, ISO and RSO thylakoids. Their N-termini were blocked by an as yet unidentified modifying group. Using analytical isoelectric focusing under denaturing conditions their isoelectric points were determined to be 5.2-5.3 and around 6.0-6.5. The isolated polypeptides of the pigment-protein complex tend to self-associate into oligomeric forms of about 66-70 kDa. Furthermore, under mild solubilisation conditions an oligomeric pigment-protein complex of 120 kDa was observed. This oligomer was shown to be heterogeneously composed of the 14-15 kDa proteins and at least another pigment-binding polypeptide with an Mr of 22-24 kDa. The low molecular mass pigment-protein complex (CP14-15) is proposed to act as an additional antenna complex within PS II. ¬© 1993.</t>
  </si>
  <si>
    <t>173-182</t>
  </si>
  <si>
    <t>60011604;60011604;60011604;60011604</t>
  </si>
  <si>
    <t>7004095338;6507917684;7003868616;56216930900</t>
  </si>
  <si>
    <t>Irrgang, Klaus Dieter;Kablitz, B√§rbel;Vater, Joachim;Renger, Gernot</t>
  </si>
  <si>
    <t>Irrgang K.D.</t>
  </si>
  <si>
    <t>Identification, isolation and partial characterisation of a 14-15 kDa pigment binding protein complex of PS II from spinach</t>
  </si>
  <si>
    <t>000527289390140B</t>
  </si>
  <si>
    <t>10.1016/0005-2728(93)90140-B</t>
  </si>
  <si>
    <t>2-s2.0-0027178092</t>
  </si>
  <si>
    <t>['well reproduced', 'warm magnetoplasma', 'thermal structure', 'spatial evolution', 'source antenna', 'resonance cone', 'phase jump', 'overall behaviour', 'numerical calculation', 'electrostatic approximation']</t>
  </si>
  <si>
    <t>The spatial evolution of the phase of the potential of a resonance cone excited in a warm magnetoplasma by a point-source antenna has been measured. Accurate phase measurements show that at some distance from the source a 2n phase jump occurs. This is related to the thermal structure of the resonance cone. This phase jump and the overall behaviour of the phase are well reproduced by a numerical calculation in the electrostatic approximation. ¬© 1993 IOP Publishing Ltd.</t>
  </si>
  <si>
    <t>125-128</t>
  </si>
  <si>
    <t>60110940;60110940;60110940;60110940</t>
  </si>
  <si>
    <t>6603024678;6602943194;6701364643;6602283473</t>
  </si>
  <si>
    <t>Boucher, I.;Brian√ßon, J. L.;Pierre, T.;Leclert, G.</t>
  </si>
  <si>
    <t>Nancy</t>
  </si>
  <si>
    <t>Institut Jean Lamour</t>
  </si>
  <si>
    <t>Boucher I.</t>
  </si>
  <si>
    <t>Phase jump due to thermal effects along the resonance cone trajectory</t>
  </si>
  <si>
    <t>10.1209/0295-5075/23/2/008</t>
  </si>
  <si>
    <t>2-s2.0-84956083565</t>
  </si>
  <si>
    <t>['¬© 1993', 'rhodospirillum rubrum', 'purple bacteria', 'protein environment', 'previously described', 'presented indicating', 'picosecond dynamics', 'photoreceptor units', 'photoexcited bacteriochlorophyll', 'peripheral antenna', 'lived component', 'isolated b800', 'harvesting complex', 'excitation transfer', '850 light']</t>
  </si>
  <si>
    <t>B800-850 complex | Chromatium minutissimum | Excitations dynamics | Picosecond fluorescence | Protein relaxation</t>
  </si>
  <si>
    <t>The picosecond dynamics of excitations in the isolated B800-850 light-harvesting complex of the purple sulfur bacterium Chromatium minutissimum has been studied using picosecond fluorescence spectrochronography. A short-lived component of about 20 ps lifetime has been found at 77K at the short wavelength part of the B850 fluorescence spectrum similar to that previously described for the core antenna bacteriochlorophyll band B880 of Rhodospirillum rubrum. Evidence has been presented indicating that this component is likely to reflect excitation energy relaxation step(s) involving both photoexcited bacteriochlorophyll and the protein environment. A new kinetic scheme of excitation transfer from the peripheral antenna to the photoreceptor units in purple bacteria is suggested which takes into account these findings. ¬© 1993.</t>
  </si>
  <si>
    <t>68-70</t>
  </si>
  <si>
    <t>60007457;60068852;60068852;60110546</t>
  </si>
  <si>
    <t>6701859381;6701855945;7005109792;7006770967</t>
  </si>
  <si>
    <t>Godik, Valentina;Timpmann, Kou;Freiberg, Arvi;Moskalenko, Andrey A.</t>
  </si>
  <si>
    <t>Russian Federation;Estonia;Russian Federation</t>
  </si>
  <si>
    <t>Pushchino;Tallinn;Moscow</t>
  </si>
  <si>
    <t>Institute of Fundamental Problems of Biology of the Russian Academy of Sciences;Academia Scientiarum Estoniae;Lomonosov Moscow State University</t>
  </si>
  <si>
    <t>60110546;60068852;60007457</t>
  </si>
  <si>
    <t>Godik V.</t>
  </si>
  <si>
    <t>Picosecond dynamics of excitations in light-harvesting complex B800-850 from Chromatium minutissimum studied using fluorescence spectrochronography</t>
  </si>
  <si>
    <t>0014-5793(93)81041-W</t>
  </si>
  <si>
    <t>10.1016/0014-5793(93)81041-W</t>
  </si>
  <si>
    <t>2-s2.0-0027179313</t>
  </si>
  <si>
    <t>['¬© 1993', 'xanthophyll bands', 'two others', 'transitions originate', 'temperature absorption', 'stark spectrum', 'stark spectra', 'stark effect', 'localized chlorophyll', 'increased changes', 'harvesting chlorophyll', 'gaussian deconvolution', 'eight bands', 'different parts', 'briefly discussed', 'band structure', 'absorption spectrum', '678 nm', '671 nm', '665 nm', '665 671', '656 nm', '639 nm', '513 nm', '484 nm', '3 nm']</t>
  </si>
  <si>
    <t>Chlorophyll protein | CP-II | LHC-II | Light-harvesting chlorophyll-protein | Photosynthesis | Spectral form | Stark spectrum</t>
  </si>
  <si>
    <t>The band structure of low-temperature absorption and Stark spectra of light-harvesting chlorophyll a/b protein complexes LHC-II and CP-II is analysed. In the red spectral region, the Stark spectrum serves as an independent experimental reference allowing for the resolution of eight bands at 639, 642-3, 649, 656, 662, 665 671 and 678 nm, consistently with the gaussian deconvolution of the absorption spectrum. Different parts of the Stark spectrum are fitted with combinations of the derivatives of either the total absorption spectrum or of individual gaussian components. Two electronic transitions at 671 nm and 678 nm and two others at 639 nm and 642-3 nm are found to excite, respectively, localized chlorophyll a and chlorophyll b states. Increased changes in permanent dipole moment, ŒîŒº ‚âÖ 2.2 Debye units, corresponding to the transitions at 656 nm and at 665 nm, and an increase in polarizability ‚âÖ 70 √Ö 3 corresponding to the first of them indicate that these transitions originate from strong exciton coupling. In the violet, the Stark spectra are dominated by the contribution from xanthophylls. A value of ŒîŒº ‚â• 10 D was estimated for xanthophyll bands at 484 nm and at 511-513 nm. The mechanism of the Stark effect in xanthophylls is briefly discussed. ¬© 1993.</t>
  </si>
  <si>
    <t>60011685;60011685;60011685</t>
  </si>
  <si>
    <t>35615147100;6701372735;55935668900</t>
  </si>
  <si>
    <t>Krawczyk, Stanis≈Çaw;Krupa, Zbigniew;Maksymiec, Waldemar</t>
  </si>
  <si>
    <t>Krawczyk S.</t>
  </si>
  <si>
    <t>Stark spectra of chlorophylls and carotenoids in antenna pigment-proteins LHC-II and CP-II</t>
  </si>
  <si>
    <t>000527289390198O</t>
  </si>
  <si>
    <t>10.1016/0005-2728(93)90198-O</t>
  </si>
  <si>
    <t>2-s2.0-0027313313</t>
  </si>
  <si>
    <t>['œîœº equal', '¬© 1993', 'tentatively attributed', 'strong band', 'stark spectra', 'reaction center', 'primary donor', 'particles devoid', 'p700 ratio', 'oxidation state', 'exciton coupling', 'electronic transitions', 'effects observed', 'chlorophyll cation', 'bands appear', 'antenna pigments', 'accessory chlorophyll', '807 nm', '701 nm', '687 nm']</t>
  </si>
  <si>
    <t>Chlorophyll-protein complex | CP-I | P700-enriched particle | Photosynthesis | Photosystem I | Reaction center | Stark spectrum</t>
  </si>
  <si>
    <t>Quadratic Stark effect was measured in the red and near infrared spectral regions for Photosystem I particles devoid of most antenna pigments, with the chlorophyll/P700 ratio of 11. Stark spectra of reduced primary electron donor exhibit a strong band at 701 nm, corresponding to a change in permanent dipole moment ŒîŒº = 5-5.3 D. When the primary donor is oxidized, two other bands appear at 807 nm and at 687 nm with ŒîŒº equal to 5.15 D and ‚âÖ 1.75 D, respectively. They are assigned to electronic transitions in chlorophyll cation and in neutral Chl molecule constituting the oxidized primary electron donor. In addition, two other features at ‚âÖ 688 nm and around 670 nm were revealed, which are sensitive to the oxidation state of the primary donor. They are tentatively attributed to the primary electron acceptor A0 and to an accessory chlorophyll a in the reaction center of Photosystem I. Exciton coupling and induced dipole moments are indicated as the sources of the effects observed. ¬© 1993.</t>
  </si>
  <si>
    <t>282-290</t>
  </si>
  <si>
    <t>60011685;60027553</t>
  </si>
  <si>
    <t>35615147100;55974981900</t>
  </si>
  <si>
    <t>Krawczyk, Stanis≈Çaw;Ikegami, Isamu</t>
  </si>
  <si>
    <t>Japan;Poland</t>
  </si>
  <si>
    <t>Tokyo;Lublin</t>
  </si>
  <si>
    <t>Teikyo University;Maria Curie-Sklodowska University in Lublin</t>
  </si>
  <si>
    <t>60027553;60011685</t>
  </si>
  <si>
    <t>Stark signals associated with the reduced and oxidized states of P700 in P700-enriched particles</t>
  </si>
  <si>
    <t>000527289390199P</t>
  </si>
  <si>
    <t>10.1016/0005-2728(93)90199-P</t>
  </si>
  <si>
    <t>2-s2.0-0027326219</t>
  </si>
  <si>
    <t>['¬© 1993', 'xylene isomerisation', 'undesired dealkylation', 'paraffinic compounds', 'mole ratio', 'mfi zeolite', 'isomer feed', 'ethylbenzene dealkylation', 'ethylbenzene concentration', 'desirable reaction', 'dealkylation depends']</t>
  </si>
  <si>
    <t>C  aromatics 8 | dealkylation | ethylbenzene alkylation | xylene isomerisation | zeolite MFI</t>
  </si>
  <si>
    <t>The desirable reaction of ethylbenzene dealkylation, accompanied by xylene isomerisation, has been studied over MFI zeolite. The effects of variation in ethylbenzene concentration in the isomer feed and the presence of paraffinic compounds on the dealkylation have been considered. Also, the undesired dealkylation of ethylbenzene during its alkylation is reported. The extent of dealkylation depends on the weight hourly space velocity, temperature and mole ratio of alkylbenzene to alcohol. The suppression of the undesired dealkylation during alkylation is discussed. ¬© 1993.</t>
  </si>
  <si>
    <t>0926860X</t>
  </si>
  <si>
    <t>Applied Catalysis A, General</t>
  </si>
  <si>
    <t>60052874;60052874</t>
  </si>
  <si>
    <t>6701614531;6701501733</t>
  </si>
  <si>
    <t>Bhat, Y. S.;Halgeri, A. B.</t>
  </si>
  <si>
    <t>Vadodara</t>
  </si>
  <si>
    <t>Indian Petrochemicals Corporation Limited</t>
  </si>
  <si>
    <t>Bhat Y.</t>
  </si>
  <si>
    <t>Desired and undesired ethylbenzene dealkylation over MFI zeolite catalyst</t>
  </si>
  <si>
    <t>0926-860X(93)80140-L</t>
  </si>
  <si>
    <t>10.1016/0926-860X(93)80140-L</t>
  </si>
  <si>
    <t>2-s2.0-0027624999</t>
  </si>
  <si>
    <t>['reduced relative', 'psii showed', 'proteins cp29', 'protein complexes', 'plants grown', 'photosynthetic apparatus', 'minor chlorophyll', 'major light', 'lower ratio', 'intermittent light', 'ii core', 'higher ratio', 'higher chlorophyll', 'flatbed isoelectrofocussing', 'different ratio', 'continuous light', 'centre polypeptides', 'binding proteins', 'b ratio', 'b complexes', 'antenna system', 'altered stoichiometry', 'altered organization']</t>
  </si>
  <si>
    <t>Chlorophyll-protein complex (stoichiometry) | Chloroplast development | Intermittent light | Photosynthetic pigment | Photosystem II | Zea</t>
  </si>
  <si>
    <t>We studied the organization of the antenna system of maize (Zea mays L.) seedlings grown under intermittent light conditions for 11 d. These plants had a higher chlorophyll-a/b ratio, a higher ratio of carotenoids to chlorophyll and a lower ratio of chlorophyll to protein than plants grown in continuous light. We found all chlorophyll-protein complexes of maize to be present. However, the minor chlorophyll a/b-proteins CP29 and CP26, and to a greater extent CP24 and the major light-harvesting complex II were reduced relative to the photosystem (PS) II core-complex. Also the chlorophyll a/b-antennae of PSI were reduced relative to the reaction-centre polypeptides. When isolated by flatbed isoelectrofocussing, the chlorophyll-a/b complexes of PSII showed a higher chlorophyll-a/b ratio and a lower ratio of chlorophyll to protein than the same complexes from continuous light; additionally, they bound more carotenoids per protein than the latter. Thus the altered organization of the photosynthetic apparatus of plants from intermittent light is caused by two different factors: (i) the altered stoichiometry of chlorophyll-binding proteins and (ii) a different ratio of pigment to protein within individual chlorophyll-proteins. ¬© 1993 Springer-Verlag.</t>
  </si>
  <si>
    <t>265-273</t>
  </si>
  <si>
    <t>60000481;60000481</t>
  </si>
  <si>
    <t>7005368215;35553979700</t>
  </si>
  <si>
    <t>Marquardt, J√ºrgen;Bassi, Roberto</t>
  </si>
  <si>
    <t>Padua</t>
  </si>
  <si>
    <t>Universit√† degli Studi di Padova</t>
  </si>
  <si>
    <t>Marquardt J.</t>
  </si>
  <si>
    <t>Chlorophyll-proteins from maize seedlings grown under intermittent light conditions - Their stoichiometry and pigment content</t>
  </si>
  <si>
    <t>10.1007/BF00199759</t>
  </si>
  <si>
    <t>2-s2.0-0000163417</t>
  </si>
  <si>
    <t>Bundesministerium f√ºr Forschung und Technologie</t>
  </si>
  <si>
    <t>BMFT</t>
  </si>
  <si>
    <t>['¬© 1993', 'water reduction', 'volumetric measurements', 'volmer quenching', 'visible light', 'varying extents', 'tio2pt catalysts', 'techniques used', 'steady state', 'small amounts', 'sensitizers employed', 'sacrificial systems', 'sacrificial photoreduction', 'relatively inexpensive', 'quantum yields', 'quantum yield', 'pyrimidine ligand', 'pvs reduction', 'pvs photoreduction', 'photolysis solution', 'os catalysts', 'new catalysts', 'model nature', 'linear dependence', 'ionic strength', 'hydrogenation properties', 'heteroleptic complexes', 'greater efficiency', 'fully developed', 'extremely stable', 'electron relays', 'dihydrogen photoproduction', 'dihydrogen gas', 'dihydrogen evolution', 'cyclic voltammetry', 'convert protons', 'chemical energy', 'catalytic efficiency', 'aqueous solutions']</t>
  </si>
  <si>
    <t>Thermally and photochemically stable catalysts in systems that convert the energy of visible light into the chemical energy of dihydrogen gas have yet to be fully developed and all proposed systems suffer, to varying extents, from loss of activity with use. We have attempted to model nature's photochemical reaction center through the use of TiO2 antenna catalysts and very small amounts of Pt that form active centers on the TiO2 semiconductor surface. This system is relatively inexpensive, reproducible, extremely stable, efficient in conversion of light to dihydrogen in aqueous solutions and displays higher linearity in dihydrogen evolution with greater efficiency in recycling than do other previously reported catalysts. Here we report the self-hydrogenation properties of our TiO2Pt catalysts in comparison with well known Pt, Ru and Os catalysts as well as their catalytic efficiency in systems for the sacrificial photoreduction of water. The sensitizers employed in this study were a recently synthesized new class of bis-heteroleptic complexes [Ru(bpy)2(PP)]2+, [Ru(bpy)2(PPB)]2+, [Ru(bpy)2(PPB-pCl)]2+ containing one pyridyl-pyrimidine ligand and [Ru(bpy)3]2+ and [Ru(bpz)3]2+ as well known standard sensitizers. In order to obtain maximum information about the TiO2Pt catalysts we varied the components and conditions in our sacrificial systems for water reduction: MV2+, PVS MPVS were used as electron relays, EDTA and TEOA as sacrificial electron donors. Furthermore, the dependence of the dihydrogen evolution rates on the pH of the photolysis solution and its ionic strength were investigated. The techniques used in this study are cyclic voltammetry, steady state and time resolved luminescence spectroscopy, Stern-Volmer quenching, measurements of the quantum yields for PVS reduction, and volumetric measurements of dihydrogen photoproduction. A linear dependence was found between the dihydrogen production rate of the TiO2Pt catalysts and the quantum yield for the MV2+ and PVS photoreduction at low ionic strength, showing that the new catalysts are reduced by the electron relays and convert protons into dihydrogen in a highly efficient manner. ¬© 1993.</t>
  </si>
  <si>
    <t>233-245</t>
  </si>
  <si>
    <t>Journal of Photochemistry and Photobiology, A: Chemistry</t>
  </si>
  <si>
    <t>60033241;60030162;60033241</t>
  </si>
  <si>
    <t>56836179900;7003892177;24754540800</t>
  </si>
  <si>
    <t>D√ºrr, H.;Bo√ümann, S.;Beuerlein, A.</t>
  </si>
  <si>
    <t>Saarbrucken;New York</t>
  </si>
  <si>
    <t>Universit√§t des Saarlandes;Columbia University</t>
  </si>
  <si>
    <t>60033241;60030162</t>
  </si>
  <si>
    <t>D√ºrr H.</t>
  </si>
  <si>
    <t>Biomimetic approaches to the construction of supramolecular catalysts: titanium dioxide-platinum antenna catalysts to reduce water using visible light</t>
  </si>
  <si>
    <t>101060309390010I</t>
  </si>
  <si>
    <t>10.1016/1010-6030(93)90010-I</t>
  </si>
  <si>
    <t>2-s2.0-0000371578</t>
  </si>
  <si>
    <t>['therefore suggest', 'suboesophageal ganglion', 'serotoninergic control', 'salivary glands', 'one system', 'neural sheaths', 'mandibular nerve', 'located outside', 'immunoreactive terminals', 'frontal margin', 'frontal ganglion', 'direct contact', 'dense plexus', 'closely associated', 'close contact', 'axon swellings', 'anterior pharynx', 'antennal nerves']</t>
  </si>
  <si>
    <t>Electron microscopy | Immunohistochemistry | Leptinotarsa decemlineata (Insecta) | Neurohemal systems | Serotonin (5-HT) | Targeted release</t>
  </si>
  <si>
    <t>We analyzed the anatomy of two diffuse neurohemal systems for serotonin in the head of the Colorado potato beetle Leptinotarsa decemlineata by means of immunohistochemistry. One system is formed by axons from two bilateral pairs of neurons in the frontal margin of the suboesophageal ganglion that enter the ipsilateral mandibular nerve, emerge from this nerve at some distance from the suboesophageal ganglion, and cover all branches of the mandibular nerve with a dense plexus of immunoreactive axon swellings. The other system is formed by axons from two large neurons in the frontal ganglion that enter the ipsilateral frontal connectives, emerge from these connectives, and form a network of axon swellings on the labroforntal, pharyngeal, and antennal nerves and on the surface of the frontal ganglion. Immunohistochemical electron microscopy demonstrated that the axon swellings are located outside the neural sheaths of the nerves and hence in close contact with the hemolymph. We therefore suggest that these plexuses represent extensive neurohemal systems for serotonin. Most immunoreactive terminals are in direct contact with the hemolymph, and other terminals are closely associated with the muscles of the mandibles, labrum, and anterior pharynx, as well as with the salivary glands, indicating that these organs are under serotoninergic control. ¬© 1993 Springer-Verlag.</t>
  </si>
  <si>
    <t>327-333</t>
  </si>
  <si>
    <t>0302766X</t>
  </si>
  <si>
    <t>Cell &amp; Tissue Research</t>
  </si>
  <si>
    <t>60008734-60004156;60004156</t>
  </si>
  <si>
    <t>7006171049;6602756718</t>
  </si>
  <si>
    <t>van Haeften, T.;Schooneveld, H.</t>
  </si>
  <si>
    <t>Amsterdam;Wageningen</t>
  </si>
  <si>
    <t>Vrije Universiteit Amsterdam;Wageningen University &amp; Research</t>
  </si>
  <si>
    <t>60008734;60004156</t>
  </si>
  <si>
    <t>van Haeften T.</t>
  </si>
  <si>
    <t>Diffuse serotoninergic neurohemal systems associated with cerebral and suboesophageal nerves in the head of the Colorado potato beetle Leptinotarsa decemlineata</t>
  </si>
  <si>
    <t>10.1007/BF00312835</t>
  </si>
  <si>
    <t>2-s2.0-0027296464</t>
  </si>
  <si>
    <t>['wider bandwidth', 'wave beams', 'tuning elements', 'techniques involving', 'single array', 'producing elements', 'beam shaping', 'based arrays', 'amplitude control']</t>
  </si>
  <si>
    <t>New array design concepts are described for the phase and amplitude control of millimeter and submillimeter-wave beams. Phase shifter array designs providing increased phase range and wider bandwidth are described. Techniques involving the integration of gain-producing elements as well as tuning elements on a single array are proposed for application to high-performance beam control and beam shaping. These concepts should facilitate the further development of quasi-optical solid state device-based arrays for application to millimeter-wave electronic systems. ¬© 1993 Plenum Publishing Corporation.</t>
  </si>
  <si>
    <t>1509-1529</t>
  </si>
  <si>
    <t>Array designs for amplitude and phase control of millimeter-wave beams</t>
  </si>
  <si>
    <t>10.1007/BF02096212</t>
  </si>
  <si>
    <t>2-s2.0-0027640576</t>
  </si>
  <si>
    <t>['series array', 'rf signal', 'photolithographical techniques', 'nb junctions', 'mixer incorporates', 'coupling efficiency', 'coupled via', 'beam efficiency', '95 k', '90 %.', '65 %.', '305 ghz', '190 ghz', '160 k']</t>
  </si>
  <si>
    <t>Beam efficiency | Gaussicity | Log-periodic planar antenna | SIS Nb-Al/AlO -Nb junction x</t>
  </si>
  <si>
    <t>Two open structure heterodyne receivers have been designed and tested at 180 and 305 GHz. The RF signal is coupled via a seven teeth log-periodic planar antenna to the mixer. The beam efficiency of the antenna is 65 %. The coupling efficiency to the fundamental gaussian mode is higher than 90%. The mixer incorporates a series array of two SIS Nb-Al/AlOx-Nb junctions. Photolithographical techniques have been employed to fabricate the antennas and the junctions. Double side band noise receiver temperatures of 95 K at 190 GHz and 160 K at 305 GHz have been measured. ¬© 1993 Plenum Publishing Corporation.</t>
  </si>
  <si>
    <t>1495-1507</t>
  </si>
  <si>
    <t>60001753-60008828;60001753;60001753</t>
  </si>
  <si>
    <t>8439851300;57198052918;6602318377</t>
  </si>
  <si>
    <t>Fern√°ndez, Jos√© Antonio L√≥pez;Lehnert, Thomas;Mattiocco, Fran√ßois</t>
  </si>
  <si>
    <t>Spain;France</t>
  </si>
  <si>
    <t>Guadalajara;Saint Martin d'Heres</t>
  </si>
  <si>
    <t>Centro Astronomico de Yebes;IRAM Institut de RadioAstronomie Millim√©trique</t>
  </si>
  <si>
    <t>60008828;60001753</t>
  </si>
  <si>
    <t>Fern√°ndez J.A.L.</t>
  </si>
  <si>
    <t>Open structure log-periodic SIS receivers at 180 and 305 GHz</t>
  </si>
  <si>
    <t>10.1007/BF02096211</t>
  </si>
  <si>
    <t>2-s2.0-0027641845</t>
  </si>
  <si>
    <t>['total field', 'numerical results', 'multiple scattering', 'millimeter wave', 'good agreement', 'experimental data', 'coherent field']</t>
  </si>
  <si>
    <t>measurement system | Millimeter wave | multiple scattering | rain attenuation</t>
  </si>
  <si>
    <t>In this paper, the effect of rain induced attenuation for millimeter wave is discussed. The theory of multiple scattering is used to obtain the solution for the plane wave propagation through a plane parallel medium of thickness L containing randomly distributed nonspherial particles. The coherent field and the total field are studied, respectively. The numerical results are good agreement with experimental data and the multiple scattering effects must be included. A 3mm wave propagation measurement system was made on a 0.8km terrestrial link. ¬© 1993 Plenum Publishing Corporation.</t>
  </si>
  <si>
    <t>1553-1564</t>
  </si>
  <si>
    <t>60025578;60025578;60025578</t>
  </si>
  <si>
    <t>36755004100;6507042368;6504098989</t>
  </si>
  <si>
    <t>Yi, Yan;Jiying, Huang;Shuyi, Dong</t>
  </si>
  <si>
    <t>Yi Y.</t>
  </si>
  <si>
    <t>Rain induced attenuation for 3mm wave band and its measurement system</t>
  </si>
  <si>
    <t>10.1007/BF02096215</t>
  </si>
  <si>
    <t>2-s2.0-0027642828</t>
  </si>
  <si>
    <t>['tests performed', 'tempest program', 'shielded access', 'service doors', 'metallic enclosures', 'great extent', 'features encountered', 'enclosures depends', 'enclosure designers', 'electronic enclosures', 'electronic devices', 'design geometry', 'degrade shielding', 'commercial design', 'cable openings']</t>
  </si>
  <si>
    <t>Metallic enclosures for electronic devices prevent electromagnetic (EM) radiation from leaving or entering the enclosure. The success of these enclosures depends to a great extent on design geometry. Service doors, vents and cable openings are just a few features encountered in most electronic enclosures that degrade shielding. Enclosure designers can learn from the TEMPEST program how to design highly shielded enclosures for electronic devices that need to meet European EMC directives. An experimental enclosure based on a shielded access 'maze' concept was developed to obtain a shielding effectiveness far better than the commercial design. Tests performed at the EMC/ESD Compliance Services test facility indicate that enclosure/door design geometry is able to provide high shielding for electronic devices.</t>
  </si>
  <si>
    <t>33-34</t>
  </si>
  <si>
    <t>EMC test &amp; design</t>
  </si>
  <si>
    <t>Kultsar, Emery</t>
  </si>
  <si>
    <t>Armonk</t>
  </si>
  <si>
    <t>International Business Machines</t>
  </si>
  <si>
    <t>Kultsar E.</t>
  </si>
  <si>
    <t>Design geometry for enclosure shielding</t>
  </si>
  <si>
    <t>2-s2.0-0027644681</t>
  </si>
  <si>
    <t>['periodic antenna', 'new antenna', 'made across', 'log periodic', 'field strengths', 'conventional log', 'broadband dipole', 'biconical antenna', 'behaved transition', '300 mhz', '30 mhz', '10 v', '1 ghz']</t>
  </si>
  <si>
    <t>A new antenna is presented which enables all radiated EMC measurements to be made across the entire frequency range from 30 MHz to 1 GHz. Estimates of test time savings vary from 10-30 percent depending upon the test methods used. The new antenna outperforms the biconical antenna below 300 MHz and is comparable to a conventional log-periodic antenna above this frequency. These is a well-behaved transition between the two operating modes of the antenna, broadband dipole and log periodic, and the antenna has an adequate power handling capability for radiated immunity testing at 3-m distance for field strengths in excess of 10 V/m.</t>
  </si>
  <si>
    <t>28-31</t>
  </si>
  <si>
    <t>60016418;60016418;60016418</t>
  </si>
  <si>
    <t>7005566736;7201730406;36803641900</t>
  </si>
  <si>
    <t>Marvin, Andy;Porter, S. J.;Riley, David</t>
  </si>
  <si>
    <t>Marvin A.</t>
  </si>
  <si>
    <t>30 MHz to 1 GHz in one sweep - the bilog</t>
  </si>
  <si>
    <t>2-s2.0-0027646607</t>
  </si>
  <si>
    <t>['terms related', 'rugged service', 'personal computer', 'new system', 'instrumentation accuracy', 'furnace dimensions', 'dual antennas', 'critical parameters', 'calibrating fm']</t>
  </si>
  <si>
    <t>An upgraded Microwave Burden Height Measuring System (MBHMS) developed and installed in production blast furnaces at a Bethlehem Steel Corporation plant is described. The MBHMS is a modern distance measuring microwave radar featuring fast-Fourier-transform signal processing techniques that enable accurate level measurements under difficult operating conditions. A self-calibrating FM-CW microwave radar that uses wideband swept frequency and dual antennas is employed in the system. In addition, the system can monitor and record the critical parameters of the radar and various installation accessories, which can help improve maintenance and instrumentation accuracy. A 'rugged service' personal computer is used in the new system to perform the signal processing calculations, determine the distance in terms related to the furnace dimensions, sequence the remote monitoring elements and provide graphic displays of the real-time and historic burden height.</t>
  </si>
  <si>
    <t>I &amp; SM</t>
  </si>
  <si>
    <t>60092662;60092662;60092662</t>
  </si>
  <si>
    <t>6603746639;7003875803;6505618139</t>
  </si>
  <si>
    <t>Mawhinney, D. D.;Presser, A.;Koselke, T.</t>
  </si>
  <si>
    <t>Flanders</t>
  </si>
  <si>
    <t>MMTC, Inc.</t>
  </si>
  <si>
    <t>Mawhinney D.</t>
  </si>
  <si>
    <t>Advanced burden level measurement radars using FFT signal processing techniques</t>
  </si>
  <si>
    <t>2-s2.0-0027650064</t>
  </si>
  <si>
    <t>['¬© 1993', 'resolved spectra', 'remarkable feature', 'measuring time', 'light intensity', 'light condition', 'lh 1', 'excitation pulse', 'energy distribution', 'bacterium synthesized', 'b824 throughout', 'b824 component', '856 complex', '100 ps']</t>
  </si>
  <si>
    <t>Bacteriochlorophyll | Energy transfer | Photosynthesis | Picosecond spectroscopy | Pigment system | Rhodopseudomonas palustris</t>
  </si>
  <si>
    <t>Excitation energy flow in the purple photosynthetic bacterium Rhodopseudomonas palustris grown under a low-light intensity was studied by time-resolved fluorescence spectroscopy in the ps time range. This bacterium synthesized the B824 component under this light condition. Time-resolved spectra at 20¬∞C indicated the sequential energy flow in the order of B803, B856, B882 and B900, long wavelength antenna. An emission from B803 was not observed. A remarkable feature was the emission from B824 throughout the measuring time. After the excitation pulse of 100 ps, the spectra did not change any further, indicating the establishment of an equilibrium among components. Based on the energy distribution after equilibrium, parallel energy transfer pathways to LH 1 were suggested; one including B824 integrated in the B803-824-856 complex, and the other, from the B803-856 complex to B882. The latter was the dominant energy flow pathway in this bacterium. ¬© 1993.</t>
  </si>
  <si>
    <t>319-323</t>
  </si>
  <si>
    <t>60014652;60005038;60014652;60028586</t>
  </si>
  <si>
    <t>7403347966;35556033100;24586425300;7006461138</t>
  </si>
  <si>
    <t>Nishimura, Yoshinobu;Shimada, Keizo;Yamazaki, Iwao;Mimuro, Mamoru</t>
  </si>
  <si>
    <t>Okazaki;Sapporo;Hachioji</t>
  </si>
  <si>
    <t>National Institutes of Natural Sciences - National Institute for Basic Biology;Hokkaido University;Tokyo Metropolitan University</t>
  </si>
  <si>
    <t>60028586;60014652;60005038</t>
  </si>
  <si>
    <t>Nishimura Y.</t>
  </si>
  <si>
    <t>Energy transfer processes in Rhodopseudomonas palustris grown under low-light conditions. Heterogeneous composition of LH 2 complexes and parallel energy flow pathways</t>
  </si>
  <si>
    <t>001457939380245P</t>
  </si>
  <si>
    <t>10.1016/0014-5793(93)80245-P</t>
  </si>
  <si>
    <t>2-s2.0-0027327793</t>
  </si>
  <si>
    <t>['whole thylakoid', 'triton x', 'svensson p', 'surface properties', 'stroma lamellae', 'reaction center', 'ps ii', 'named bs', 'f complex', 'cytochrome b', 'countercurrent distribution', 'closed structures', 'bs vesicles', 'bs fraction', 'b ratio', 'antenna pigments', 'absorption spectra']</t>
  </si>
  <si>
    <t>absorption | antenna size | aqueous two-phase partitioning | cytochrome b/f | fluorescence | Photosystem II | plastoquinone pool | sonication | thylakoid membrane</t>
  </si>
  <si>
    <t>A non-detergent photosystem II preparation, named BS, has been characterized by countercurrent distribution, light saturation curves, absorption spectra and fluorescence at room and at low temperature (-196¬∞C). The BS fraction is prepared by a sonication-phase partitioning procedure (Svensson P and Albertsson P-√Ö, Photosynth Res 20: 249-259, 1989) which removes the stroma lamellae and the margins from the grana and leaves the appressed partition region intact in the form of vesicles. These are closed structures of inside-out conformation. They have a chlorophyll a/b ratio of 1.8-2.0, have a high oxygen evolving capacity (295 Œºmol O2 per mg chl h), are depleted in P700 and enriched in the cytochrome b/f complex. They have about 2 Photosystem II reaction centers per 1 cytochrome b/f complex. The plastoquinone pool available for PS II in the BS vesicles is 6-7 quinones per reaction center, about the same as for the whole thylakoid. It is concluded, therefore, that the plastoquinone of the stroma lamellae is not available to the PS II in the grana and that plastoquinone does not act as a long range electron transport shuttler between the grana and stroma lamellae. Compared with Photosystem II particles prepared by detergent (Triton X-100) treatment, the BS vesicles retain more cytochrome b/f complex and are more homogenous in their surface properties, as revealed by countercurrent distribution, and they have a more efficient energy transfer from the antenna pigments to the reaction center. ¬© 1993 Kluwer Academic Publishers.</t>
  </si>
  <si>
    <t>227-236</t>
  </si>
  <si>
    <t>;60029170;</t>
  </si>
  <si>
    <t>7405732032;16445733500;7005280402</t>
  </si>
  <si>
    <t>Yu, Shi Gui;Bj√∂rn, Gunvor;Albertsson, Per √Öke</t>
  </si>
  <si>
    <t>Yu S.</t>
  </si>
  <si>
    <t>Characterization of a non-detergent PS II-cytochrome b/f preparation (BS)</t>
  </si>
  <si>
    <t>10.1007/BF00032826</t>
  </si>
  <si>
    <t>2-s2.0-0000212367</t>
  </si>
  <si>
    <t>['volatiles trapped', 'trapped volatiles', 'therefore suggested', 'surface washes', 'male weevils', 'male hindguts', 'live males', 'live females', 'female hindguts', 'female antennae', 'equivalent material', 'elicited small', 'either sex', 'dichloromethane extracts', 'cosmopolites sordidus', 'collected volatiles', 'behavioral responses', 'banana weevil', 'air olfactometer']</t>
  </si>
  <si>
    <t>aggregation | Coleoptera | Cosmopolites | Curculionidae | EAG | hindgut | olfactometer</t>
  </si>
  <si>
    <t>Females of the banana weevil, Cosmopolites sordidus, were attracted to and made longer visits to live conspecific males, trapped volatiles from males, and dissected male hindguts in a still-air olfactometer. Male weevils were attracted to volatiles trapped from males and made longer visits to live males and volatiles from males. Live females, collected volatiles from females and female hindguts, elicited small or no behavioral responses from either sex. Electroantennogram (EAG) responses from both male and female antennae were elicited by collected volatiles from males and by dichloromethane extracts of male hindguts and bodies but not by surface washes of males. No significant EAG responses were given to equivalent material from females. It is therefore suggested that male banana weevils release an aggregation pheromone via their hindgut. ¬© 1993 Plenum Publishing Corporation.</t>
  </si>
  <si>
    <t>1905-1916</t>
  </si>
  <si>
    <t>60051492;60051492;60051492</t>
  </si>
  <si>
    <t>6507389889;6602877800;16447542800</t>
  </si>
  <si>
    <t>Budenberg, William J.;Ndiege, Isaiah O.;Karago, Florence W.</t>
  </si>
  <si>
    <t>Kenya</t>
  </si>
  <si>
    <t>Nairobi</t>
  </si>
  <si>
    <t>International Centre of Insect Physiology and Ecology Nairobi</t>
  </si>
  <si>
    <t>Budenberg W.J.</t>
  </si>
  <si>
    <t>Evidence for volatile male-produced pheromone in banana weevil Cosmopolites sordidus</t>
  </si>
  <si>
    <t>10.1007/BF00983795</t>
  </si>
  <si>
    <t>2-s2.0-0000585783</t>
  </si>
  <si>
    <t>['√ öb', '√ ö', 'œ ±', '¬© 1993', 'wrapped around', 'water molecules', 'trigonal symmetry', 'three bis', 'tb compound', 'strict self', 'stoichiometric quantities', 'stability constants', 'spectrophotometric measurements', 'slightly distorted', 'secondary interactions', 'rights reserved', 'nonstatistical distribution', 'luminescence studies', 'lu ).', 'ligands l', 'less stable', 'lanthanide perchlorates', 'homodinuclear complexes', 'helical structure', 'helical cation', 'excited levels', 'europium atoms', 'doped eu', 'discussed together', 'dinuclear pseudo', 'detailed es', 'd3 triple', 'd3 symmetry', 'crystalline complex', 'crystal structure', 'capping positions', 'antenna effect', 'acetonitrile show', '7 destroy', '6 +,', '3œä œä', '3 equiv', '3 complexes', '1h nmr', '1 equiv']</t>
  </si>
  <si>
    <t>The dinucleating ligand bis[1-methyl-2-(6‚Ä≤[1‚Ä≥-(3,5-dimethoxybenzyl)benzimidazol-2‚Ä≥-yl] pyrid-2‚Ä≤-yl) ben-zimidazol-5-yl] methane (L) reacts with lanthanide perchlorates to give dinuclear 2:3 complexes [Ln2(L)3]6+ (Ln = La, Eu, Gd, Tb, and Lu). Detailed ES-MS, 1H-NMR, luminescence, and spectrophotometric measurements in acetonitrile show that the cations [Ln2 (L)3]6+ are produced by strict self-assembly and adopt a triple-helical structure in solution (pseudo-D3 symmetry). The crystal structure of [Eu2 (L)3] (ClO)4)6 (CH3CN)9 (11, EU2C195H177N39O36Cl6, a = 17.634-(3) √Öb = 21.408(4) √Ö, c = 29.437(7) √Ö, Œ± = 82.13(1)¬∞, Œ≤ = 85.76(1)¬∞, Œ≥ = 89.79(1)¬∞, triclinic, [formula omitted], Z = 2) shows a dinuclear pseudo-D3 triple-helical cation, [Eu2(L)3]6+, where the three bis (terdentate) ligands L are wrapped around the helical axis defined by the europium atoms. The Eu(III) of each site is 9-coordinated by six nitrogen atoms of the benzimidazole units occupying the vertices and three nitrogen atoms of the pyridine units occupying the capping positions of a slightly distorted, tricapped trigonal prism. Luminescence studies of the crystalline complex [Eu2(L)3]-(ClO4)6¬∑nsolv (n = 9, solv = CH3CN, 11; n = 2, solv = H2O,6; n = 9, solv = H2O,7) confirm the pseudo-D3 symmetry of the Eu(III) sites in 11 and show that secondary interactions with water molecules in 6 and 7 destroy the trigonal symmetry. An efficient intramolecular energy transfer between the 3œÄ œÄ* excited state centered on L and the excited levels of Eu(III) and Tb(III) is observed (antenna effect) together with a dipole‚Äìdipolar Tb ‚Üí Eu intramolecular energy transfer in the heterodinuclear-doped Eu-Tb compound. Stability constants and 1H NMR in acetonitrile show that the homodinuclear complexes [Ln2(L)3]6+ are less stable for the heavier lanthanides Tb and Lu. The origin of this effect is discussed together with the nonstatistical distribution of the different species observed when stoichiometric quantities of L (3 equiv) are mixed with Ln1(ClO4)3 (1 equiv) and Ln2(ClO4)3 (1 equiv) in solution (Ln1 ‚â† Ln2; Ln1 = La, Eu, Tb, and Lu; Ln2 = Tb and Lu). ¬© 1993, American Chemical Society. All rights reserved.</t>
  </si>
  <si>
    <t>8197-8206</t>
  </si>
  <si>
    <t>;;60000239;60004718;60011563</t>
  </si>
  <si>
    <t>7007044416;57209054878;57208454974;7004746147;7003932671</t>
  </si>
  <si>
    <t>Piguet, Claude;Williams, Alan F.;B√ºnzli, Jean Claude G.;Bernardinelli, G√©rald;Hopfgartner, G√©rard</t>
  </si>
  <si>
    <t>Switzerland;Switzerland;Switzerland</t>
  </si>
  <si>
    <t>Basel;Geneva;Lausanne</t>
  </si>
  <si>
    <t>Roche Pharmaceuticals Division;Universit√© de Gen√®ve;Universit√© de Lausanne (UNIL)</t>
  </si>
  <si>
    <t>60011563;60004718;60000239</t>
  </si>
  <si>
    <t>Piguet C.</t>
  </si>
  <si>
    <t>Self-Assembly and Photophysical Properties of Lanthanide Dinuclear Triple-Helical Complexes</t>
  </si>
  <si>
    <t>10.1021/ja00071a032</t>
  </si>
  <si>
    <t>2-s2.0-0001666583</t>
  </si>
  <si>
    <t>['¬© 1993', 'varying thickness', 'tumor since', 'tumor margins', 'tumor infiltrates', 'tumor boundary', 'tested thicknesses', 'syperficial layers', 'superficial tissues', 'superficial margin', 'superficial layer', 'requires tissue', 'optimize heating', 'improves heating', 'implanted antennas', 'energy distribution', 'adequate heating', 'additional antennas', '5 mm', '2 cm', '16 mm']</t>
  </si>
  <si>
    <t>Interstitial hyperthermia | Microwave antennas | Muscle phantom | Surface heating | Variable distance</t>
  </si>
  <si>
    <t>Purpose: A technique that improves heating of superficial tissues above an implant of microwave interstitial antennas is presented. Methods and Materials: Adequate heating of tumor margins is achieved by extending an implant of microwave antennas beyond the tumor boundary by 1-2 cm. When the tumor infiltrates the superficial tissues including the skin, the implant cannot even reach the superficial margin of the tumor since it requires tissue to support the catheters. This may yield cold spots in the tissues above the implant. Measurements in a phantom with varying thickness of the superficial layer above thi implant demonstrated inadequate Specific Absorption Rates of energy distribution in this layer. A method that improves these distribution in this layer. A method that improves these distributions in the syperficial layers was developed and tested in this work. This method requires placing a deionized water bolus on the phantom (patient) surface. Additional microwave antennas are placed on top of the bolus above and parallel to the implanted antennas. The Specific Absorption Rates distributions were evaluated for the thicknesses of superficial layer raging from 1.5 mm to 16 mm and two bolus thicknesses (5 and 10 mm). Results: The adequate Specific Absorption Rates distributions were achieved for all tested thicknesses of the superficial layer (1.5, 4, 8, 12, and 16 mm). The use of the 5 mm bolus versus 10 mm bolus is discussed. The use of additional antennas did not significantly increase stray radiation. Conclusion: This method has the potential to optimize heating of superficial tissues located above a microwave antenna implant. ¬© 1993.</t>
  </si>
  <si>
    <t>101-108</t>
  </si>
  <si>
    <t>60029627;60029627;60023868;60029627;60029627</t>
  </si>
  <si>
    <t>7004588237;24310685500;24310912600;7006303259;36786141200</t>
  </si>
  <si>
    <t>Leybovich, Leonid B.;Gregg Devanna, W.;Gray, Arthur C.;Kurup, Rajendra G.;Fan, Chaoliang J.</t>
  </si>
  <si>
    <t>Maywood;Chicago</t>
  </si>
  <si>
    <t>Loyola University Stritch School of Medicine;University of Illinois College of Medicine</t>
  </si>
  <si>
    <t>60029627;60023868</t>
  </si>
  <si>
    <t>Leybovich L.B.</t>
  </si>
  <si>
    <t>Phantom evaluation of heating of superficial tissues located above interstitial microwave antennas</t>
  </si>
  <si>
    <t>0360-3016(93)90426-V</t>
  </si>
  <si>
    <t>10.1016/0360-3016(93)90426-V</t>
  </si>
  <si>
    <t>2-s2.0-0027202226</t>
  </si>
  <si>
    <t>424-427</t>
  </si>
  <si>
    <t>7101671059;7006503853</t>
  </si>
  <si>
    <t>Kern, F.;Bestmann, H. J.</t>
  </si>
  <si>
    <t>Kern F.</t>
  </si>
  <si>
    <t>Antennal electrophysiological responsiveness of the ponerine ant Leptogenys diminuta to trail and recruitment pheromones and its structure analogs - Pheromones, 94 [1]</t>
  </si>
  <si>
    <t>10.1007/BF01168340</t>
  </si>
  <si>
    <t>2-s2.0-0027362652</t>
  </si>
  <si>
    <t>['yields 0', 'water depths', 'towed systems', 'stable geometry', 'seismic signals', 'precision surveying', 'operational variables', 'new line', 'inshore areas', 'core profiler', 'boomer source', '2 meters', '100 meters']</t>
  </si>
  <si>
    <t>A new line-in-core profiler that yields 0.25 meter resolution in water depths under 2 meters is described. The IKB-SEISTEC seismic receiver, when used in conjunction with a boomer source, has the ability to produce good seismic profiles in water depths ranging from 1 to 100 meters. This configuration has other advantages for precision surveying of inshore areas. Heave compensation packages are available to reduce the effects of swell induced vertical motion and enable higher quality data under poor weather conditions. Navigational antennae could also be used to minimize offset errors normally associated with towed systems. The fixed and stable geometry and the directional response also reduces many of the operational variables which affect the repeatability of seismic signals.</t>
  </si>
  <si>
    <t>21-28</t>
  </si>
  <si>
    <t>Sea Technology</t>
  </si>
  <si>
    <t>60004026;60004026</t>
  </si>
  <si>
    <t>6602436534;57225805988</t>
  </si>
  <si>
    <t>Simpkin, Peter G.;Davis, Angela</t>
  </si>
  <si>
    <t>Rimouski</t>
  </si>
  <si>
    <t>Universit√© du Qu√©bec √† Rimouski</t>
  </si>
  <si>
    <t>Simpkin P.G.</t>
  </si>
  <si>
    <t>For seismic profiling in very shallow water, a novel receiver</t>
  </si>
  <si>
    <t>2-s2.0-0027657750</t>
  </si>
  <si>
    <t>['used simultaneously', 'synthetic aperture', 'small compared', 'sectional images', 'reconstructed cross', 'phase multiplication', 'penetration depth', 'moved along', 'imaging capability', 'fictitious reduction', 'equivalent wavelength', 'eddy currents', 'conducting media', 'broadband holography', 'adequate resolution']</t>
  </si>
  <si>
    <t>broadband holography | eddy current imaging | image reconstruction | Nondestructive testing | phase multiplication | synthetic aperture imaging</t>
  </si>
  <si>
    <t>In this paper an eddy current imaging method for nondestructive testing purposes is presented which utilizes the concept of broadband holography. An eddy current coil which is used simultaneously as an antenna for eddy current generation and as a probe for detection of response of interaction between eddy currents and flaws, respectively, is moved along a synthetic aperture during the imaging procedure generating synthetic eddy current pulses by scanning a certain frequency range. In terms of wave propagation phenomena the penetration depth (range) of eddy currents in conducting media is small compared to the equivalent wavelength of this type of fields. Therefore, adequate resolution can only be obtained in the reconstructed cross-sectional images by phase multiplication of received multifrequency signals, which is equivalent to a fictitious reduction of wavelengths. Experimental results verify the imaging capability of this method with improved resolution compared to conventional eddy current testing methods. ¬© 1993 Plenum Publishing Corporation.</t>
  </si>
  <si>
    <t>153-162</t>
  </si>
  <si>
    <t>Journal of Nondestructive Evaluation</t>
  </si>
  <si>
    <t>60005322;60005322;60028673</t>
  </si>
  <si>
    <t>57213206258;7005301691;6508152060</t>
  </si>
  <si>
    <t>Hippler, J√∂rg H.;Ermert, Helmut;von Bernus, Ludwig</t>
  </si>
  <si>
    <t>Munich;Bochum</t>
  </si>
  <si>
    <t>Siemens AG;Ruhr-Universitat Bochum</t>
  </si>
  <si>
    <t>60028673;60005322</t>
  </si>
  <si>
    <t>Hippler J.</t>
  </si>
  <si>
    <t>Broadband holography applied to eddy current imaging by using signals with multiplied phases</t>
  </si>
  <si>
    <t>10.1007/BF00567083</t>
  </si>
  <si>
    <t>2-s2.0-0027658972</t>
  </si>
  <si>
    <t>['well matched', 'vital requirement', 'transmitted signal', 'spring 1994', 'recent tests', 'mti ),', 'military commander', 'main requirements', 'main missions', 'horizon system', 'first equipment', 'enemy forces', 'different parts', 'crises management', 'antenna scanning', '150 km']</t>
  </si>
  <si>
    <t>Acquisition of intelligence on movements of enemy forces is a vital requirement for military commander. The HORIZON system (long range ground surveillance radar installed on an helicopter) brings to this problem a solution which is well matched to the requirement. After a recall of the main missions (prevention of crises, crises management, projection of forces) and of the main requirements (to detect, localize, and recognize ground vehicles and helicopters up to a distance of 150 km) this article: justifies the fundamental choices concerning the type of radar (SAR or MTI), the type of transmitted signal and the type of antenna scanning (electronic or mechanical), describes the different parts of the radar, shows some typical images obtained during recent tests, indicates the situation of the program: the first equipment will be delivered to the Administration on spring 1994.</t>
  </si>
  <si>
    <t>971-984</t>
  </si>
  <si>
    <t>Revue technique - Thomson-CSF</t>
  </si>
  <si>
    <t>Ziegler, B.</t>
  </si>
  <si>
    <t>Le Cent Thomson d'Applications</t>
  </si>
  <si>
    <t>Ziegler B.</t>
  </si>
  <si>
    <t>HORIZON system. Ground surveillance with heliborne radar</t>
  </si>
  <si>
    <t>2-s2.0-0027660605</t>
  </si>
  <si>
    <t>['vehicle communication', 'various reasons', 'synchronization errors', 'results presented', 'recent results', 'published already', 'directional antennas']</t>
  </si>
  <si>
    <t>Recent results of performance analysis studies of existent and future mobile radio networks are presented. The problems considered cover blocking during handover in cellular radio networks, mean progress per successful packet in multi-hop packet radio with transmit power control and directional antennas and modelling and analysis of mobility and impact of synchronization errors on short-range radio networks for inter-vehicle communication. although most of the results presented were published already, access to them is limited for various reasons.</t>
  </si>
  <si>
    <t>445-455</t>
  </si>
  <si>
    <t>Walke, Bernhard H.</t>
  </si>
  <si>
    <t>Walke B.</t>
  </si>
  <si>
    <t>Traffic problems in mobile radio networks</t>
  </si>
  <si>
    <t>2-s2.0-0027663245</t>
  </si>
  <si>
    <t>['transmitter noise', 'receiver noise', 'received cnr', 'optical fiber', 'ld transmitter', '9 db', '2 km']</t>
  </si>
  <si>
    <t>This paper reports performance improvement in an optical fiber for microcellular mobile radio systems. A low noise optical receiver using a transformer resonant circuit is described. With this receiver CNR degradation due to receiver noise is suppressed to less than 0.9 dB. Furthermore, two novel techniques, the use of a multiple-LD transmitter and automatic LD input level control, are proposed. The multiple LD transmitter increases transmitter output power and reduces the transmitter noise. With a dual-LD transmitter, it is possible to increase the optical loss margin by 3.1dB, which corresponds to transmission length expansion of 6.2 km, or to improve the received CNR by 2.8dB, which enables communication range expansion. Automatic LD input level control, which optimizes LD input level according to the received radio power, can expand the actual dynamic range of the up link.</t>
  </si>
  <si>
    <t>1145-1151</t>
  </si>
  <si>
    <t>Shibutani, Makoto;Domon, Watary;Emura, Katsumi</t>
  </si>
  <si>
    <t>Performance improvement in optical fiber feeders for microcellular mobile radio systems</t>
  </si>
  <si>
    <t>2-s2.0-0027663493</t>
  </si>
  <si>
    <t>['range 80', 'numerical simulation', 'novel techniques', 'filtering properties', 'experimental results', 'drilled plate', 'close agreement', '800 ghz']</t>
  </si>
  <si>
    <t>antennas | dichroics | frequency selective surfaces | quasi-optic filters</t>
  </si>
  <si>
    <t>The purpose of this paper is to compare the filtering properties of drilled plate and printed element frequency selective surfaces in the range 80 - 800 GHz. Novel techniques for measuring and fabricating the devices are described, and close agreement is shown between numerical simulation and experimental results. ¬© 1993 Plenum Publishing Corporation.</t>
  </si>
  <si>
    <t>1769-1788</t>
  </si>
  <si>
    <t>60018829;60018829;60022109;60010818;60010818</t>
  </si>
  <si>
    <t>7102125229;6603164047;7402066733;7201840709;24328775100</t>
  </si>
  <si>
    <t>Cahill, R.;Sturland, I. M.;Bowen, J. W.;Parker, E. A.;de Lima, A. C.</t>
  </si>
  <si>
    <t>United Kingdom;United Kingdom;United Kingdom</t>
  </si>
  <si>
    <t>London;Farnborough;Canterbury</t>
  </si>
  <si>
    <t>Queen Mary University of London;BAE Systems plc;University of Kent</t>
  </si>
  <si>
    <t>60022109;60018829;60010818</t>
  </si>
  <si>
    <t>Frequency selective surfaces for millimetre and submillimetre wave quasi optical demultiplexing</t>
  </si>
  <si>
    <t>10.1007/BF02101331</t>
  </si>
  <si>
    <t>2-s2.0-0027663874</t>
  </si>
  <si>
    <t>['utd methods', 'theoretical foundations', 'subsystem must', 'specific function', 'space antennas', 'software tools', 'small scatterer', 'simulate problems', 'several subsystems', 'rcs calculation', 'radiation decoupling', 'problems rest', 'paper describes', 'operational environment', 'operate correctly', 'main functions', 'last part', 'international competition', 'element analysis', 'economic context', 'direction finding', 'differential equations', 'design shortcoming', 'calculated without', 'board aircraft', 'antenna plus', 'antenna installation', 'airborne antennas', '...) cannot', '... clearly']</t>
  </si>
  <si>
    <t>Modern electronic warfare systems are made of several subsystems, each of which performs a specific function: jamming, detection, direction finding, ... Clearly each subsystem must be able to operate correctly while in flight and irrespective of the influence of other subsystems. Further, international competition is exerting increasing pressure to reduce price levels and lead-times. In this technical and economic context, any design shortcoming can ultimately prove disastrous. There is thus a need at the very earliest project definition stage to stipulate the exact technical performance characteristics that each of the system's subassemblies will be obliged to achieve in its operational environment. In particular, specifications for airborne antennas (radiation decoupling, RCS, ...) cannot be calculated without the use of software tools that make it possible to simulate several technical solutions for design and installation on board aircraft. The theoretical foundations for these problems rest on Maxwell's differential equations. These equations can be solved by two ways according to the size of the scatterer (the scatterer is the antenna or the antenna plus a part of the aircraft): finite-element analysis will be reserved for the design of free-space antennas and RCS calculation of small scatterer (ANTENNA DESIGN software), GTD and UTD methods will be used to simulate problems of antenna installation on board aircraft (SARGASSES software). This paper describes the method, the field of use and the main functions of each software. Some examples of applications are given in the last part.</t>
  </si>
  <si>
    <t>795-812</t>
  </si>
  <si>
    <t>60019269;60019269;60019269;60019269</t>
  </si>
  <si>
    <t>7006864339;6508243911;6505723950;6603841218</t>
  </si>
  <si>
    <t>Clair, D.;Martinaud, J. P.;Perpere, I.;Tourneur, J.</t>
  </si>
  <si>
    <t>Puteaux</t>
  </si>
  <si>
    <t>Thales Group</t>
  </si>
  <si>
    <t>Clair D.</t>
  </si>
  <si>
    <t>EM simulation: A helpful tool for on-board systems design</t>
  </si>
  <si>
    <t>2-s2.0-0027663996</t>
  </si>
  <si>
    <t>['would make', 'targets hidden', 'target tracking', 'smart skins', 'radiating apertures', 'protective radomes', 'polyvalence );', 'particular attention', 'main types', 'ground clutter', 'front antenna', 'cni assets', 'briefly described', 'brief reminder', 'article considers', 'also discussed', 'active antennas']</t>
  </si>
  <si>
    <t>This article considers the evolution of needs and technics from the parabolic antenna fitting the early airborne radars to the `smart skins' of the future. After a brief reminder of the general principles involved in the choice of an antenna, the main operational features behind their evolution are examined: Progression from the look-up mode to the look-down mode for detection of targets hidden in the ground clutter; Progression from single target tracking to multi-target tracking and to radar multifunction features (polyvalence); and Sharing of an aircraft's radiating apertures between the various on-board electronic systems. The main types of currently used antennas are then briefly described and also their protective radomes. Particular attention is given to active antennas. A long term forecast is attempted. The conditions are also discussed that would make it possible to change the front antenna of a current airborne radar by sections of `smart skins' distributed over the whole aircraft structure and shared between radar, countermeasures and CNI assets.</t>
  </si>
  <si>
    <t>749-793</t>
  </si>
  <si>
    <t>60019269;60019269;60019269</t>
  </si>
  <si>
    <t>6508199883;7006122958;6508309629</t>
  </si>
  <si>
    <t>Baratault, P.;Gautier, F.;Albarel, G.</t>
  </si>
  <si>
    <t>Baratault P.</t>
  </si>
  <si>
    <t>Evolution of airborne radar antennas. From parabolic to smart-skin</t>
  </si>
  <si>
    <t>2-s2.0-0027664166</t>
  </si>
  <si>
    <t>['optical fiber', 'feeder performance']</t>
  </si>
  <si>
    <t>This paper summarizes basic system design for an optical fiber for microcellular mobile communication systems. The optical feeder enables compact and low cost base stations, easy radio channel control and flexible mobile communication systems. Basic transmission characteristics are investigated through optical transmission experiments. By using these results, feeder performance is estimated and optimal system parameters are designed.</t>
  </si>
  <si>
    <t>1069-1077</t>
  </si>
  <si>
    <t>7003610511;35869004100;57224264409;7202219381;7007085216</t>
  </si>
  <si>
    <t>Namiki, Junji;Shibutani, Makoto;Domon, Watary;Kanai, Toshihito;Emura, Katsumi</t>
  </si>
  <si>
    <t>Namiki J.</t>
  </si>
  <si>
    <t>Optical feeder basic system design for microcellular mobile radio</t>
  </si>
  <si>
    <t>2-s2.0-0027664391</t>
  </si>
  <si>
    <t>['sar instrument', 'sar ).', 'pointing angle', 'neither existing', 'narrow swath', 'major factor', 'ground track', 'baseline design', 'anywhere within', '49 ¬∞.', '20 ¬∞']</t>
  </si>
  <si>
    <t>The payload of the Canadian Radarsat remote sensing satellite will be a Synthetic Aperture Radar (SAR). This SAR instrument will be able to alter its beam-pointing angle to anywhere within a 500 km Earth ground track, with either a wide or narrow swath, at ground incidence angles from 20¬∞ to 49¬∞. This ability to alter the ground track is unique, and neither existing nor planned remote sensing satellites can provide such complete ground access. A major factor that allows this flexibility is the electronically steerable SAR antenna. The performance of the baseline design for the SAR antenna implemented to achieve this capability is described in this paper.</t>
  </si>
  <si>
    <t>142-149</t>
  </si>
  <si>
    <t>57199940811;16401873500;7102905746;7003762909</t>
  </si>
  <si>
    <t>Gupta, V.;Lanthier, Y.;Bush, G.;Zimcik, D. G.</t>
  </si>
  <si>
    <t>Gupta V.</t>
  </si>
  <si>
    <t>Performance of the radarsat SAR antenna</t>
  </si>
  <si>
    <t>2-s2.0-0027666765</t>
  </si>
  <si>
    <t>['together achieve', 'tactical aids', 'system reliability', 'submarines operating', 'sonar transmitter', 'shallow water', 'reeling machine', 'passive mode', 'operator selection', 'narrow band', 'modern threat', 'improved speed', 'high level', 'five frequencies', 'detection range', 'depth capabilities', 'deployment depths', 'acoustic processor']</t>
  </si>
  <si>
    <t>The FLASH is a seventh-generation THOMSON SINTRA Activites Sous-Marines dipping sonar, developed to meet the modern threat: submarines operating in deep and shallow water with improved speed and depth capabilities, as well as reduced noise radiation. Although each of the FLASH's subassemblies is designed to attain a high level of reliability and performance while meeting minimum weight requirements, the system is perhaps best known for its optimized array size and signal frequency range, which together achieve the best marriage possible between deployment depths and detection range, while maintaining the shortest possible dip cycle and system reliability. The following subassemblies compose FLASH: Expandable wet end. Reeling machine. Reeling machine control system. Sonar transmitter/receiver and acoustic processor. Pedestal installation kit. The FLASH's principal operation mode is active, with operator selection of up to five frequencies. The system can also be used in passive mode with both narrow band and broad band processing options available. The FLASH offers environmental data acquisition capability and processing, and tactical aids to reduce operator workload.</t>
  </si>
  <si>
    <t>985-996</t>
  </si>
  <si>
    <t>Odero, D.</t>
  </si>
  <si>
    <t>Odero D.</t>
  </si>
  <si>
    <t>FLASH, folding light acoustic system for helicopter</t>
  </si>
  <si>
    <t>2-s2.0-0027668575</t>
  </si>
  <si>
    <t>['wafer dc', 'w sspa', 'w amplifier', 'tone third', 'thermal analysis', 'sspas ).', 'sspa modules', 'sspa module', 'signal gain', 'overall 1', 'output power', 'order intermodulation', 'multicarrier environment', 'high efficiency', 'element phased', 'efficient solid', 'design approaches', 'db small', 'also reviewed', 'added efficiency', '30 dbm', '28 percent', '25 percent', '16 db']</t>
  </si>
  <si>
    <t>The multiple-beam, Ku-band active phased-array antennas currently being developed for communications satellites require broadband, reproducible, and power-efficient solid-state power amplifiers (SSPAs). Since these amplifiers will operate in a multicarrier environment, they must be designed to meet a stringent linearity specification while functioning at high efficiency. The design and development of a fully monolithic 1-W SSPA, and the production of SSPA modules for a 64-element phased-array antenna application, are described. A summary of phased-array antenna systems considerations is included. Monolithic microwave integrated circuit (MMIC) design approaches and the thermal analysis of the SSPA module are also reviewed. The measured RF performance of the SSPA shows 22.5-dB small-signal gain, output power of +30 dBm, and two-tone third-order intermodulation, C/I3, greater than 16 dB. The power-added efficiency of the overall 1-W amplifier is greater than 25 percent, with a power chip efficiency greater than 28 percent. The measured RF performance of 80 SSPA modules is summarized in the form of histograms. The excellent performance uniformity obtained over all modules is the result of process-insensitive MMIC designs, chip selection procedures using on-wafer DC and RF probe data, and a repeatable module assembly approach.</t>
  </si>
  <si>
    <t>271-294</t>
  </si>
  <si>
    <t>6602845255;56422591900;6602693403;7004431991</t>
  </si>
  <si>
    <t>Upshur, J. I.;Gupta, R. K.;Estep, G. C.;Kroll, R. T.</t>
  </si>
  <si>
    <t>Upshur J.</t>
  </si>
  <si>
    <t>1-W Ku-band MMIC SSPAs for communications satellite phased-array antenna applications</t>
  </si>
  <si>
    <t>2-s2.0-0027671532</t>
  </si>
  <si>
    <t>['tsetse flies', 'subspecies responded', 'similar semiochemical', 'sand conditioned', 'prepupariation excretions', 'olfactory receptors', 'morsitans confirmed', 'mature larvae', 'lower concentrations', 'higher percentage', 'gravid females', 'giving birth', 'females larviposited', 'electroantennogram analyses', 'dense thickets', 'deep shade', 'centralis showed', 'behavioral studies', 'anal exudate']</t>
  </si>
  <si>
    <t>breeding sites | Diptera | Glossina morsitans centralis | Glossina morsitans morsitans | Glossinidae | larviposition | semiochemicals | tsetse flies</t>
  </si>
  <si>
    <t>Tsetse flies (Diptera: Glossinidae:Glossina) mature their offspring in utero, giving birth to mature larvae that burrow into soil and pupariate. During the hot dry seasons, puparia of some species of tsetse are aggregated in areas of deep shade in dense thickets. We have confirmed the presence of a semiochemical from the prepupariation excretions of larvae of Glossina morsitans morsitans Westwood and report a similar semiochemical in Glossina morsitans centralis Machado. These semiochemicals are attractive to gravid females and result in the aggregation of puparia. Behavioral studies with G. m. centralis showed that a higher percentage of females larviposited over moist sand conditioned by the anal exudate of larvae. Electroantennogram analyses of extracts of sand conditioned by G. m. centralis and G. m. morsitans confirmed the presence of olfactory receptors on the antennae for the semiochemicals. Both subspecies responded to extracts of the semiochemicals of the other, with G. m. morsitans more responsive to lower concentrations of extract of G. m. centralis than the converse. ¬© 1993 Plenum Publishing Corporation.</t>
  </si>
  <si>
    <t>2039-2046</t>
  </si>
  <si>
    <t>60014313;60051492</t>
  </si>
  <si>
    <t>7201953898;55418171800</t>
  </si>
  <si>
    <t>Leonard, David E.;Saini, R. K.</t>
  </si>
  <si>
    <t>Kenya;United States</t>
  </si>
  <si>
    <t>Nairobi;Amherst MA</t>
  </si>
  <si>
    <t>International Centre of Insect Physiology and Ecology Nairobi;University of Massachusetts Amherst</t>
  </si>
  <si>
    <t>60051492;60014313</t>
  </si>
  <si>
    <t>Leonard D.</t>
  </si>
  <si>
    <t>Semiochemicals from anal exudate of larvae of tsetse flies Glossina morsitans morsitans Westwood and G. morsitans centralis Machado attract gravid females</t>
  </si>
  <si>
    <t>10.1007/BF00983806</t>
  </si>
  <si>
    <t>2-s2.0-12744278343</t>
  </si>
  <si>
    <t>['wave antenna', 'resonant gravitational', 'normal modes', 'matching mechanical', 'general closed', 'form expression', 'decay times', 'coupled oscillators']</t>
  </si>
  <si>
    <t>02.60 | 04.30 | 43.40 | Gravitational waves and radiation: theory | Numerical approximation and analysis | Structural acoustics and vibration</t>
  </si>
  <si>
    <t>We derive a general closed-form expression for the decay times at the N-normal modes for a system of coupled oscillators, described by a set of linear differential equations. The formula is helpful to study the sensitivity of resonant gravitational-wave antenna and, more generally, in matching mechanical or electrical resonant systems. ¬© 1993 Societ√† Italiana di Fisica.</t>
  </si>
  <si>
    <t>1065-1071</t>
  </si>
  <si>
    <t>Il Nuovo Cimento B</t>
  </si>
  <si>
    <t>7003816910;36980006000</t>
  </si>
  <si>
    <t>Majorana, E.;Tricarico, P.</t>
  </si>
  <si>
    <t>Majorana E.</t>
  </si>
  <si>
    <t>Decay times of an N-normal-mode system</t>
  </si>
  <si>
    <t>10.1007/BF02822867</t>
  </si>
  <si>
    <t>2-s2.0-51649138684</t>
  </si>
  <si>
    <t>['¬© 1993', 'purple bacteria', 'proposed based', 'new model', 'longwavelength side', 'high amplitude', 'harvesting antenna', 'experimental spectra', 'excitonic interactions', 'core complex', 'circular aggregates', 'bacteriochlorophyll molecules', 'absorption changes', 'absorption band']</t>
  </si>
  <si>
    <t>Bacterial photosynthesis | Excitonic interaction | Light-harvesting antenna | Picosecond absorbance difference spectrum</t>
  </si>
  <si>
    <t>A new model of the light-harvesting antenna (core complex) of purple photosynthetic bacteria is proposed based on excitonic interactions in circular aggregates of bacteriochlorophyll molecules. The calculated absorbance difference spectra of circular aggregates demonstrate all special features observed in the experimental spectra of purple bacteria. In particular, the absorption changes with high amplitude of bleaching at the longwavelength side of the absorption band at different excitation energy are predicted. ¬© 1993.</t>
  </si>
  <si>
    <t>60007457-60021331;60007457</t>
  </si>
  <si>
    <t>7004238663;6603794637</t>
  </si>
  <si>
    <t>Novoderezhkin, V. I.;Razjivin, A. P.</t>
  </si>
  <si>
    <t>Moscow;Moscow</t>
  </si>
  <si>
    <t>Russian Academy of Sciences;Lomonosov Moscow State University</t>
  </si>
  <si>
    <t>60021331;60007457</t>
  </si>
  <si>
    <t>Novoderezhkin V.I.</t>
  </si>
  <si>
    <t>Excitonic interactions in the light-harvesting antenna of photosynthetic purple bacteria and their influence on picosecond absorbance difference spectra</t>
  </si>
  <si>
    <t>001457939380907C</t>
  </si>
  <si>
    <t>10.1016/0014-5793(93)80907-C</t>
  </si>
  <si>
    <t>2-s2.0-0027290081</t>
  </si>
  <si>
    <t>['¬© 1993', 'tokamak reactor', 'small tokamak', 'model predictions', 'low amplitude', 'fully toroidal', 'antenna geometry']</t>
  </si>
  <si>
    <t>Using a fully toroidal, collisionless, low frequency model, we show that low amplitude, circularly polarized waves can, depending on antenna geometry (i) drive the toroidal EMF necessary to sustain a tokamak reactor, or (ii) shift the internal current profile. Measurements on a small tokamak to test (ii) agree with the model predictions. ¬© 1993.</t>
  </si>
  <si>
    <t>269-274</t>
  </si>
  <si>
    <t>60031581;60031581;60031581</t>
  </si>
  <si>
    <t>7005920369;57210614313;57196905807</t>
  </si>
  <si>
    <t>Kirkwood, R. K.;Capewell, D. L.;Bellan, P. M.</t>
  </si>
  <si>
    <t>Kirkwood R.K.</t>
  </si>
  <si>
    <t>Creating poloidal flux in a tokamak plasma with low frequency</t>
  </si>
  <si>
    <t>0375-9601(93)90709-9</t>
  </si>
  <si>
    <t>10.1016/0375-9601(93)90709-9</t>
  </si>
  <si>
    <t>2-s2.0-5344220287</t>
  </si>
  <si>
    <t>HO 924/1-3</t>
  </si>
  <si>
    <t>['√ ºller', '¬© 1993', 'whole cells', 'trapping processes', 'trapping process', 'trapping components', 'time constant', 'specific dependence', 'reported earlier', 'reaction center', 'r .,', 'qa reduced', 'qa oxidized', 'primary processes', 'picosecond time', 'photosynthetic system', 'open rcs', 'mainly determined', 'k .,', 'intact cells', 'excitation wavelength', 'excitation intensities', 'energy transfer', 'decay kinetics', 'das ).', 'consistent scheme', 'closed rcs', 'chlorosomal baseplate', 'chlorosomal bacteriochlorophyll', 'chloroflexus aurantiacus', 'b792 pigments', 'b 5', 'aurantiacus turns', 'associated spectra', 'acta 1098', 'acta 1059', 'a806 pigments', 'a792 complex', '90 ps', '866 complex', '730 nm', '465 ),', '40 ps', '200 ps', '16 ps', '12 ).']</t>
  </si>
  <si>
    <t>(Chloroflexus) | (Green bacterium) | Antenna complex | Bacteriochlorophyll fluorescence | Energy transfer | Fluorescence | Photosynthesis | Picosecond fluorescence decay | Reaction center</t>
  </si>
  <si>
    <t>The excitation energy transfer and trapping processes in intact cells of Chloroflexus aurantiacus were studied by picosecond time-resolved fluorescence spectroscopy. The fluorescence decay kinetics is investigated over the near infrared emission range between 730 nm and 920 nm using various excitation wavelengths and excitation intensities. The data were analyzed by global decay analysis and are presented as decay-associated spectra (DAS). The specific dependence of the decay kinetics on the excitation wavelength and on the photochemical redox state of the reaction center (RC) allows the identification of the energy transfer and trapping components. The DAS provide evidence for two chlorosomal energy transfer processes. The first one occurs between the chlorosomal bacteriochlorophyll (BChl)-c and the BChl-a792 complex (B792) in the chlorosomal baseplate with an equilibration time constant of 15-16 ps, while the second one occurs from the B792 pigments to the BChl-a806 pigments in the B806-866 complex with a time constant of 35-40 ps. The overall energy trapping process in whole cells is mainly determined by the kinetics of the primary charge separation process in the RCs. With open RCs (QA oxidized) the trapping time constant is 70-90 ps, while the trapping process with closed RCs (QA reduced) takes as long as 180-200 ps. The results on whole cells reported here are interpreted in conjunction with those reported earlier for the various isolated complexes, i.e., two different chlorosome preparations (Holzwarth, A.R., M√ºller, M.G. and Griebenow, K. (1990) J. Photochem. Photobiol. B 5, 457-465), the B806-866 complex (Griebenow, K., M√ºller, M.G. and Holzwarth, A.R. (1991) Biochim. Biophys. Acta 1059, 226-232) and isolated reaction centers (M√ºller, M.G., Griebenow, K. and Holzwarth, A.R. (1991) Biochim. Biophys. Acta 1098, 1-12). Based on these data, a unified and self-consistent scheme for the primary processes in the whole photosynthetic system of C. aurantiacus is presented. The BChl antenna pigment groups are arranged to form a linear energy transfer cascade with four energy transfer steps from shorter-wavelength- to longer-wavelength-absorbing antenna pools. The overall fluorescence decay kinetics of the photosynthetic system of C. aurantiacus turns out to be 'trap-limited' by the reaction center rather than 'diffusion-limited' by the energy transfer processes. ¬© 1993.</t>
  </si>
  <si>
    <t>161-169</t>
  </si>
  <si>
    <t>60072285;60072285;60072285</t>
  </si>
  <si>
    <t>57199034833;36796558900;35501122300</t>
  </si>
  <si>
    <t>M√ºller, Marc G.;Griebenow, Kai;Holzwarth, Alfred R.</t>
  </si>
  <si>
    <t>Picosecond energy transfer and trapping kinetics in living cells of the green bacterium Chloroflexus aurantiacus</t>
  </si>
  <si>
    <t>000527289390168F</t>
  </si>
  <si>
    <t>10.1016/0005-2728(93)90168-F</t>
  </si>
  <si>
    <t>2-s2.0-0027250651</t>
  </si>
  <si>
    <t>['¬© 1993', 'tridimensional problems', 'spatial structures', 'rotary machines', 'proposed methods', 'predictive calculations', 'parabolic antennas', 'linear representations', 'frequently found', 'finite groups', 'dynamic calculations', 'calculation code', 'arbitrary loadings']</t>
  </si>
  <si>
    <t>The static and dynamic calculations of symmetric mechanical structures are considered. This type of configuration is frequently found in rotary machines, turbomachines, parabolic antennas, spatial structures, etc. The objective of this study is to present two methods and a calculation code which takes this repetitivity into account in order to minimize the time and cost of predictive calculations. Both proposed methods are applicable to bidimensional and tridimensional problems with arbitrary loadings. They are based on the theory of linear representations of finite groups and a technique of component mode synthesis. ¬© 1993.</t>
  </si>
  <si>
    <t>975-982</t>
  </si>
  <si>
    <t>60029877;60029877;60029877;60029877</t>
  </si>
  <si>
    <t>55944424900;7006251568;35609389900;7006885966</t>
  </si>
  <si>
    <t>Elhami, A.;Lallement, G.;Minotti, P.;Cogan, S.</t>
  </si>
  <si>
    <t>Besancon</t>
  </si>
  <si>
    <t>Femto-St - Sciences et Technologies</t>
  </si>
  <si>
    <t>Elhami A.</t>
  </si>
  <si>
    <t>Methods that combine finite group theory with component mode synthesis in the analysis of repetitive structures</t>
  </si>
  <si>
    <t>004579499390432D</t>
  </si>
  <si>
    <t>10.1016/0045-7949(93)90432-D</t>
  </si>
  <si>
    <t>2-s2.0-0027663058</t>
  </si>
  <si>
    <t>['wide range', 'tracing inside', 'theoretical results', 'theoretical far', 'spiral antennas', 'slot antenna', 'single units', 'results indicate', 'radiation patterns', 'quartz lenses', 'peak directivity', 'lower gaussian', 'high gaussian', 'field patterns', 'extension lengths', 'extension length', 'equally valid', 'different frequencies', 'different diameters', 'coupling efficiencies']</t>
  </si>
  <si>
    <t>In this paper, the theoretical far-field patterns and Gaussianbeam coupling efficiencies are investigated for a double-slot antenna placed on quartz hemispherical lenses with varying extension lengths. The radiation patterns of the double-slot antenna are computed using ray-tracing inside the lens and electric and magnetic field integration on the spherical dielectric surface. The theoretical results are equally valid for double-dipole, log-periodic, and spiral antennas, and are presented in extension length/radius and radius/Œª. Therefore, the results yield universal design curves for quartz lenses of different diameters and at different frequencies and using different antennas. The results indicate that for single units, there exists a wide range of extension lengths (ext. length/radius=0.61 to 0.76) which result in high Gaussian-coupling efficiencies to moderately high f/# systems. For imaging array applications with high packing densities, an extension length/radius=0.82 to 0.93 (depending on frequency) will result in peak directivity and highest packing density but lower Gaussian-coupling efficiencies. ¬© 1993 Plenum Publishing Corporation.</t>
  </si>
  <si>
    <t>1905-1924</t>
  </si>
  <si>
    <t>7007076782;7006384021</t>
  </si>
  <si>
    <t>Filipovic, Daniel F.;Rebeiz, Gabriel M.</t>
  </si>
  <si>
    <t>Double-slot antennas on extended hemispherical and elliptical quartz dielectric lenses</t>
  </si>
  <si>
    <t>10.1007/BF02096363</t>
  </si>
  <si>
    <t>2-s2.0-0001105398</t>
  </si>
  <si>
    <t>['weighting functions', 'wave frequencies', 'slot elements', 'slot antennas', 'significant reduction', 'proper selection', 'presented technique', 'phased arrays', 'optical receivers', 'mutual coupling', 'mutual admittances', 'imaging arrays', 'efficient implementation', 'dielectric half', 'combining arrays', 'associated results', 'analytic evaluation', '8 ).']</t>
  </si>
  <si>
    <t>In this paper, an efficient implementation of the spectral domain moment technique is presented for computing the self and mutual coupling between slot antennas on a dielectric half-space. It is demonstrated that by the proper selection of the weighting functions in the method of moments, the analytic evaluation or simplification of the transverse moment integrals is enabled. This results into a significant reduction of the required computational labor. The method is then utilized in order to provide design data for the self and mutual admittances between two slot antennas on a dielectric substrate lens in the case of fused quartz (‚ààr=3.80), crystal quartz (‚ààr=4.53), silicon (‚ààr=11.9) and GaAs (‚ààr=12.8). The presented technique and associated results are useful when designing twin slot quasi-optical receivers, imaging arrays, phased arrays or power-combining arrays of slot elements at millimeter-wave frequencies. ¬© 1993 Plenum Publishing Corporation.</t>
  </si>
  <si>
    <t>1925-1946</t>
  </si>
  <si>
    <t>Self and mutual admittance of slot antennas on a dielectric half-space</t>
  </si>
  <si>
    <t>10.1007/BF02096364</t>
  </si>
  <si>
    <t>2-s2.0-0001432378</t>
  </si>
  <si>
    <t>['radial stub', 'operational frequency', 'model calculations', 'likely due', 'integrated v', 'gap frequency', 'astronomical observations', '8 k', '684 ghz', '5 ghz']</t>
  </si>
  <si>
    <t>Quasioptical SIS mixers | radio astronomy | submillimeter radiometers</t>
  </si>
  <si>
    <t>We report the development of a low noise heterodyne receiver optimized for astronomical observations in the 650 GHz atmospheric window, and specifically for the CO(J=6‚Üí5) line at 691.5 GHz. The system is based on an open structure SIS heterodyne mixer pumped by a continuously tunable solid state oscillator. A niobium SIS junction double array is placed at the end of an integrated V-Antenna. For broad band impedance matching a combination of microstrip impedance transformer and radial stub was used. Receiver noise temperatures of 550 K DSB at 684 GHz were achieved at a 1.8 K physical temperature. The performance improved substantially when decreasing the temperature from 4.2 to 1.8 K. Comparison of model calculations and Fourier transform direct detection measurements of the tuning structure implies that this effect is likely due to the coincidence of operational frequency and the gap frequency of the niobium. ¬© 1993 Plenum Publishing Corporation.</t>
  </si>
  <si>
    <t>1867-1887</t>
  </si>
  <si>
    <t>60021561;60021561;60001753</t>
  </si>
  <si>
    <t>55952822800;7404039701;7006944794</t>
  </si>
  <si>
    <t>Schuster, K. F.;Harris, A. I.;Gundlach, K. H.</t>
  </si>
  <si>
    <t>Garching bei Munchen;Saint Martin d'Heres</t>
  </si>
  <si>
    <t>Max Planck Institute for Extraterrestrial Physics;IRAM Institut de RadioAstronomie Millim√©trique</t>
  </si>
  <si>
    <t>60021561;60001753</t>
  </si>
  <si>
    <t>Schuster K.</t>
  </si>
  <si>
    <t>A 691 GHz sis receiver for radio astronomy</t>
  </si>
  <si>
    <t>10.1007/BF02096361</t>
  </si>
  <si>
    <t>2-s2.0-0004883562</t>
  </si>
  <si>
    <t>['wing gland', 'using electroantennography', 'results obtained', 'octadecane thiol', 'methoxybenzyl alcohol', 'glandular secretions', 'french workers', 'female antennae', 'eldanolide ),', 'eldana saccharina', 'earlier note', 'dienoic acid', 'detectable quantities', 'chain compounds', 'analyses 6']</t>
  </si>
  <si>
    <t>aggregation pheromone | Eldana saccharina | electroantennograms | electroantennographic detection | exocrine secretions | Lepidoptera | NMR | Pyralidae | sex pheromone</t>
  </si>
  <si>
    <t>In addition to trans-3,7-dimethyl-6-octen-4-olide (eldanolide), vanillin, and 4-hydroxybenzaldehyde, identified by French workers in the wing gland and abdominal hair pencil secretions of the male African sugarcane borer, Eldana saccharina, we have, in an earlier note, reported the presence of several other terpenoid, aromatic, and unbranched-chain compounds such as, (Z)-3,7-dimethylocta-2,6-dienoic acid, 6,10,14-trimethyl-2-pentadecanol, 4-hydroxy-3-methoxybenzyl alcohol, 1-octadecane thiol, 16-hexadecanolide, and 18-octadecanolide in these secretions. In the present paper experimental details and spectral evidence supporting the identification of these compounds, as well as the identification of (Z)-9-hexadecenal and cw-3,7-di-methyl-6-octen-4-olide (cis-eldanolide), are reported. Using electroantennography it was found that male and female antennae reacted approximately equally strongly to both secretions. This result was confirmed in analyses of the secretions using coupled gas chromatography-electroantennography and it was found that male as well as female antennae responded to eldanolide. Vanillin, substituted phenols related to vanillin, and some oxygenated monoterpenes elicited weak responses in male and female antennae. In some analyses 6,10,14-trimethyl-2-pentadecanol, present in the secretions of the insect, gave a strong antennal response. The results obtained in dynamic and static headspace determinations showed that several of the organic compounds present in the glandular secretions are released in detectable quantities and are present in widely varying quantitative ratios in the effluvia of individual calling male moths. ¬© 1993 Plenum Publishing Corporation.</t>
  </si>
  <si>
    <t>2255-2277</t>
  </si>
  <si>
    <t>60001565;60001565;60001565;60001565;60001565;60001565;60001875</t>
  </si>
  <si>
    <t>35577693100;6701912264;7004210578;7103407613;6508146705;6602465302;16192685600</t>
  </si>
  <si>
    <t>Burger, B. V.;Nell, A. E.;Smit, D.;Spies, H. S.C.;Mackenroth, W. M.;Groche, D.;Atkinson, P. R.</t>
  </si>
  <si>
    <t>Mount Edgecombe;Stellenbosch</t>
  </si>
  <si>
    <t>South African Sugarcane Research Institute;Stellenbosch University</t>
  </si>
  <si>
    <t>60001875;60001565</t>
  </si>
  <si>
    <t>Burger B.</t>
  </si>
  <si>
    <t>Constituents of wing gland and abdominal hair pencil secretions of male African sugarcane borer, Eldana saccharina walker (Lepidoptera: Pyralidae)</t>
  </si>
  <si>
    <t>10.1007/BF00979662</t>
  </si>
  <si>
    <t>2-s2.0-0027132171</t>
  </si>
  <si>
    <t>['west atlantic', 'total length', 'terminal segment', 'second antennae', 'report represents', 'previously reported', 'phenotypic variation', 'novel shape', 'morphological features', 'interspecific variation', 'cephalothorax shape']</t>
  </si>
  <si>
    <t>A description of adult female Pennella filosa is presented from two specimens found embedded in an escolar Lepidocybium flavobrunneum captured in the north-west Atlantic. This report represents a new host record for the parasite. The specimens each exhibited a bifurcate dorsal holdfast horn, a feature not previously reported for P. filosa. The novel shape of this horn was considered another form of phenotypic variation of this plastic species rather than interspecific variation. Morphological features, such as cephalothorax shape, abdominal plume configuration, structure of the terminal segment of the second antennae and total length, were characteristic of previously described P. filosa. ¬© 1993 Kluwer Academic Publishers.</t>
  </si>
  <si>
    <t>Systematic Parasitology</t>
  </si>
  <si>
    <t>60010365;60062252</t>
  </si>
  <si>
    <t>7102675657;6602333264</t>
  </si>
  <si>
    <t>Benz, George W.;Hogans, William E.</t>
  </si>
  <si>
    <t>St Andrews;Vancouver</t>
  </si>
  <si>
    <t>Huntsman Marine Science Centre;The University of British Columbia</t>
  </si>
  <si>
    <t>60062252;60010365</t>
  </si>
  <si>
    <t>Benz G.</t>
  </si>
  <si>
    <t>Pennella filosa (L., 1758) (Copepoda: Siphonostomatoida) from the escolar Lepidocybium flavobrunneum (Smith, 1849) in the north-west Atlantic</t>
  </si>
  <si>
    <t>10.1007/BF00009219</t>
  </si>
  <si>
    <t>2-s2.0-0027136487</t>
  </si>
  <si>
    <t>['trifluoroacetic anhydride', 'significant differences', 'racemic grandisol', 'racemic grandisal', 'produced grandisol', 'produced grandisal', 'previously isolated', 'previously determined', 'previous assertions', 'pissodes strobi', 'nemorensis germar', 'nearly 100', 'live p', 'isolated grandisol', 'grandisal tested', 'gas chromatography', 'first reduced', 'enantiomeric composition', 'eag tests', 'despite producing', 'corresponding aldehyde', 'behavioral response', 'approximately 60', 'aggregation pheromones', '2r enantiomers', '1 r', ')- grandisol']</t>
  </si>
  <si>
    <t>grandisal | grandisol | Pissodes nemorensis | Pissodes strob</t>
  </si>
  <si>
    <t>Grandisol (cis-2-isopropenyl-1-methylcyclobutaneethanol) and its corresponding aldehyde, grandisal, were previously isolated and identified as aggregation pheromone components for Pissodes strobi (Peck) and P. nemorensis Germar, but the enantiomeric ratios produced by these insects were not previously determined. We isolated grandisol and grandisal from males of both P. strobi and P. nemorensis. The insect-produced grandisol was derivatized with trifluoroacetic anhydride, and the enantiomeric composition was determined by gas chromatography on an optically active cyclodextrin glass capillary column. The insect-produced grandisal was first reduced to grandisol before derivatization. P. nemorensis produced nearly 100% (1 R,2 S)-grandisol and nearly 100% (1 S,2 R)-grandisal. P. strobi produced 99% (1 R,2 S)-grandisol and approximately 60% (lR,2S)-grandisal. In electroantennogram (EAG) studies with live P. nemorensis and P. strobi, no significant differences were found between the responses of males and females to racemic grandisol, racemic grandisal, or the 1R,2S and 1S,2R enantiomers of grandisol and grandisal, which is consistent with previous assertions that these compounds are aggregation pheromones. Although no studies to date with P. strobi have demonstrated a behavioral response to grandisol and grandisal, P. strobi antennae detected all enantiomers of grandisol and grandisal tested in EAG tests. The antennae of P. nemorensis responded significantly more to (1 R,2 S) grandisal than to (1 S,2 R)-grandisal, despite producing only (1 S,2 R)-grandisal. ¬© 1993 Plenum Publishing Corporation.</t>
  </si>
  <si>
    <t>2129-2141</t>
  </si>
  <si>
    <t>60028269;60028269</t>
  </si>
  <si>
    <t>7005388845;7005749478</t>
  </si>
  <si>
    <t>Hibbard, B. E.;Webster, F. X.</t>
  </si>
  <si>
    <t>SUNY College of Environmental Science and Forestry</t>
  </si>
  <si>
    <t>Hibbard B.E.</t>
  </si>
  <si>
    <t>Enantiomeric composition of grandisol and grandisal produced by Pissodes strobi and P. nemorensis and their electroantennogram response to pure enantiomers</t>
  </si>
  <si>
    <t>10.1007/BF00979652</t>
  </si>
  <si>
    <t>2-s2.0-0027141543</t>
  </si>
  <si>
    <t>['wheat leaves', 'state transitions', 'state 2', 'simultaneous measurements', 'quantum efficiencies', 'ps ii', 'photosystem ii', 'phosphorylation status', 'maize leaves', 'light treatments', 'light absorbed', 'lhc ii', 'induced modifications', 'complex demonstrate', 'co2 assimilation', 'chlorophyll fluorescence', 'c3 leaves', 'absorbed photon', '820 nm']</t>
  </si>
  <si>
    <t>CO  assimilation 2 | light harvesting chlorophyll a/b protein complex | Photosystem I | Photosystem II | protein phosphorylation | quantum yield | State transition</t>
  </si>
  <si>
    <t>Wheat leaves were exposed to light treatments that excite preferentially Photosystem I (PS I) or Photosystem II (PS II) and induce State 1 or State 2, respectively. Simultaneous measurements of CO2 assimilation, chlorophyll fluorescence and absorbance at 820 nm were used to estimate the quantum efficiencies of CO2 assimilation and PS II and PS I photochemistry during State transitions. State transitions were found to be associated with changes in the efficiency with which an absorbed photon is transferred to an open PS II reaction centre, but did not correlate with changes in the quantum efficiencies of PS II photochemistry or CO2 assimilation. Studies of the phosphorylation status of the light harvesting chlorophyll protein complex associated with PS II (LHC II) in wheat leaves and using chlorina mutants of barley which are deficient in this complex demonstrate that the changes in the effective antennae size of Photosystem II occurring during State transitions require LHC II and correlate with the phosphorylation status of LHC II. However, such correlations were not found in maize leaves. It is concluded that State transitions in C3 leaves are associated with phosphorylation-induced modifications of the PS II antennae, but these changes do not serve to optimise the use of light absorbed by the leaf for CO2 assimilation. ¬© 1993 Kluwer Academic Publushers.</t>
  </si>
  <si>
    <t>15-26</t>
  </si>
  <si>
    <t>60001359;60001359;60001359</t>
  </si>
  <si>
    <t>55468866400;16433654500;26643542200</t>
  </si>
  <si>
    <t>Andrews, James R.;Bredenkamp, Guy J.;Baker, Neil R.</t>
  </si>
  <si>
    <t>Andrews J.</t>
  </si>
  <si>
    <t>Evaluation of the role of State transitions in determining the efficiency of light utilisation for CO&lt;inf&gt;2&lt;/inf&gt; assimilation in leaves</t>
  </si>
  <si>
    <t>10.1007/BF00015057</t>
  </si>
  <si>
    <t>2-s2.0-0027145722</t>
  </si>
  <si>
    <t>['projection neurons', 'projection neuron', 'postsynaptic activity', 'olfactory glomeruli', 'multisynaptic interactions', 'monosynaptic input', 'major neurites', 'local interneurons', 'local interneuron', 'latency responses', 'intracellular recordings', 'inhibitory role', 'feedback inhibition', 'electrical stimulation', 'driven input', 'different types', 'delayed activation', 'antennal nerve', 'antennal lobe']</t>
  </si>
  <si>
    <t>Antennal lobe | Inhibition | Local interneurons | Manduca sexta | Olfaction | Synaptic interactions</t>
  </si>
  <si>
    <t>Intracellular recordings were made from the major neurites of local interneurons in the moth antennal lobe. Antennal nerve stimulation evoked 3 patterns of postsynaptic activity: (i) a short-latency compound excitatory postsynaptic potential that, based on electrical stimulation of the antennal nerve and stimulation of the antenna with odors, represents a monosynaptic input from olfactory afferent axons (71 out of 86 neurons), (ii) a delayed activation of firing in response to both electrical- and odor-driven input (11 neurons), and (iii) a delayed membrane hyperpolarization in response to antennal nerve input (4 neurons). Simultaneous intracellular recordings from a local interneuron with short-latency responses and a projection (output) neuron revealed unidirectional synaptic interactions between these two cell types. In 20% of the 30 pairs studied, spontaneous and current-induced spiking activity in a local interneuron correlated with hyperpolarization and suppression of firing in a projection neuron. No evidence for recurrent or feedback inhibition of projection neurons was found. Furthermore, suppression of firing in an inhibitory local interneuron led to an increase in firing in the normally quiescent projection neuron, suggesting that a disinhibitory pathway may mediate excitation in projection neurons. This is the first direct evidence of an inhibitory role for local interneurons in olfactory information processing in insects. Through different types of multisynaptic interactions with projection neurons, local interneurons help to generate and shape the output from olfactory glomeruli in the antennal lobe. ¬© 1993 Springer-Verlag.</t>
  </si>
  <si>
    <t>385-399</t>
  </si>
  <si>
    <t>60023324;60023324;60023324;60023324</t>
  </si>
  <si>
    <t>57213669759;6602106910;6602465324;7102653635</t>
  </si>
  <si>
    <t>Christensen, T. A.;Waldrop, B. R.;Harrow, I. D.;Hildebrand, J. G.</t>
  </si>
  <si>
    <t>Christensen T.</t>
  </si>
  <si>
    <t>Local interneurons and information processing in the olfactory glomeruli of the moth Manduca sexta</t>
  </si>
  <si>
    <t>10.1007/BF00193512</t>
  </si>
  <si>
    <t>2-s2.0-0027673998</t>
  </si>
  <si>
    <t>['type levels', 'synechocystis sp', 'slightly smaller', 'significant amounts', 'shortened cp43', 'psii components', 'photosystem ii', 'major chlorophyll', 'larger effect', 'interrupted psbc', 'important role', 'hydrophilic region', 'herbicide binding', 'even though', 'different impact', 'detectable cp43', 'deletions resulted', 'deletions led', 'd2 proteins', 'cp43 plays', 'cell growth', 'binding protein', '11 codons']</t>
  </si>
  <si>
    <t>cyanobacteria | directed mutagenesis | Photosystem II | psbC gene product</t>
  </si>
  <si>
    <t>In order to investigate the role and function of the hydrophilic region between transmembrane regions V and CI in the photosystem II core antenna protein CP43, we introduced eight different deletions in psbC of Synechocystis sp; PCC 6803 resulting in a loss of 7-11 codons in evolutionary conserved domains in this region. All deletions resulted in an obligate photoheterotrophic phenotype (requirement of glucose for cell growth) and the absence of any detectable oxygen evolution activity. The various deletion mutations showed a different impact on the amount of CP43 in the thylakoid, ranging from wild-type levels of (a now slightly smaller) CP43 to no detectable CP43 at all. All deletions led to a decrease in the amount of the D1 and D2 proteins in the thylakoids with a larger effect on D2 than on D1. CP47, the other major chlorophyll-binding protein, was present in reduced but significant amounts in the thylakoid. Herbicide binding (diuron) was lost in all but one mutant indicating the PSII components are not assembled into functionally intact complexes. Fluorescence-emission spectra confirmed this notion. This indicates that the large hydrophilic loop of CP43 plays an important role in photosystem II, and even though a shortened CP43 is present in thylakoids of most mutants, functional characteristics resemble that of a mutant with interrupted psbC. ¬© 1993 Kluwer Academic Publishers.</t>
  </si>
  <si>
    <t>123-133</t>
  </si>
  <si>
    <t>Plant Molecular Biology</t>
  </si>
  <si>
    <t>7202661848;7005345187</t>
  </si>
  <si>
    <t>Kuhn, Matthias G.;Vermaas, Wim F.J.</t>
  </si>
  <si>
    <t>Kuhn M.</t>
  </si>
  <si>
    <t>Deletion mutations in a long hydrophilic loop in the photosystem II chlorophyll-binding protein CP43 in the cyanobacterium Synechocystis sp. PCC 6803</t>
  </si>
  <si>
    <t>10.1007/BF00021425</t>
  </si>
  <si>
    <t>2-s2.0-0027675481</t>
  </si>
  <si>
    <t>['transfer constant', 'experimental results', 'equivalent admittance', 'controllable plane']</t>
  </si>
  <si>
    <t>The equivalent admittance and transfer constant of a controllable plane-layered structure containing an array of rods with inserted impedance nonuniformities are determined. The results of a calculation are given and are compared with experimental results.</t>
  </si>
  <si>
    <t>118-125</t>
  </si>
  <si>
    <t>7102208650;6508173588</t>
  </si>
  <si>
    <t>Mikhailov, G. D.;Astapenko, F. P.</t>
  </si>
  <si>
    <t>Mikhailov G.</t>
  </si>
  <si>
    <t>Equivalent admittance of a controllable plane-layered structure</t>
  </si>
  <si>
    <t>2-s2.0-0027676359</t>
  </si>
  <si>
    <t>['simultaneously gives', 'noise factor', 'minimum value', 'maximum value']</t>
  </si>
  <si>
    <t>A method of analyzing a transistor microwave amplifier which simultaneously gives the maximum value of the power transfer constant and the minimum value of the noise factor is proposed.</t>
  </si>
  <si>
    <t>136-140</t>
  </si>
  <si>
    <t>Tekshev, V. B.</t>
  </si>
  <si>
    <t>Tekshev V.</t>
  </si>
  <si>
    <t>Microwave amplifier with combined matching</t>
  </si>
  <si>
    <t>2-s2.0-0027676361</t>
  </si>
  <si>
    <t>['wave antenna', 'experimental data']</t>
  </si>
  <si>
    <t>A method of designing a leaky-wave antenna with rotating field polarization is developed. The method of design is confirmed by experimental data.</t>
  </si>
  <si>
    <t>129-131</t>
  </si>
  <si>
    <t>Leaky-wave antenna with rotating field polarization</t>
  </si>
  <si>
    <t>2-s2.0-0027676365</t>
  </si>
  <si>
    <t>['underground fm', 'spacing interval', 'shallow region', 'sandy ground', 'range direction', 'output power', 'objects buried', 'metallic plate', 'key factors', 'impedance matching', 'ground surface', 'frequency range', 'fixed target', 'field measurement', 'echo strength', 'detect targets', 'center frequency', 'bandwidth determining', 'antenna aperture', '1000 mhz', '100 cm', '10 cmœü']</t>
  </si>
  <si>
    <t>An FM-CW radar system for the detection of objects buried in sandy ground is explored and is applied to a field measurement. The key factors for underground FM-CW radar performance are the center frequency and bandwidth determining the depth at which the radar can detect targets and the resolution in the range direction. In order for FM-CW radar sounding, two ridged horn antennas are employed in the system, which are operative in the frequency range of 250-1000 MHz. The impedance matching to the ground is optimized by measuring the echo strength from a fixed target as a function of the spacing interval between the antenna aperture and the ground surface. It is shown that the radar with an output power of 18 dBm could detect a metallic plate (30 √ó 100 cm) and a pipe (10 cmœÜ) buried at the depth of 1.2 m. Also the synthetic aperture technique together with an averaging and subtracting method produced fine image in shallow region up to 100 cm in the sandy ground.</t>
  </si>
  <si>
    <t>1297-1304</t>
  </si>
  <si>
    <t>60022313;60022313</t>
  </si>
  <si>
    <t>7404476613;35570317000</t>
  </si>
  <si>
    <t>Yamaguchi, Yoshio;Sengoku, Masakazu</t>
  </si>
  <si>
    <t>Yamaguchi Y.</t>
  </si>
  <si>
    <t>Detection of objects buried in sandy ground by a synthetic aperture FM-CW radar</t>
  </si>
  <si>
    <t>2-s2.0-0027678836</t>
  </si>
  <si>
    <t>['upgrading radars', 'small antenna', 'simply processing', 'received signals', 'range resolution', 'pulse radar', 'proposed method', 'promising way', 'paper introduces', 'marine radar', 'external configuration', 'described first', 'board boats', 'azimuthal resolution']</t>
  </si>
  <si>
    <t>The size and weight of marine pulse radar systems must be limited in order to mount them on board boats. However, the azimuthal resolution of a marine radar with a small antenna is degraded by the antenna beam width. It is desirable to use signal processing techniques to increase both the azimuthal resolution and the range resolution of such systems without changing their external configuration. This paper introduces a resolution enhancement method based on deconvolution, which is a kind of inversion. The frequency domain deconvolution method is described first. The effectiveness of the proposed method is shown by simulation. Then, an example of resolution enhancement processing is applied to a pulse radar. The results of practical experiments show that this method is a promising way of upgrading radars by simply processing the received signals.</t>
  </si>
  <si>
    <t>1279-1284</t>
  </si>
  <si>
    <t>60032315;60032315;60032315;60032315</t>
  </si>
  <si>
    <t>55714912600;36927257000;7005149907;55731586100</t>
  </si>
  <si>
    <t>Wu, Xuefeng;Arai, Ikuo;Kusama, Kyoshi;Suzuki, Tsutomu</t>
  </si>
  <si>
    <t>The University of Electro-Communications</t>
  </si>
  <si>
    <t>Resolution enhancement of pulse radar by inversion method</t>
  </si>
  <si>
    <t>2-s2.0-0027678923</t>
  </si>
  <si>
    <t>['theoretical curve', 'sectional image', 'saturated signals', 'radar echoes', 'pixels corresponding', 'pipe depth', 'paper describes', 'one person', 'objects buried', 'numerous cross', 'new single', 'new radar', 'hyperbolic shape', 'edge contour', 'buried depth', 'best image']</t>
  </si>
  <si>
    <t>This paper describes a new single-unit underground radar for detecting underground buried pipes. The pipe depth can be calculated from the hyperbolic shape in the cross-sectional image of radar echoes. The edge contour of the image is extracted, and the buried depth is judged from the similarity between the extracted hyperbolic curve and the theoretical curve. A suitable amplification rate is estimated by choosing the best image from numerous cross-sectional images formed during one antenna movement repeated at different amplification rates. The best image has few pixels corresponding to weak and saturated signals. The new radar is very compact, so it can be operated by one person. Objects buried up to 2.0 m deep can be detected.</t>
  </si>
  <si>
    <t>1290-1296</t>
  </si>
  <si>
    <t>36812112600;55484173100;35886738100;57212776193</t>
  </si>
  <si>
    <t>Nagashima, Yuji;Yoshida, Hirotaka;Masuda, Jun ichi;Arioka, Ryosuke</t>
  </si>
  <si>
    <t>Nagashima Y.</t>
  </si>
  <si>
    <t>Single-unit underground radar utilizing zero-crossed synthetic aperture</t>
  </si>
  <si>
    <t>2-s2.0-0027679019</t>
  </si>
  <si>
    <t>['sidelobe clutters', 'range bin', 'prf tuning', "par )'", 'mbr operation', 'doppler radar', 'conventional par', 'computer simulations', 'clutter ratio', 'beam operation', 'beam numbers']</t>
  </si>
  <si>
    <t>A multi-beam airborne pulsed-Doppler radar (MBR) system is presented and its clutter rejection performance compared with conventional phased array radar (PAR)'s by PRF tuning is discussed. The pulsed-Doppler radar equations taking account of the multi-beam operation are introduced and some kinds of computer simulations for seeking the conditions to get maximum signal to clutter ratio are carried out. As a result of this, it is cleared that same order of signal to clutter ratio improvement gotten in high PRF operation by conventional PAR can be realized at lower PRF operation by MPR on clutter free area, and higher clutter rejection effect, which is proportional to beam numbers, is obtained under affection of both of mainlobe and sidelobe clutters with order of beam numbers. This also means observable numbers of range bin are increased in MBR operation.</t>
  </si>
  <si>
    <t>1263-1270</t>
  </si>
  <si>
    <t>7403405736;7402581947;6603525697;7003883695;7404792804</t>
  </si>
  <si>
    <t>Kondo, Michimasa;Ishikawa, Sachiko;Fujisaka, Takahiko;Kirimoto, Tetsuo;Hashimoto, Tsutomu</t>
  </si>
  <si>
    <t>Kondo M.</t>
  </si>
  <si>
    <t>Multi-beam airborne pulsed-Doppler radar system and its PRF tuning effect for clutter rejection</t>
  </si>
  <si>
    <t>2-s2.0-0027679201</t>
  </si>
  <si>
    <t>['transient scattering', 'transient responses', 'rigorously analyzed', 'physical meaning', 'open sidewall', 'open side', 'numerical results', 'laplace transform', 'fast inversion', 'far fields', 'closed side', 'back scattered']</t>
  </si>
  <si>
    <t>The transient scattering of a half sine pulse wave by a conducting rectangular cylinder with an open sidewall is rigorously analyzed by using the point matching method (taking into account the edge condition exactly) combined with the fast inversion of Laplace transform. Numerical results are presented for back scattered and forward scattered responses of the far fields when a half sine pulse is incident on the open side and the closed side of the cylinder. The physical meaning of the transient responses is discussed in detail. The comparison of the responses with those by a perfect conducting rectangular cylinder is presented.</t>
  </si>
  <si>
    <t>1474-1480</t>
  </si>
  <si>
    <t>60002561;60002561;60002561</t>
  </si>
  <si>
    <t>7006605105;7202317775;7003537379</t>
  </si>
  <si>
    <t>Ohnuki, Shinichiro;Yamasaki, Tsuneki;Hinata, Takashi</t>
  </si>
  <si>
    <t>Ohnuki S.</t>
  </si>
  <si>
    <t>Transient backward and forward scattering of electromagnetic waves by a conducting rectangular cylinder with an open side-wall - the case of a half sine pulse incident on the open side and closed side</t>
  </si>
  <si>
    <t>2-s2.0-0027681148</t>
  </si>
  <si>
    <t>['usually covered', 'suitable absorber', 'subsurface radar', 'received field', 'radiowave absorber', 'radiation field', 'pulse propagation', 'numerically analyzed', 'multiple reflections', 'interior wall', 'external noises', 'electromagnetic environment', 'effectively suppressed', 'domain method', 'dimensional cavity', 'difference time', 'conducting cavity', 'buried objects', 'backed antenna', 'also shown']</t>
  </si>
  <si>
    <t>The antennas for subsurface radar are usually covered with a conducting cavity to prevent the radiation field from affecting the electromagnetic environment and to protect the received field from external noises. Furthermore, radiowave absorber is attached to the interior wall of the cavity in order to suppress the multiple reflections in the cavity. In this paper, the characteristics of the two-dimensional cavity-backed antenna having the absorber and the over-all properties of this subsurface radar due to buried objects are numerically analyzed by the Finite-Difference Time-Domain method. It is shown that the pulse propagation in the ground is confined to the narrow region due to the cavity. It is also shown that the multiple reflections in the cavity are effectively suppressed by choosing the suitable absorber, and so that the distinctive pulse echo can be obtained.</t>
  </si>
  <si>
    <t>1468-1473</t>
  </si>
  <si>
    <t>60008435;60008435;60008435;60008435</t>
  </si>
  <si>
    <t>6508362750;7201851714;7404942406;56779495700</t>
  </si>
  <si>
    <t>Maeshima, Osamu;Uno, Toru;He, Yiwei;Adachi, Saburo</t>
  </si>
  <si>
    <t>Maeshima O.</t>
  </si>
  <si>
    <t>FDTD analysis of two-dimensional cavity-backed antenna for subsurface radar</t>
  </si>
  <si>
    <t>2-s2.0-0027681916</t>
  </si>
  <si>
    <t>['measured characteristics', 'integrated conformally']</t>
  </si>
  <si>
    <t>A cylindrical active phased array antenna was developed. A primary surveillance radar (PSR) antenna and a secondary surveillance radar (SSR) antenna are integrated conformally. The PSR antenna employs two-dimensional electronic beam scanning. The SSR antenna employs electronic beam scanning in azimuth. Advantages of this antenna, design architecture employed and measured characteristics are described.</t>
  </si>
  <si>
    <t>1243-1248</t>
  </si>
  <si>
    <t>60031293;60031293;60031293;60031293;60031293;60031293</t>
  </si>
  <si>
    <t>56307549100;7201453372;6602282601;35852462700;57206525384;7403740279</t>
  </si>
  <si>
    <t>Sato, Mitsuhisa;Sugano, Masayuki;Ikeba, Kazuo;Fukutani, Koichi;Terada, Atushi;Yamazaki, Tsugio</t>
  </si>
  <si>
    <t>Sato M.</t>
  </si>
  <si>
    <t>Cylindrical active phased array antenna</t>
  </si>
  <si>
    <t>2-s2.0-0027682249</t>
  </si>
  <si>
    <t>['small quantities', 'shelf mmic', 'low cost', 'consists primarily', '2 ghz', '), low']</t>
  </si>
  <si>
    <t>Thanks to the availability of commercial off-the-shelf monolithic microwave integrated circuits (MMIC's), low-volume multifunction microwave systems can now be developed cost effectively. In particular, the receive modules needed for prototyping active antenna design concepts can be made in small quantities at low cost and with short development times. The Applied Physics Laboratory has developed a receive module operating at 4.8 to 5.2 GHz that consists primarily of off-the-shelf MMIC's and is suitable for active antenna applications.</t>
  </si>
  <si>
    <t>333-338</t>
  </si>
  <si>
    <t>Johns Hopkins APL Technical Digest (Applied Physics Laboratory)</t>
  </si>
  <si>
    <t>100706444;100706444</t>
  </si>
  <si>
    <t>7004691486;7201380317</t>
  </si>
  <si>
    <t>Kopp, Bruce A.;Barnett, Jonathan C.</t>
  </si>
  <si>
    <t>Fleet Systems Dep</t>
  </si>
  <si>
    <t>Kopp B.</t>
  </si>
  <si>
    <t>C-band receive module for phased-array antenna applications using commercially available monolithic microwave integrated circuits</t>
  </si>
  <si>
    <t>2-s2.0-0027682257</t>
  </si>
  <si>
    <t>['rigorous requirements', 'reduce costs', 'ongoing effort', 'major role', 'hybrid architectures', 'extensively involved', 'early prototype', 'complex systems', 'aegis system', 'advanced development']</t>
  </si>
  <si>
    <t>Complex systems under advanced development for military applications increasingly demand phased array antenna technology. The Fleet Systems Department of the Applied Physics Laboratory has had a major role in developing such technology, including the Advanced Multifunction Array Radar, which served as an early prototype for the Aegis system. To meet the needs of the shipboard Cooperative Engagement Capability, the Laboratory was extensively involved in the creation and implementation of a cylindrical phased array antenna. The more rigorous requirements for airborne Cooperative Engagement Capability terminals spurred the development of active-aperture antennas employing transmit/receive modules based on monolithic microwave integrated circuits. Hybrid architectures are being investigated for active-array radar antennas in an ongoing effort to reduce costs as performance is improved.</t>
  </si>
  <si>
    <t>339-347</t>
  </si>
  <si>
    <t>57220754559;6508314368</t>
  </si>
  <si>
    <t>Frank, Joe;O'Haver, Kenneth W.</t>
  </si>
  <si>
    <t>Frank J.</t>
  </si>
  <si>
    <t>Phased array antenna development at the applied physics laboratory</t>
  </si>
  <si>
    <t>2-s2.0-0027682482</t>
  </si>
  <si>
    <t>['¬© 1993', 'take place', 'significant differences', 'signal format', 'rights reserved', 'propagation margins', 'payload adapts', 'next generation', 'multibeam switching', 'multibeam connectivity', 'margins required', 'loading requirements', 'electrical engineers', 'band payload', 'band operations', 'analysed statistically', 'allow advances', '1 mbit']</t>
  </si>
  <si>
    <t>The next generation of satellites is discussed and a Ka-band payload is proposed which will provide mesh connectivity at high data rates (e.g. 1 Mbit/s) directly between very small aperture terminals (VSATs) using a maximum antenna diameter of 1¬∑5 m. It is demonstrated that there are no significant differences between Ku-band and Ka-band VSAT operations apart from propagation margins, which are analysed statistically over 650 European cities. It is shown that margins required for Ka-band operations are not excessive. A Ka-band satellite payload is proposed, based on frequency division multiple access, multibeam switching with dynamically controllable transponder bandwidths and gain. The payload adapts to traffic-loading requirements in its provision of multibeam connectivity and capacity. The signal format, modulation and coding technique used for transmission is unconstrained, except in terms of bandwidth, and this will allow advances in modulation and coding to take place during the lifetime of the satellite in orbit. ¬© 1993, The Institution of Electrical Engineers. All rights reserved.</t>
  </si>
  <si>
    <t>285-291</t>
  </si>
  <si>
    <t>Electronics and Communication Engineering Journal</t>
  </si>
  <si>
    <t>60031159;60031159;60031159;60024779</t>
  </si>
  <si>
    <t>7401857021;6602503997;6506870348;7102083131</t>
  </si>
  <si>
    <t>Hughes, C. D.;Soprano, C.;Feliciani, F.;Tomlinson, M.</t>
  </si>
  <si>
    <t>Netherlands;United Kingdom</t>
  </si>
  <si>
    <t>Noordwijk aan Zee;Plymouth</t>
  </si>
  <si>
    <t>ESTEC - European Space Research and Technology Centre;University of Plymouth</t>
  </si>
  <si>
    <t>60031159;60024779</t>
  </si>
  <si>
    <t>Hughes C.</t>
  </si>
  <si>
    <t>Satellite systems in a VSAT environment</t>
  </si>
  <si>
    <t>10.1049/ecej:19930056</t>
  </si>
  <si>
    <t>2-s2.0-0027683891</t>
  </si>
  <si>
    <t>['widely used', 'tracking radars', 'narrow beam', 'monopulse technique', 'monopulse feed', 'lens array', 'ground reflections', 'elliptical aperture', 'elevation plane']</t>
  </si>
  <si>
    <t>Monopulse technique is widely used for tracking radars. For tracking at a low elevation angle, a narrow beam is required in the elevation plane to reduce multipath signals such as ground reflections. In this case, an elliptical aperture is desired. We have developed an antenna with a high tracking accuracy and a high aperture efficiency which is composed of a monopulse feed and an elliptical aperture. In this paper, we discuss a design of the feed through lens array with an elliptical aperture and a new monopulse feed. Evaluation test results of a production model proved validity of our design and showed good performance.</t>
  </si>
  <si>
    <t>1249-1257</t>
  </si>
  <si>
    <t>60031293;60031293;60031293;60031293</t>
  </si>
  <si>
    <t>7103395868;6506675106;7202722874;7005390489</t>
  </si>
  <si>
    <t>Kuwahara, Yoshihiko;Ishita, Toru;Matsuzawa, Yoshihiko;Kadowaki, Yasunori</t>
  </si>
  <si>
    <t>Kuwahara Y.</t>
  </si>
  <si>
    <t>X-band phased array antenna with a large elliptical aperture</t>
  </si>
  <si>
    <t>2-s2.0-0027684253</t>
  </si>
  <si>
    <t>['various components', 'transfer catalysts', 'terminal ligands', 'supramolecular structure', 'strong absorption', 'several interacting', 'redox properties', 'polynuclear compounds', 'metal ions', 'light absorption', 'good candidates', 'g .,', 'energy migration', 'docosanuclear ru', 'bridging ligands']</t>
  </si>
  <si>
    <t>molecular devices | Photochemistry | photophysics | supermolecules</t>
  </si>
  <si>
    <t>The synthetic strategies used to prepare di-, tri-, tetra-, hexa-, hepta-, deca-, trideca- and docosanuclear Ru(II) and/or Os(II) polypyridine-type complexes containing the 2,3-dpp and/or 2,5-dpp bridging ligands and the bpy and/or biq terminal ligands are described (dpp = Bis(2-pyridyl)pyrazine; bpy = 2,2'-bipyridine; biq = 2,2'-biquinoline). The light absorption, luminescence, and redox properties of these polynuclear compounds can be varied by changing (i) the nuclearity, (ii) the nature of metal ions, bridging ligands and/or terminal ligands, and (iii) the position of the various components in the supramolecular structure. Because of their strong absorption in the visible spectral region and the possibility of predetermining the direction of energy migration, these compounds can be used as photochemical molecular devices (e.g., as antennas for harvesting solar energy). Because of the presence of several interacting and/or noninteracting redox centres, they are good candidates to play the role of multielectron-transfer catalysts. ¬© 1993 Indian Academy of Sciences.</t>
  </si>
  <si>
    <t>421-434</t>
  </si>
  <si>
    <t>Journal of Chemical Sciences</t>
  </si>
  <si>
    <t>101252579;60028868;60028868;60014096;60014096;101252579</t>
  </si>
  <si>
    <t>7005686105;57208459253;7004639059;7005385415;6506756924;57222440413</t>
  </si>
  <si>
    <t>Balzani, Vincenzo;Denti, Gianfranco;Serroni, Scolastica;Campagna, Sebastiano;Ricevuto, Vittorio;Juris, Alberto</t>
  </si>
  <si>
    <t>Pisa;Campobasso;Bologna</t>
  </si>
  <si>
    <t>Universit√† di Pisa;Universit√† degli Studi del Molise;Dipartimento di Chimica</t>
  </si>
  <si>
    <t>60028868;60014096;101252579</t>
  </si>
  <si>
    <t>Balzani V.</t>
  </si>
  <si>
    <t>Supramolecular photochemistry. Luminescent and redox active dendritic polynuclear metal complexes</t>
  </si>
  <si>
    <t>10.1007/BF03040815</t>
  </si>
  <si>
    <t>2-s2.0-0141752706</t>
  </si>
  <si>
    <t>['width screen', 'urban environments', 'second method', 'receiving properties', 'rayleigh distance', 'point source', 'optimal position', 'interference reduction', 'first one', 'field approach', 'considerable differences', 'communications channel', 'combined effect', 'broadband analysis', 'best results', 'antenna simply', 'antenna diffraction']</t>
  </si>
  <si>
    <t>In this paper two methods for calculating the received electromagnetic field by a single-parabolic reflector antenna in the shadow region behind a finite-width screen are proposed and analysed. The first one is referred to as the far-field approach and treats the obstacle and reflector antenna diffraction separately. The antenna simply is replaced by a point source having the receiving properties of the reflector antenna considered. The second method is called the near-field approach and considers the combined effect of obstacle and antenna diffraction. It is shown that considerable differences between the results of both methods may exist, even for an obstacle-antenna separation large compared to the Rayleigh distance of the antenna, and both for a CW and broadband analysis of the communications channel. It is concluded that the near-field method gives the best results and can be applied to many practical problems such as interference reduction and searching the optimal position of VSATs in urban environments. ¬© 1993 Plenum Publishing Corporation.</t>
  </si>
  <si>
    <t>2233-2242</t>
  </si>
  <si>
    <t>16450863200;6603941265</t>
  </si>
  <si>
    <t>van de Griendt, M. A.J.;van Dooren, G. A.J.</t>
  </si>
  <si>
    <t>van de Griendt M.</t>
  </si>
  <si>
    <t>On the use of antenna weight functions in field strength prediction and interference reduction</t>
  </si>
  <si>
    <t>10.1007/BF02096384</t>
  </si>
  <si>
    <t>2-s2.0-34250084984</t>
  </si>
  <si>
    <t>29/31-8</t>
  </si>
  <si>
    <t>['¬© 1993', 'whole membranes', 'transient absorption', 'rhodobacter capsulatus', 'primary processes', 'isolation procedure', 'extensive similarities', 'emission spectroscopy']</t>
  </si>
  <si>
    <t>(Rb. capsulatus) | Antenna deficient mutant | Femtosecond spectroscopy | Reaction center | Time resolved spectroscopy</t>
  </si>
  <si>
    <t>The primary photosynthetic reactions in whole membranes of the antenna-deficient mutant strain U43 (pTXA6-10) of Rhodobacter capsulatus are studied by transient absorption and emission spectroscopy with subpicosecond time resolution. Extensive similarities between the transient absorption data on whole membranes and on isolated reaction centers support the idea that the primary processes in isolated reaction centers are not modified by the isolation procedure. ¬© 1993.</t>
  </si>
  <si>
    <t>385-390</t>
  </si>
  <si>
    <t>60117813;60117813;60028717;60028717;60117813;60025641;60028717</t>
  </si>
  <si>
    <t>57198523429;13613805500;7006380522;6603423055;6602801501;7102742634;7006022667</t>
  </si>
  <si>
    <t>Schmidt, S.;Arlt, T.;Hamm, P.;Lauterwasser, C.;Finkele, U.;Drews, G.;Zinth, W.</t>
  </si>
  <si>
    <t>Garching bei Munchen;Munich;Freiburg im Breisgau</t>
  </si>
  <si>
    <t>Fakult√§t f√ºr Physik, Technische Universit√§t M√ºnchen;Ludwig-Maximilians-Universit√§t M√ºnchen;Universit√§t Freiburg im Breisgau</t>
  </si>
  <si>
    <t>60117813;60028717;60025641</t>
  </si>
  <si>
    <t>Schmidt S.</t>
  </si>
  <si>
    <t>Time-resolved spectroscopy of the primary photosynthetic processes of membrane-bound reaction centers from an antenna-deficient mutant of Rhodobacter capsulatus</t>
  </si>
  <si>
    <t>0005-2728(93)90124-X</t>
  </si>
  <si>
    <t>10.1016/0005-2728(93)90124-X</t>
  </si>
  <si>
    <t>2-s2.0-0027374988</t>
  </si>
  <si>
    <t>['¬© 1993', 'whole cells', 'treated cells', 'technique showed', 'state 2', 'state 1', 'reversible phosphorylation', 'redox state', 'prokaryotic chlorophyll', 'prochlorothrix hollandica', 'principal differences', 'photosynthetic prokaryote', 'photosynthetic activity', 'phosphorylating conditions', 'observations suggest', 'model claims', 'main target', 'main chlorophyll', 'light conditions', 'light 2', 'light 1', 'increasing fraction', 'illuminated cells', 'functionally distinct', 'conditions examined', 'complexes obtained', 'cells illuminated', 'bulk chlorophyll', 'b antennae', 'b antenna', 'antenna forms', 'antenna copurified', 'antenna associates', 'acta 1100', '82 ).', '710 nm', '652 nm', '10 min', '., ohad', '., milbauer']</t>
  </si>
  <si>
    <t>Chlorophyll a b | Chlorophyll a b antenna | Fluorescence induction | Photosynthesis regulation | Photosystem I | Photosystem II</t>
  </si>
  <si>
    <t>Prochlorothrix hollandica is a photosynthetic prokaryote, whose main thylakoid intrinsic chlorophyll a b antenna copurifies with PS I and is both structurally and functionally distinct from chloroplast LHC II. The 35 kDa apoprotein of the antenna forms the main target for light/redox controlled reversible phosphorylation (Post, A.F., Gal, A., Ohad, I., Milbauer, K.M. and Bullerjahn, G.S. (1992) Biochim. Biophys. Acta 1100, 75-82). The occurrence of state 1 ‚Üí 2 transitions in cells illuminated with light 1 (710 nm) and light 2 (652 nm) was shown from differences in fluorescence properties using the chlorophyll fluorescence induction technique. The same technique showed that the redox state of the PQ pool responded to light conditions, being more oxidized in dark-incubated and light-1-illuminated cells. Following the transfer of light-1-treated cells to light 2 conditions, state 2 was reached in approx. 10 min. Addition of the phosphatase inhibitor NaF locked cells in state 2. These observations lend support to the hypothesis that the molecular mechanism driving the state 1 ‚Üí 2 transitions involves the reversible phosphorylation of the main chlorophyll a b antenna. 77 K fluorescence spectra of whole cells and of PS I complexes obtained from detergent-treated thylakoids showed strong energy coupling between the antenna and PS I preferentially. Fluorescence quenching measurements showed an increase in PS I activity during a state 1 ‚Üí 2 transition. These observations suggest that during a state 1 ‚Üí 2 transition an increasing fraction of the excitation energy arriving from the antenna is diverted to PS I. The antenna copurified with PS I complexes under all conditions examined. We have summarized the principal differences between eukaryotic and prokaryotic chlorophyll a b antennae. A model for the regulation of photosynthetic activity in P. hollandica is proposed and it involves light controlled reversible phosphorylation of the chlorophyll a b antenna. Our model claims that in state 1 (non-phosphorylating conditions) the bulk chlorophyll a b antenna is shared by both photosystems. Under phosphorylating conditions (state 2) the antenna associates more tightly with PS I, effectively reducing energy transfer to PS II centers. It is noted that reversible phosphorylation of a chlorophyll a b antenna may have evolved as a regulatory mechanism prior to the evolution of chloroplast LHC II. ¬© 1993.</t>
  </si>
  <si>
    <t>374-384</t>
  </si>
  <si>
    <t>60007903-60002483;60007903;60018475;60018475</t>
  </si>
  <si>
    <t>7006861021;7005705984;7101708399;7004682381</t>
  </si>
  <si>
    <t>Post, Anton F.;Ohad, Itzhak;Warner, Karen M.;Bullerjahn, George S.</t>
  </si>
  <si>
    <t>United States;Israel;Netherlands</t>
  </si>
  <si>
    <t>Bowling Green;Jerusalem;Amsterdam</t>
  </si>
  <si>
    <t>Bowling Green State University;Hebrew University of Jerusalem;Universiteit van Amsterdam</t>
  </si>
  <si>
    <t>60018475;60007903;60002483</t>
  </si>
  <si>
    <t>Post A.</t>
  </si>
  <si>
    <t>Energy distribution between Photosystems I and II in the photosynthetic prokaryote Prochlorothrix hollandica involves a chlorophyll a b antenna which associates with Photosystem I</t>
  </si>
  <si>
    <t>000527289390123W</t>
  </si>
  <si>
    <t>10.1016/0005-2728(93)90123-W</t>
  </si>
  <si>
    <t>2-s2.0-0027442389</t>
  </si>
  <si>
    <t>['type strains', 'three strains', 'temperatures tested', 'strains 7050', 'strain 7750', 'strain 10050', 'rhodopseudomonas acidophila', 'major ones', 'major carotenoids', 'low light', 'intensities studied', 'high light', 'harvesting apparatus', 'gradually replaced', 'detailed effect', 'complete replacement', 'changeover complete', 'carotenoid composition', 'another type', '850 complex', '820 complex', '160 œºmol']</t>
  </si>
  <si>
    <t>B800-820 | B800-850 | bacterial photosynthesis | bacteriochlorophyll | carotenoids | Light-harvesting</t>
  </si>
  <si>
    <t>The detailed effect on the light-harvesting apparatus of three different wild-type strains of Rhodopseudomonas acidophila in response to changes in both light-intensity and temperature have been investigated. In all three strains at high light-intensities (160 Œºmol s m2 and above) the only LH2 antenna complex synthesised is the B800-850 complex. In strains 7050 and 7750 as the light-intensity is lowered the B800-850 complex is gradually replaced by another type of LH2 the B800-820 complex. However, at no light-intensities studied is this changeover complete when the cells are grown at 30¬∞C. If however, the light-intensity is lowered at temperatures below 25¬∞C with strain 7750 there is a complete replacement of the B800-850 complex by the B800-820 complex. At all light-intensities and temperatures tested, strain 10050 only synthesised the B800-850 complex. Strain 7050 also responded to changes in light-intensity by altering its carotenoid composition. At high light-intensity the major carotenoids were rhodopin and rhodopin-glucoside, while at low light-intensities the major ones were rhodopinal and rhodopinal-glucoside. This change in carotenoid content started to occur at rather higher light-intensities than the switchover from B800-850 to B800-820. ¬© 1993 Kluwer Academic Publishers.</t>
  </si>
  <si>
    <t>159-167</t>
  </si>
  <si>
    <t>60001490;60001490;60018600</t>
  </si>
  <si>
    <t>7006682688;7006465617;7007107989</t>
  </si>
  <si>
    <t>Gardiner, Alastair T.;Cogdell, Richard J.;Takaichi, Shinichi</t>
  </si>
  <si>
    <t>Japan;United Kingdom</t>
  </si>
  <si>
    <t>Tokyo;Glasgow</t>
  </si>
  <si>
    <t>Nippon Medical School;University of Glasgow</t>
  </si>
  <si>
    <t>60018600;60001490</t>
  </si>
  <si>
    <t>Gardiner A.</t>
  </si>
  <si>
    <t>The effect of growth conditions on the light-harvesting apparatus in Rhodopseudomonas acidophila</t>
  </si>
  <si>
    <t>10.1007/BF00146415</t>
  </si>
  <si>
    <t>2-s2.0-0027136364</t>
  </si>
  <si>
    <t>['wait parasitoids', 'usually initiated', 'system studied', 'susceptible foragers', 'study examines', 'single egg', 'pursuing parasitoids', 'oviposition behavior', 'outbound foragers', 'outbound forager', 'high incidence', 'frequency found', 'foramen magnum', 'foraging trail', 'five times', 'females deposit', 'diurnal sit', 'curvinervis females', 'colony level', '6 mm', '15 %,']</t>
  </si>
  <si>
    <t>Atta | behavior | Diptera | Formicidae | host | Hymenoptera | Neodohrniphora | parasitoid | Phoridae</t>
  </si>
  <si>
    <t>This study examines the oviposition behavior of the phorid parasitoid Neodohrniphora curvinervis and the antiparasitoid defense behavior of its leafcutting ant host Atta cephalotes. N. curvinervis females are diurnal sit- and- wait parasitoids that attack only outbound foragers of head width 1.6 mm or greater. Females deposit a single egg through the foramen magnum of each host successfully parasitized. Pursuit of hosts is usually initiated when an outbound forager of acceptable size passes by a parasitoid perch site. Individual foragers defend themselves against pursuing parasitoids by outrunning them along the foraging trail or by standing their ground and fending them off with their legs, antennae, and mandibles. At the colony level, susceptible foragers are protected against parasitism by a shift in the forager size distribution toward smaller unsusceptible sizes during the day when parasitoids are active and toward larger sizes at night when parasitoids are inactive. The frequency of parasitism of susceptible foragers was 15%, which is more than five times the frequency found in another system involving the phorid parasitoid Apocephalus attophilus and the leafcutting ant host Atta colombica. We offer several possible explanations for such differences in the frequency of parasitism and also examine reasons for the high incidence of superparasitism (19%) observed in the system studied. ¬© 1993 Plenum Publishing Corporation.</t>
  </si>
  <si>
    <t>675-688</t>
  </si>
  <si>
    <t>Journal of Insect Behavior</t>
  </si>
  <si>
    <t>60025488;60030835</t>
  </si>
  <si>
    <t>6701667280;7404161989</t>
  </si>
  <si>
    <t>Feener, Donald H.;Brown, Brian V.</t>
  </si>
  <si>
    <t>Edmonton;Salt Lake City</t>
  </si>
  <si>
    <t>University of Alberta;The University of Utah</t>
  </si>
  <si>
    <t>60030835;60025488</t>
  </si>
  <si>
    <t>Feener D.</t>
  </si>
  <si>
    <t>Oviposition behavior of an ant-parasitizing fly, Neodohrniphora curvinervis (Diptera: Phoridae), and defense behavior by its leaf-cutting ant host Atta cephalotes (Hymenoptera: Formicidae)</t>
  </si>
  <si>
    <t>10.1007/BF01201669</t>
  </si>
  <si>
    <t>2-s2.0-0027138563</t>
  </si>
  <si>
    <t>['type barley', 'two mutants', 'smaller ps', 'ps ii', 'polypeptide subunit', 'polypeptide composition', 'polypeptide components', 'molecular masses', 'harvesting antenna', 'f2 mutant', 'exhibits flexibility', 'core complex', 'chlorophyll b', 'chlorophyll associated', 'chlorina mutants', 'bound chlorophylls', 'binding lhc', 'auxiliary antenna', 'antenna size', '21 kda', '19 kda']</t>
  </si>
  <si>
    <t>barley | Chlorina mutant | chlorophyll-binding protein | chloroplast | Lhcb genes | light-harvesting | polypeptide assembly | thylakoid membrane</t>
  </si>
  <si>
    <t>The chlorina-f2 mutant of barley (Hordeum vulgare L.) contains no chlorophyll b in its light-harvesting antenna, whereas the chlorina-103 mutant contains approximately 10% of the chlorophyll b found in wild-type. The absolute chlorophyll antenna size for Photosystem-II in wild-type, chlorina-103 and chlorina-f2 mutant was 250, 58 and 50 chlorophyll molecules, respectively. The absolute chlorophyll antenna size for Photosystem-I in wild-type, chlorina-103 and chlorina-f2 mutant was 210, 137 and 150 chlorophyll molecules, respoectively. In spite of the smaller PS I antenna size in the chlorina mutants, immunochemical analysis showed the presence of polypeptide components of the LHC-I auxiliary antenna with molecular masses of 25, 19.5 and 19 kDa. The chlorophyll a-b-binding LHC-II auxiliary antenna of PS II contained five polypeptide subunits in wild-type barley, termed a, b, c, d and e, with molecular masses of 30, 28, 27, 24 and 21 kDa, respectively. The polypeptide composition of the LHC-II auxiliary antenna of PS II was found to be identical in the two mutants, with only the 24 kDa subunit d present at an equal copy number per PS II in each of the mutants and in the wild-type barley. This d subunit assembles stably in the thylakoid membrane even in the absence of chlorophyll b and exhibits flexibility in its complement of bound chlorophylls. We suggest that polypeptide subunit d binds most of the chlorophyll associated with the residual PS II antenna in the chlorina mutants and that is proximal to the PS II-core complex. ¬© 1993 Kluwer Academic Publishers.</t>
  </si>
  <si>
    <t>141-151</t>
  </si>
  <si>
    <t>60025038;60025038;60025038</t>
  </si>
  <si>
    <t>7401595128;6602395622;57203081985</t>
  </si>
  <si>
    <t>Harrison, Michael A.;Nemson, Jeff A.;Melis, Anastasios</t>
  </si>
  <si>
    <t>Harrison M.A.</t>
  </si>
  <si>
    <t>Assembly and composition of the chlorophyll a-b light-harvesting complex of barley (Hordeum vulgare L.): Immunochemical analysis of chlorophyll b-less and chlorophyll b-deficient mutants</t>
  </si>
  <si>
    <t>10.1007/BF00146413</t>
  </si>
  <si>
    <t>2-s2.0-0027141533</t>
  </si>
  <si>
    <t>['yeast reduction', 'third component', 'synthetic intermediate', 'propenal yielded', 'particularly coleoptera', 'increased attraction', 'electrophysiological bioassays', 'dimethylheptadecane increased', 'dimethylheptadecane combined', 'chiral methyl', 'branched pheromones', '5 r', ')- 7', ')- 5', ')- 2']</t>
  </si>
  <si>
    <t>(5 R)-2,5-dimethylheptadecane | (5 S)-2,5-dimethylheptadecane | (7 R)-7-methylheptadecane | (7 S)-7-methylheptadecane | chirality | enantiomer | Geometridae | Lepidoptera | Sex pheromone | western hemlock looper</t>
  </si>
  <si>
    <t>Bakers' yeast reduction of (2 E)-3-(2‚Ä≤-furanyl)-2-methyl-2-propenal yielded the synthetic intermediate, (2 S)-3-(2‚Ä≤-furanyl)-2-methylpropanol, of high chiral purity (&gt;97% ee) for the synthesis of the enantiomers of 2,5-dimethylheptadecane and 7-methylheptadecane, two synergistic sex pheromone components of the western hemlock looper (WHL), Lambdina fiscellaria lugubrosa Hulst. In electrophysiological bioassays, (7 S)- but not (7 R)-7-methylheptadecane elicited strong antennal responses by male WHL antennae. In field trapping experiments, addition of (7 S)- but not (7 R)-7-methylheptadecane to (5 R,11 S)-5,11-dimethylheptadecane, the major sex pheromone component of WHL, increased attraction. Attraction to (5 R,11 S)-5,11-dimethylheptadecane in combination with (7 S)-7-methyiheptadecane was further enhanced by the addition of (5 S)- but not (5 R)-2,5-dimethylheptadecane. Similarly, attraction to (5 R,11 S)-5,11-dimethylheptadecane combined with (5 S)-2,5-dimethylheptadecane increased when 7 S- but not (7 R)-7-methylheptadecane was added as a third component. We conclude that (7 S)-7-methylheptadecane and (5 S)-2,5-dimethylheptadecane are the synergistic sex pheromone components of WHL. The synthetic methodology described is applicable to the synthesis of chiral methyl-branched pheromones in other orders of the Insecta, particularly Coleoptera, Diptera and Orthoptera. ¬© 1993 Plenum Publishing Corporation.</t>
  </si>
  <si>
    <t>2547-2561</t>
  </si>
  <si>
    <t>60018491;60018491;60018491;60018491;60018491</t>
  </si>
  <si>
    <t>57196156433;7006196798;7006335669;16445510800;7003978932</t>
  </si>
  <si>
    <t>Li, Jianxiong;Gries, Gerhard;Gries, Regine;Bikic, Jovo;Slessor, Keith N.</t>
  </si>
  <si>
    <t>Burnaby</t>
  </si>
  <si>
    <t>Simon Fraser University</t>
  </si>
  <si>
    <t>Chirality of synergistic sex pheromone components of the western hemlock looper Lambdina fiscellaria lugubrosa (HULST) (Lepidoptera: Geometridae)</t>
  </si>
  <si>
    <t>10.1007/BF00980690</t>
  </si>
  <si>
    <t>2-s2.0-0027141841</t>
  </si>
  <si>
    <t>['using chebyshev', 'legendre polynomials', 'legendre arrays', 'different combinations', 'arrays based', 'array spacing']</t>
  </si>
  <si>
    <t>Under a synoptic viewpoint end-fire array concepts are presented by using Chebyshev and Legendre polynomials. The arrays are designed by different combinations of their coefficients. Directivity and half power beamwidth (HPBW) versus the array spacing as well as versus the side lobe level are given. Finally several examples for the Chebyshev and Legendre arrays and arrays based on products of Chebyshev as well as Legendre polynomials are presented. ¬© 1993 Springer-Verlag.</t>
  </si>
  <si>
    <t>469-476</t>
  </si>
  <si>
    <t>6602468124;7005683394</t>
  </si>
  <si>
    <t>Chryssomallis, M.;Sahalos, J. N.</t>
  </si>
  <si>
    <t>Chryssomallis M.</t>
  </si>
  <si>
    <t>A synoptic study of different superdirective endfire array concepts</t>
  </si>
  <si>
    <t>10.1007/BF01576027</t>
  </si>
  <si>
    <t>2-s2.0-0027663273</t>
  </si>
  <si>
    <t>T√ºrkiye Bilimsel ve Teknolojik Ara≈ütirma Kurumu</t>
  </si>
  <si>
    <t>T√úBITAK</t>
  </si>
  <si>
    <t>['section results', 'radar cross', 'outer surface', 'numerical results', 'material coating', 'based solution', 'backed aperture', 'aspect angle', 'also given', 'absorbing material', 'absorbing layer']</t>
  </si>
  <si>
    <t>A dual-series-based solution is obtained for the scattering of an E-polarized plane wave from a cavity-backed aperture which is formed by a slitted infinite circular cylinder coated with absorbing material. The material coating can be done on the inner or outer surface of the cylinder. For both cases, numerical results are presented for the radar cross section and comparisons are given for two different realistic absorbing materials. The radar cross-section results are also given for the aspect angle of the screen. Finally, the dependence of radar cross section on the thickness of the absorbing layer is presented. ¬© 1993 IEEE</t>
  </si>
  <si>
    <t>1551-1559</t>
  </si>
  <si>
    <t>60014808;60014808;60014808</t>
  </si>
  <si>
    <t>36131018100;56962710300;7006317691</t>
  </si>
  <si>
    <t>√áolak, Dilek;Nosich, Alexander I.;Altinta≈ü, Ayhan</t>
  </si>
  <si>
    <t>Bilkent √úniversitesi</t>
  </si>
  <si>
    <t>√áolak D.</t>
  </si>
  <si>
    <t>Radar Cross-Section Study of Cylindrical Cavity-Backed Apertures with Outer or Inner Material Coating: The Case of E-Polarization</t>
  </si>
  <si>
    <t>10.1109/8.267355</t>
  </si>
  <si>
    <t>2-s2.0-0027694476</t>
  </si>
  <si>
    <t>['two approaches', 'testing functions', 'surface quantities', 'planar antenna', 'patch techniques', 'patch modeling', 'numerical analysis', 'numerical advantage', 'mathematical involvements', 'linear expansion', 'grid modeling', 'filamentary traces', 'electromagnetic radiation', 'directly introduced', 'crucial element', 'comparative discussion']</t>
  </si>
  <si>
    <t>Numerical analysis of the electromagnetic radiation from conducting surface structures is concerned. The method of moments is discussed with the surface-patch modeling in which the surface quantities, i.e. the current, charge and impedance are directly introduced and with the wire-grid modeling in which the surface quantities are approximated by the filamentary traces. The crucial element to a numerical advantage of the wire-grid modeling lies in the simplicity of its mathematical involvements that should be traded for the uncertainties in the construction of the model. The surface-patch techniques are generally not only clear and straightforward but also more reliable than the wire-grid modeling for the computation of the surface quantities. In this work, we bring about a comparative discussion of the two approaches while the analysis of a built-in planar antenna is reported. For the purpose of the comparison, the same electric field integral equation and the Galerkin's procedure with the linear expansion/testing functions are used for both the wire-grid and surface-patch modeling.</t>
  </si>
  <si>
    <t>1450-1455</t>
  </si>
  <si>
    <t>60023147;60023147</t>
  </si>
  <si>
    <t>16835800400;7202607468</t>
  </si>
  <si>
    <t>Analoui, Morteza;Kagawa, Yukio</t>
  </si>
  <si>
    <t>Okayama</t>
  </si>
  <si>
    <t>Okayama University</t>
  </si>
  <si>
    <t>Analoui M.</t>
  </si>
  <si>
    <t>On the surface-patch and wire-grid modeling for planar antenna mounted on metal housing</t>
  </si>
  <si>
    <t>2-s2.0-0027695185</t>
  </si>
  <si>
    <t>DE-AC02-76CH00016</t>
  </si>
  <si>
    <t>['œâ ).', 'œâ ),', '¬© 1993', 'urmel simulations', 'search techniques', 'scattering parameters', 'recently installed', 'pull method', 'personal computer', 'order modes', 'nsls ).', 'network analyzer', 'measured using', 'impedance measurements', 'hp 8510b', 'full thru', 'electron beam', 'effective technique', 'different modes', 'damping antennas', 'damp higher', 'central wire', 'cavity modes', 'cavity impedance', 'calculated z', 'analysis based', 'alternative approach', '1 ghz']</t>
  </si>
  <si>
    <t>Impedance measurements, using a central wire to simulate the electron beam, were performed on a 52 MHz accelerating cavity at the National Synchrotron Light Source (NSLS). This cavity was recently installed in the X-ray storage ring at the NSLS as a part of an upgrade of the ring. To damp higher-order modes (HOM) in this cavity, damping antennas have been installed. We implemented the impedance measurement technique to characterize the cavity modes up to 1 GHz and confirm the effectiveness of the damping antennas. Scattering parameters were measured using a network analyzer (HP 8510B) with a personal computer as a controller. Analysis based on S and T parameters for the system was used to solve for the cavity impedance, Z(œâ), as a function of the measured transmission response, S21(œâ). Search techniques were used to find the shunt resistance Rsh, and Q from the calculated Z(œâ) for different modes. Our results for R Q showed good agreement with URMEL simulations. The values of Q were compared with other independent Q measurement techniques. Our analytical technique offers an alternative approach for cases where full thru-reflection-line (TRL) calibration is not feasible and a more time-effective technique for obtaining R Q, compared with the bead-pull method. ¬© 1993.</t>
  </si>
  <si>
    <t>367-376</t>
  </si>
  <si>
    <t>Nuclear Inst. and Methods in Physics Research, A</t>
  </si>
  <si>
    <t>60006221;60006221</t>
  </si>
  <si>
    <t>7202489793;6701562561</t>
  </si>
  <si>
    <t>Hanna, S. M.;Stefan, P. M.</t>
  </si>
  <si>
    <t>Upton</t>
  </si>
  <si>
    <t>Brookhaven National Laboratory</t>
  </si>
  <si>
    <t>Hanna S.</t>
  </si>
  <si>
    <t>Application of impedance measurement techniques to accelerating cavity mode characterization</t>
  </si>
  <si>
    <t>016890029391220H</t>
  </si>
  <si>
    <t>10.1016/0168-9002(93)91220-H</t>
  </si>
  <si>
    <t>2-s2.0-0027699129</t>
  </si>
  <si>
    <t>['two surfaces', 'polyhedron structures', 'polyhedron structure', 'paper describes', 'novel method', 'gtd ).', 'geometrical theory', 'fields scattered', 'fields diffracted', 'diffraction coefficient', 'convex surfaces', 'components dependent', 'calculated using']</t>
  </si>
  <si>
    <t>This paper describes a novel method to calculate the fields scattered by a polyhedron structure for an incident plane wave. In this method, the fields diffracted by an edge are calculated using the equivalent edge currents which are separated into components dependent on each of the two surfaces which form the edge. The separated equivalent edge currents are based on the Geometrical Theory of Diffraction (GTD). Using this Separated Equivalent Edge Current Method (SEECM), fields scattered by a polyhedron structure can be calculated without special treatment of the singularity in the diffraction coefficient. This method can be also applied successfully to structures with convex surfaces by modeling them as polyhedron structures.</t>
  </si>
  <si>
    <t>1439-1444</t>
  </si>
  <si>
    <t>7004094949;6603940344;57205819901;7004304668;7404792804</t>
  </si>
  <si>
    <t>Sunahara, Yonehiko;Ohmine, Hiroyuki;Aoki, Hiroshi;Katagi, Takashi;Hashimoto, Tsutomu</t>
  </si>
  <si>
    <t>Sunahara Y.</t>
  </si>
  <si>
    <t>Separated equivalent edge current method for calculating scattering cross sections of polyhedron structures</t>
  </si>
  <si>
    <t>2-s2.0-0027702535</t>
  </si>
  <si>
    <t>['high efficiency', 'element antennas', 'also realized', '40 element', '20 element']</t>
  </si>
  <si>
    <t>This paper describes superconductive small antennas composed of helical coil elements and quarter-wave matching circuits. We obtained a high efficiency of 70% by using a 500 MHz band one-element antennas with Œª/40 element. We also realized a unidirectional radiation pattern and a higher radiation efficiency than an equivalent Cu antenna by using a 900 MHz band two-element superdirective antenna with a Œª/20 element and a Œª11 element spacing. We confirm that the use of superconductors and the present design principle are very effective for realizing of highly efficient small antennas.</t>
  </si>
  <si>
    <t>NTT Review</t>
  </si>
  <si>
    <t>7404604430;37019710800;7005560212;7006534690</t>
  </si>
  <si>
    <t>Suzuki, Naobumi;Itoh, Keiichiro;Ishii, Osamu;Michikami, Osamu</t>
  </si>
  <si>
    <t>Suzuki N.</t>
  </si>
  <si>
    <t>Small antennas using high-Tc superconductors</t>
  </si>
  <si>
    <t>2-s2.0-0027703095</t>
  </si>
  <si>
    <t>['unjustified increase', 'transmitter powers', 'technical media', 'radio interference', 'radio communications', 'initial data', 'important factors', 'effective operation', 'correct choice', 'additional level']</t>
  </si>
  <si>
    <t>The correct choice of antennas is one of the most important factors in ensuring the effective operation of short wave radio links. The lack of a sufficiently simple method of calculating the initial data for choosing the short wave radio communications antennas which take into account the different geophysical conditions often leads to an unjustified increase in transmitter powers, creating an additional level of radio interference and sometimes a loss in radio communications. A method of calculating the parameters of technical media and modes of operation of short wave radio communication links is developed and presented.</t>
  </si>
  <si>
    <t>47-54</t>
  </si>
  <si>
    <t>Saarkoppel, M. V.</t>
  </si>
  <si>
    <t>Saarkoppel M.</t>
  </si>
  <si>
    <t>Calculation of the initial data for choosing short-wave radio communications antennas taking into account the dynamics of the change in the angle of elevation of the radio-wave propagation trajectory</t>
  </si>
  <si>
    <t>2-s2.0-0027704216</t>
  </si>
  <si>
    <t>['power released', 'numerical estimates', 'nonwave fields', 'ionospheric plasma', 'analytical expressions']</t>
  </si>
  <si>
    <t>The power released by radiators into the ionospheric plasma of nonwave fields is investigated; analytical expressions are obtained for this power; numerical estimates are given.</t>
  </si>
  <si>
    <t>135-137</t>
  </si>
  <si>
    <t>7402523118;6602923776;7004816813</t>
  </si>
  <si>
    <t>Bondarenko, V. V.;Gostyukhin, V. L.;Trusov, V. N.</t>
  </si>
  <si>
    <t>Bondarenko V.</t>
  </si>
  <si>
    <t>Loss power of linear radiators in ionospheric plasma</t>
  </si>
  <si>
    <t>2-s2.0-0027704223</t>
  </si>
  <si>
    <t>['signal function', 'looking radars', 'complicated path', 'aircraft follows']</t>
  </si>
  <si>
    <t>The form and characteristics of the signal function of airborne synthetic aperture forward-looking radars are investigated when the aircraft follows a complicated path during the signal storage time.</t>
  </si>
  <si>
    <t>55-60</t>
  </si>
  <si>
    <t>Orlov, M. S.</t>
  </si>
  <si>
    <t>Orlov M.</t>
  </si>
  <si>
    <t>Signal function of synthetic-aperture forward-looking radar</t>
  </si>
  <si>
    <t>2-s2.0-0027704250</t>
  </si>
  <si>
    <t>['‚ àº', 'warm hc5n', 'warm hc3n', 'valuable alternative', 'upper limit', 'second high', 'results show', 'recent maps', 'obtained using', 'much steeper', 'may indicate', 'located inside', 'kitt peak', 'kinetic temperature', 'jcmt telescopes', 'j transition', 'ir radiation', 'interferometer measurements', 'hc5n fall', 'generally assumed', 'excitation temperatures', 'excitation temperature', 'emission region', 'duplicate observations', 'determine tex', 'cool hc3n', 'cool gas', '86 transitions', '48 k', '10 mk']</t>
  </si>
  <si>
    <t>Circumstellar matter | ISM: molecules | Radio lines: stars</t>
  </si>
  <si>
    <t>Duplicate observations of warm HC5N (J = 31 to J = 37) and cool HC3N (J = 8 to J = 12) in IRC +10216, made with quite different beam sizes, are used to determine the diameters of the warm HC5N and cool HC3N gas emitting regions. The results show that the HC5N and HC3N gas excited to these levels is located inside regions with diameters of 30‚Ä≥ and 51‚Ä≥, respectively. An estimate of the accuracy of the technique is obtained by comparison with recent maps which shows that the paired antenna technique may be more accurate than generally assumed and that it may be a valuable alternative for measuring the diameter of the emission region when interferometer measurements are not available. Duplicate observations of HC3N (J = 24-23) obtained using the Kitt Peak and JCMT telescopes are used to estimate the diameter of warm HC3N. This gas is located inside a region of diameter 18‚Ä≥.5. A second high-J transition of HC3N (J = 28-27), observed with the JCMT, is used to determine Tex = 48 K for this warm gas compared to Tex = 12.7 for the cool HC3N gas. The excitation temperature for warm HC5N inside a diameter of 30‚Ä≥ is found to be Tex ‚àº 35 K. The excitation temperatures and locations of the warm and cool gas in the stellar envelope indicate that for 7‚Ä≥ &lt; r &lt; 25‚Ä≥, the excitation temperature curves for both HC3N and HC5N fall off with a slope of ‚àº -1.8, which is much steeper than predicted for the kinetic temperature by Kwan and Linke and closer to an inverse square law decrease. This may indicate that for these species the excitation is almost entirely due to IR radiation. A search for very warm HC5N in IRC +10216 (J = 83 and J = 86 transitions) using the 22‚Ä≥ beam of the JCMT has resulted in an upper limit of T*A &lt; 10 mK. It is now clear from the map of Lucas that there is no HC5N gas close enough to the star to be excited to these levels.</t>
  </si>
  <si>
    <t>305-312</t>
  </si>
  <si>
    <t>Bell, M. B.</t>
  </si>
  <si>
    <t>Bell M.B.</t>
  </si>
  <si>
    <t>The location of warm HC&lt;inf&gt;3&lt;/inf&gt;N and warm HC&lt;inf&gt;5&lt;/inf&gt;N gas in the circumstellar envelope of IRC +10216</t>
  </si>
  <si>
    <t>10.1086/173313</t>
  </si>
  <si>
    <t>2-s2.0-12044251027</t>
  </si>
  <si>
    <t>['tuning range', 'talk reports', 'spain ).', 'sis receiver', 'selected frequencies', 'quartz substrate', 'planar dipole', 'pico veleta', 'open structure', 'local oscillator', 'large part', 'double sideband', 'crystal quartz', 'atmospheric window', '80 k', '345 ghz', '3 mm', '100 k']</t>
  </si>
  <si>
    <t>SIS tunnel junctions are at present the best mixer elements at wavelengths between 0.5 and 3 mm. This talk reports about a SIS receiver for 0,86 mm wavelength (345 GHz) which was used at the 30 m telescope on the Pico Veleta (Spain). The receiver was implemented in an "open structure" concept. The SIS tunnel junction is integrated into a planar dipole antenna on a quartz substrate. The submm radiation arriving from the radiotelescope and from the local oscillator (LO) is coupled to the planar dipole by an aspheric substrate lens made of crystal quartz. The LO has a tuning range of 324 to 363 GHz covering the atmospheric window. The double sideband (DSB) receiver noise temperature is &lt;80 K at selected frequencies and &lt;100 K in a large part of the tuning range. ¬© 1993 Springer-Verlag.</t>
  </si>
  <si>
    <t>61-64</t>
  </si>
  <si>
    <t>101434784;60001753</t>
  </si>
  <si>
    <t>7003449941;7006944794</t>
  </si>
  <si>
    <t>Rothermel, H.;Gundlach, K. H.</t>
  </si>
  <si>
    <t>Saint Martin d'Heres;Garching bei Munchen</t>
  </si>
  <si>
    <t>IRAM Institut de RadioAstronomie Millim√©trique;MPI f√ºr extraterristrische Physik</t>
  </si>
  <si>
    <t>60001753;101434784</t>
  </si>
  <si>
    <t>Rothermel H.</t>
  </si>
  <si>
    <t>A quasioptical SIS receiver for submillimeter radioastronomy</t>
  </si>
  <si>
    <t>10.1007/BF01574925</t>
  </si>
  <si>
    <t>2-s2.0-34249769668</t>
  </si>
  <si>
    <t>['working prototypes', 'space processing', 'signal source', 'scale experiments', 'noise ratio', 'magnetic loops', 'interference distributed', 'hf signals', 'electric dipoles', 'demonstrated experimentally', 'achieved using', '30 db']</t>
  </si>
  <si>
    <t>Space processing of hf signals for the elimination of interference and fading is investigated. Working prototypes of an adaptive antenna system consisting of electric dipoles and magnetic loops are described, as are the results of full-scale experiments in the elimination of interference distributed through space and in polarization with the desired-signal source. The possibility of a increase of up to 20-30 dB in the signal-to-noise ratio, which is achieved using a compact antenna system, is demonstrated experimentally. ¬© 1994 Plenum Publishing Corporation.</t>
  </si>
  <si>
    <t>785-791</t>
  </si>
  <si>
    <t>6603433935;57203909963;6603121762</t>
  </si>
  <si>
    <t>Gorev, P. V.;Lisov, A. A.;Metelev, S. A.</t>
  </si>
  <si>
    <t>Gorev P.</t>
  </si>
  <si>
    <t>Study of effectiveness of adaptive processing of hf radio signals using three-element receiving antennas</t>
  </si>
  <si>
    <t>10.1007/BF01039712</t>
  </si>
  <si>
    <t>2-s2.0-34249772673</t>
  </si>
  <si>
    <t>['variational problem', 'scattered field', 'polar diagram', 'numerical computation', 'inverse problem', 'divergent waves', 'determine approximately']</t>
  </si>
  <si>
    <t>It is shown that to determine approximately (in the L2-metric) the polar diagram of a scattered field of sources contained inside a certain smooth nonresonance boundary with a given variable transparency from a known polar diagram for these sources in a vacuum it is possible to use finite segments of the expansion of the field in divergent waves. The proof is carried out for the two-dimensional scalar problem. The inverse problem is stated as a variational problem. The results of numerical computation are given. ¬© 1993 Plenum Publishing Corporation.</t>
  </si>
  <si>
    <t>2950-2954</t>
  </si>
  <si>
    <t>Journal of Soviet Mathematics</t>
  </si>
  <si>
    <t>6603901427;7801582482</t>
  </si>
  <si>
    <t>Voitovich, N. N.;Zamorskaya, O. F.</t>
  </si>
  <si>
    <t>Voitovich N.</t>
  </si>
  <si>
    <t>Application of Galerkin's method in the problem of synthesis of an antenna with semitransparent boundary</t>
  </si>
  <si>
    <t>10.1007/BF01095875</t>
  </si>
  <si>
    <t>2-s2.0-34250077667</t>
  </si>
  <si>
    <t>['standard designs', 'although many']</t>
  </si>
  <si>
    <t>Several hundred ultra low temperature systems have been designed and built for a variety of applications. One common application is the refrigeration of low temperature detectors. Although many of the requirements are satisfied by our standard designs, we have often built special refrigerators to suit specific detector requirements. A few of the most interesting of these systems will be discussed. ‚Ä¢ dilution refrigerators to cool gravitational wave antennae to 65 mK ‚Ä¢ rotating dilution refrigerator for cosmic ray detector experiments ‚Ä¢ compact dilution refrigerator to cool large bolometer arrays within the SCUBA telescope ‚Ä¢ side access systems for beam line experiments ¬© 1993 Plenum Publishing Corporation.</t>
  </si>
  <si>
    <t>773-777</t>
  </si>
  <si>
    <t>Journal of Low Temperature Physics</t>
  </si>
  <si>
    <t>60031164;60031164</t>
  </si>
  <si>
    <t>6603478544;26022304900</t>
  </si>
  <si>
    <t>Batey, Graham;Balshaw, Nicholas</t>
  </si>
  <si>
    <t>Abingdon</t>
  </si>
  <si>
    <t>Oxford Instruments plc, UK</t>
  </si>
  <si>
    <t>Batey G.</t>
  </si>
  <si>
    <t>Special dilution refrigerator systems for milli-Kelvin detector experiments</t>
  </si>
  <si>
    <t>10.1007/BF00693511</t>
  </si>
  <si>
    <t>2-s2.0-34250081277</t>
  </si>
  <si>
    <t>['suitably designed', 'space communication', 'slg may', 'slg ).', 'significant application', 'red region', 'proper choice', 'normal optical', 'near infra', 'mostly used', 'microwave antenna', 'geometrical parameters', 'diffracted waves', 'applicability may']</t>
  </si>
  <si>
    <t>We derive the expression for the intensity of the diffracted waves from a symmetrical profile lamellar grating (SLG). Such symmetrical structure may improve the performance of an ordinary lamellar grating. If suitably designed, its applicability may be extended to the millimeter to radio wave regions apart from the normal optical and near infra-red region in which it is mostly used. Such millimeter wave SLG can have significant application in astronomy and astrophysics. By proper choice of geometrical parameters, an SLG may be used as a microwave antenna in space communication as well. ¬© 1993 Kluwer Academic Publishers.</t>
  </si>
  <si>
    <t>99-107</t>
  </si>
  <si>
    <t>1572946X</t>
  </si>
  <si>
    <t>0004640X</t>
  </si>
  <si>
    <t>Astrophysics and Space Science</t>
  </si>
  <si>
    <t>60031745;100861617</t>
  </si>
  <si>
    <t>7403254676;6602892181</t>
  </si>
  <si>
    <t>Chakrabarti, Sonali;Chakravorty, J. N.</t>
  </si>
  <si>
    <t>Italy;India</t>
  </si>
  <si>
    <t>Trieste;Kolkata</t>
  </si>
  <si>
    <t>Abdus Salam International Centre for Theoretical Physics;R.K.M.R. College</t>
  </si>
  <si>
    <t>Chakrabarti S.</t>
  </si>
  <si>
    <t>Intensity of waves diffracted from symmetrical profile lamellar gratings</t>
  </si>
  <si>
    <t>10.1007/BF00666440</t>
  </si>
  <si>
    <t>2-s2.0-34250083136</t>
  </si>
  <si>
    <t>['simple example']</t>
  </si>
  <si>
    <t>The power of the information- carrier optical signal of a laser Doppler airflow velocimeter is estimated in the simple example of an aberrationless spherical transceiver antenna and under the conditions of the model of a "pure atmosphere". ¬© 1994 Plenum Publishing Corporation.</t>
  </si>
  <si>
    <t>1251-1256</t>
  </si>
  <si>
    <t>6603213657;6603336771</t>
  </si>
  <si>
    <t>Pogosov, G. A.;Khaikin, N. Sh</t>
  </si>
  <si>
    <t>Pogosov G.</t>
  </si>
  <si>
    <t>Estimation of the power of the information-carrier optical signal generated by the receiving antenna of a laser Doppler airflow velocimeter</t>
  </si>
  <si>
    <t>10.1007/BF00978176</t>
  </si>
  <si>
    <t>2-s2.0-34250084030</t>
  </si>
  <si>
    <t>['¬© 1993', 'statistical theory', 'spherical surface', 'spherical particles', 'overlap kernel', 'linear elastodynamics', 'key role', 'integral corresponds', 'field expressions', 'factorized form', 'expansion approach', 'elastic suspensions', 'closely related', 'antenna theorems']</t>
  </si>
  <si>
    <t>We derive 'antenna theorems' in elastodynamics for the displacement field generated by a force density located at a spherical surface. On the basis of these theorems we derive an expression for an integral of the Green's function of linear elastodynamics. The integral corresponds to the so-called overlap kernel, which plays a key role in the cluster-expansion approach in the statistical theory of elastic suspensions of spherical particles. In elastostatics, the integral is closely related to mean-field expressions for the effective elastic moduli. A factorized form of the overlap kernel in terms of vector spherical waves is derived. ¬© 1993.</t>
  </si>
  <si>
    <t>599-618</t>
  </si>
  <si>
    <t>Physica A: Statistical Mechanics and its Applications</t>
  </si>
  <si>
    <t>60018342;60016653</t>
  </si>
  <si>
    <t>22961975000;7005563992</t>
  </si>
  <si>
    <t>Iske, P. L.;Felderhof, B. U.</t>
  </si>
  <si>
    <t>Netherlands;Germany</t>
  </si>
  <si>
    <t>Amsterdam;Aachen</t>
  </si>
  <si>
    <t>Shell Research and Technology Centre Amsterdam - SRTCA;Rheinisch-Westf√§lische Technische Hochschule Aachen</t>
  </si>
  <si>
    <t>Iske P.</t>
  </si>
  <si>
    <t>Integral theorems in linear elastodynamics</t>
  </si>
  <si>
    <t>037843719390070K</t>
  </si>
  <si>
    <t>10.1016/0378-4371(93)90070-K</t>
  </si>
  <si>
    <t>2-s2.0-43949174779</t>
  </si>
  <si>
    <t>Istituto Nanoscienze, Consiglio Nazionale delle Ricerche</t>
  </si>
  <si>
    <t>CnrNano</t>
  </si>
  <si>
    <t>['¬© 1993', 'weighting factors', 'various chlorophyll', 'type barley', 'thermodynamic equilibrium', 'state distribution', 'single chlorophyll', 'seven chlorophyll', 'results suggest', 'ps ii', 'protein complexes', 'photosystem ii', 'outer antenna', 'lhc ii', 'inner antenna', 'excited states', 'emission spectra', 'cyt b', 'biochemistry 32', 'antenna system', 'antenna organisation', '680 nm', '559 ).', '3210 ).', '., dainese']</t>
  </si>
  <si>
    <t>Chlorophyll-protein complex | Energy transfer | Excited state distribution | Fluorescence emission spectrum | Photosystem II antenna</t>
  </si>
  <si>
    <t>Fluorescence emission spectra for the seven chlorophyll-protein complexes comprising the antenna system of Photosystem II (PS II) have been measured. All four outer antenna complexes (LHC II, CP24, CP26, CP29) have relatively greater emission near 648 nm and 680 nm with respect to the inner antenna complexes (CP43, CP47, D1/D2/cyt b-559). The emission spectra for both outer and inner antenna were calculated from the measured emission spectra of the single chlorophyll-protein complexes, using as weighting factors the excited state population at thermodynamic equilibrium in the various chlorophyll-protein complexes suggested by Jennings et al. (Jennings, R.C., Bassi, R., Garlaschi, F.M., Dainese, P. and Zucchelli, G. (1993) Biochemistry 32, 3203-3210). Subsequently, the overall emission spectra for the total PS II antenna (i.e., outer plus inner antenna) were calculated for situations in which varying excited state levels were assumed for the inner and outer antenna. In an attempt to determine the steady-state distribution of excited states between outer and inner antenna these calculated fluorescence spectra were compared with those measured for (a), PS II particles prepared from maize and (b), chloroplasts of wild-type barley and the chlorina F2 mutant. From this comparison it is concluded that at steady-state fluorescence emission, between 28% and 38% of the excited states in PS II are associated with the inner antenna and between 62% and 72% with the outer antenna. These results suggest that the PS II antenna is organised as a very shallow energy funnel. This antenna organisation is discussed in terms of the generation of non-photochemical quenching mechanisms which are designed to protect PS II from high light stress. ¬© 1993.</t>
  </si>
  <si>
    <t>194-200</t>
  </si>
  <si>
    <t>60030318;60030318;60000481;60030318;60030318;60000481</t>
  </si>
  <si>
    <t>7201971898;6701308180;35553979700;7006530694;6603326762;6603780088</t>
  </si>
  <si>
    <t>Jennings, Robert C.;Garlaschi, Flavio M.;Bassi, Roberto;Zucchelli, Giuseppe;Vianelli, Alberto;Dainese, Paola</t>
  </si>
  <si>
    <t>A study of Photosystem II fluorescence emission in terms of the antenna chlorophyll-protein complexes</t>
  </si>
  <si>
    <t>000527289390018B</t>
  </si>
  <si>
    <t>10.1016/0005-2728(93)90018-B</t>
  </si>
  <si>
    <t>2-s2.0-0027382420</t>
  </si>
  <si>
    <t>Royal Swedish Academy of Sciences</t>
  </si>
  <si>
    <t>KVA</t>
  </si>
  <si>
    <t>['¬© 1993', 'transferred back', 'selective excitation', 'room temperature', 'reaction centre', 'previous measurements', 'harvesting antenna', 'good agreement', 'fold coordination', 'fluorescence spectroscopy', 'excitation energy', 'energy detrapping', 'conclusions regarding', 'antenna bleaching', '800 nm', '35 ps']</t>
  </si>
  <si>
    <t>(R. rubrum) | Bacterial reaction center | Energy transfer | Photosynthesis | Picosecond spectroscopy</t>
  </si>
  <si>
    <t>Using picosecond absorption and fluorescence spectroscopy we have measured the yield of energy detrapping from the reaction centre of the photosynthetic purple bacterium Rhodospirillum rubrum at room temperature. By selective excitation of the reaction centre pigments at approx. 800 nm and probing of the antenna bleaching or fluorescence, 25 ¬± 5% and 40 ¬± 5% of the excitation energy was found to be transferred back to the antenna for photochemically fully active (PBIQ) and prereduced (PBIQ-) reaction centres, respectively. Based on these data and the solution of a simple kinetic model, conclusions regarding the overall trapping time, antenna aggregation state and reaction centre coordination were obtained. Thus, the overall trapping time was concluded to be approx. 35 ps, in very good agreement with previous measurements, and the light-harvesting antenna is suggested to be organized in (Œ±Œ≤)2 clusters which surround the reaction centre in a six-fold coordination. ¬© 1993.</t>
  </si>
  <si>
    <t>185-193</t>
  </si>
  <si>
    <t>60031040;60031040;60068852;60031040</t>
  </si>
  <si>
    <t>6701855945;7404969243;7005109792;7006706612</t>
  </si>
  <si>
    <t>Timpmann, K√µu;Zhang, Fu Geng;Freiberg, Arvi;Sundstr√∂m, Villy</t>
  </si>
  <si>
    <t>Estonia;Sweden</t>
  </si>
  <si>
    <t>Tallinn;Umea</t>
  </si>
  <si>
    <t>Academia Scientiarum Estoniae;Ume√• Universitet</t>
  </si>
  <si>
    <t>60068852;60031040</t>
  </si>
  <si>
    <t>Timpmann K.</t>
  </si>
  <si>
    <t>Detrapping of excitation energy from the reaction centre in the photosynthetic purple bacterium Rhodospirillum rubrum</t>
  </si>
  <si>
    <t>000527289390017A</t>
  </si>
  <si>
    <t>10.1016/0005-2728(93)90017-A</t>
  </si>
  <si>
    <t>2-s2.0-0027524218</t>
  </si>
  <si>
    <t>['¬© 1993', 'ybco ramp', 'phase locking', 'observed steps', 'icrn product', 'devices consist', 'detector applications', 'currently limited', 'critical current', 'available power', '5 mv', '36th harmonic']</t>
  </si>
  <si>
    <t>We present the response to 100 GHz irradiation of high-Tc Josephson junction devices for mixer/detector applications in the (sub-) mm wave range. These devices consist of a YBCO/PBCO/YBCO ramp-type junction combined with a planar logarithmic periodic antenna. The critical current and the first two Shapiro steps modulate with 100 GHz power according to the resistively shunted junction (RSJ) model. At 10 K clear Shapiro steps have been observed up to a voltage of about 7.5 mV. This corresponds to phase locking of 3.6 THz AC Josephson oscillations by the 36th harmonic of the 100 GHz signal. The number of observed steps is currently limited by the available power, but they are present up to voltages strongly exceeding the IcRn product of the junction at all temperatures. ¬© 1993.</t>
  </si>
  <si>
    <t>151-155</t>
  </si>
  <si>
    <t>Physica C: Superconductivity and its applications</t>
  </si>
  <si>
    <t>Terpstra, D.;Rijnders, A. J.H.M.;Roesthuis, F. H.G.;Blank, D. H.A.;Gerritsma, G. J.;Rogalla, H.</t>
  </si>
  <si>
    <t>Observation of the AC Josephson effect up to THz frequencies in YBCO/PBCO/YBCO ramp-type Josephson junctions</t>
  </si>
  <si>
    <t>092145349390805Z</t>
  </si>
  <si>
    <t>10.1016/0921-4534(93)90805-Z</t>
  </si>
  <si>
    <t>2-s2.0-0027697848</t>
  </si>
  <si>
    <t>['¬© 1993', 'wider choice', 'throughput value', 'system parameters', 'system choice', 'perfect cross', 'new two', 'new method', 'may also', 'increased freedom', 'fully self', 'dimensional systems', 'dimensional apertures', 'currently available', 'correlation properties', 'conveniently fill', 'binary arrays', 'aperture array']</t>
  </si>
  <si>
    <t>A new method for the synthesis of binary arrays which have perfect cross-correlation properties is presented. The arrays, which are discussed with an emphasis on coded aperture imaging, may also be of use in a number of other applications, including signal processing, telecommunications and radio antenna design. The new coded aperture configurations which are made available offer a wider choice of possible aperture parameters, and conveniently fill a gap in the system parameters that are currently available. The increased freedom of system choice, which can be made for both one- and two-dimensional systems, includes the size of the aperture array and its throughput value. The new two-dimensional apertures have the further advantage of being fully self-supporting. ¬© 1993.</t>
  </si>
  <si>
    <t>262-268</t>
  </si>
  <si>
    <t>Byard, Kevin</t>
  </si>
  <si>
    <t>Byard K.</t>
  </si>
  <si>
    <t>Synthesis of binary arrays with perfect correlation properties - coded aperture imaging</t>
  </si>
  <si>
    <t>016890029391107X</t>
  </si>
  <si>
    <t>10.1016/0168-9002(93)91107-X</t>
  </si>
  <si>
    <t>2-s2.0-0027697878</t>
  </si>
  <si>
    <t>['taken using', 'pva films', 'primarily excited', 'phycobilisomes oriented', 'phycobilisomes obtained', 'phycobilisomes form', 'photographs follows', 'mistigocladus laminosus', 'fluorescent chromophores', 'fluorescence microscope', 'film stretching', 'energy transfer', 'chromophore absorption', 'calculated lifetimes']</t>
  </si>
  <si>
    <t>Phycobilisomes oriented in stretched polymer films exhibit anisotropy of absorption and fluorescence. Up to now it was not clear in which way, by the deformation of their shape or by orientation of undeformed phycobilisome disk, this anisotropy of chromophore absorption and emission is reached. The photographs of two different kind of phycobilisomes obtained from cyanobacteria Tolypothrix tenuis and Mistigocladus laminosus were taken using a fluorescence microscope. From these photographs follows that phycobilisomes form in polymer big clusters and that these clusters are deformed as a result of stretching. It shows that predominantly the interaction between phycobilisomes is responsible for their orientation. Probably in clusters most phycobilisomes are oriented with disk diameter along the direction of film stretching. The fluorescence decay curves were recorded for Mastigocladus laminosus phycobilisomes embedded in PVA films. At least biexponential decay law has to be assumed. Calculated lifetimes are discussed in terms of energy transfer from primarily excited to fluorescent chromophores. ¬© 1993 Academic Press, Inc.</t>
  </si>
  <si>
    <t>28-33</t>
  </si>
  <si>
    <t>0006291X</t>
  </si>
  <si>
    <t>Biochemical and Biophysical Research Communications</t>
  </si>
  <si>
    <t>60008555;60008555;60021501;60021501</t>
  </si>
  <si>
    <t>57204227660;6603848616;6601959506;35510906100</t>
  </si>
  <si>
    <t>FrƒÖckowiak, D.;Skibi≈Ñski, A.;Zelent, B.;Leblanc, R. M.</t>
  </si>
  <si>
    <t>Canada;Poland</t>
  </si>
  <si>
    <t>Trois-Rivieres;Poznan</t>
  </si>
  <si>
    <t>Universit√© du Qu√©bec √† Trois-Rivi√®res;Politechnika Poznanska</t>
  </si>
  <si>
    <t>60021501;60008555</t>
  </si>
  <si>
    <t>FrƒÖckowiak D.</t>
  </si>
  <si>
    <t>Study of energy transfer in the antenna system isolated from Mastigocladus Laminosus cohn</t>
  </si>
  <si>
    <t>S0006291X83724368</t>
  </si>
  <si>
    <t>10.1006/bbrc.1993.2436</t>
  </si>
  <si>
    <t>2-s2.0-0027440346</t>
  </si>
  <si>
    <t>['wide range', 'various cases', 'tau einc', 'tau e', 'strong central', 'resonant species', 'plasma currents', 'phase control', 'operating conditions', 'nbi heating', 'mode ))', 'minority component', 'majority component', 'key role', 'intensively investigated', 'heating efficiency', 'harmonic icrf', 'harmonic heating', 'fourth harmonics', 'electron densities', 'compact 2', 'combined third', 'best results', '6 )).', '131 mhz']</t>
  </si>
  <si>
    <t>A review of the results from JT-60 ICRF heating experiments is presented. The JT-60 ICRF experiments (120 and 131 MHz) are characterized by higher-harmonic heating with phase control of the compact 2*2 loop antenna array. Second-harmonic heating is most intensively investigated with antenna phase control for various cases where the resonant species (hydrogen) are either a majority component or a minority component, and with or without hydrogen HBI heating. It is found that antenna phase control plays a key role in optimizing antenna power injection characteristics as well as heating efficiency. The out-of-phase mode (( pi ,0) mode) can avoid RF sheath and parametric decay instabilities which cause harmful effects on antenna power injection capability with the in-phase mode ((0,0 ) mode) is some operating conditions. The incremental energy confinement time ( tau Einc) of the ( pi ,0) mode is about 50% better than that of the (0,0) mode. Minority hydrogen second-harmonic heating with ( pi ,0) phasing in helium discharges shows the best results over a wide range of electron densities (ne=2.5-6.5*1019 m-3) and plasma currents (Ip=1.5-2.4 MA (qa=4.2-2.6)). The best confinement enhancement factor ( tau E/ tau E(L-mode)) is 1.3, which is obtained with ohmic target plasmas. Higher-harmonic beam ion acceleration is observed up to fourth harmonics in a combined ICRF (( pi ,0) mode) and NBI heating scenario. Strong central-electron heating associated with beam ion acceleration is observed in combined third-harmonic ICRF and NBI heating.</t>
  </si>
  <si>
    <t>845-871</t>
  </si>
  <si>
    <t>Plasma Physics and Controlled Fusion</t>
  </si>
  <si>
    <t>60015658;60015658;60015658;60015658;60015658;60015658;60015658</t>
  </si>
  <si>
    <t>7404269925;35352771100;7005938557;7101740816;7004717270;8690918800;8451520700</t>
  </si>
  <si>
    <t>Kimura, H.;Fujii, T.;Saigusa, M.;Moriyama, S.;Hamamatsu, K.;Nemoto, M.;Tobita, K.</t>
  </si>
  <si>
    <t>Kashiwa</t>
  </si>
  <si>
    <t>Japan Atomic Energy Agency</t>
  </si>
  <si>
    <t>Kimura H.</t>
  </si>
  <si>
    <t>High-harmonic ICRF heating experiments in JT-60</t>
  </si>
  <si>
    <t>10.1088/0741-3335/35/7/005</t>
  </si>
  <si>
    <t>2-s2.0-0000150991</t>
  </si>
  <si>
    <t>['weak electron', 'voltage responsivity', 'ultrasensitive detector', 'tunnel junction', 'temperature rise', 'superconducting electrodes', 'submillimeter radiation', 'present measurements', 'phonon coupling', 'operating temperature', 'normal electrode', 'low temperatures', 'infrared radiation', 'fw ).', 'efficiently coupled', 'device exploits', 'detector would', 'andreev reflection', 'absorbing element', '100 mk', '10 better']</t>
  </si>
  <si>
    <t>We present measurements on a novel power detector which can be used as an ultrasensitive detector of millimeter and submillimeter radiation. The absorbing element consists of a thin film resistor strip which is connected to superconducting electrodes. This device exploits the Andreev reflection of electrons and the weak electron-phonon coupling at low temperatures to produce a large temperature rise for a small input power (‚âä10 mK/fW). The temperature rise of the electrons is detected by a tunnel junction where part of the metal strip forms the normal electrode. We have measured a voltage responsivity of approximately 109 V/W and an amplifier-limited electrical noise equivalent power ‚âä3√ó10-18 W Hz-1/2 at an operating temperature of 100 mK. If infrared radiation were efficiently coupled to the absorbing element with an antenna or a waveguide, then the sensitivity of this detector would be at least a factor of 10 better than the best available direct detector operating at the same temperature.</t>
  </si>
  <si>
    <t>3075-3077</t>
  </si>
  <si>
    <t>Applied Physics Letters</t>
  </si>
  <si>
    <t>7004472931;7005999752</t>
  </si>
  <si>
    <t>Nahum, M.;Martinis, John M.</t>
  </si>
  <si>
    <t>Nahum M.</t>
  </si>
  <si>
    <t>Ultrasensitive-hot-electron microbolometer</t>
  </si>
  <si>
    <t>10.1063/1.110237</t>
  </si>
  <si>
    <t>2-s2.0-0000983350</t>
  </si>
  <si>
    <t>['submicron dimensions', 'source current', 'source conductance', 'infrared photons', 'induced drain', 'electron waveguides', 'couple far', 'assisted tunneling', 'also presented']</t>
  </si>
  <si>
    <t>We have studied the feasibility of photon-assisted quantum transport in semiconductor quantum point contacts or electron waveguides. Due to photon-induced intersubband transitions, it is expected that the drain/source conductance of the quantum point contacts can be modulated by far-infrared (f‚â•300 GHz) radiation, which is similar to the photon-assisted tunneling in superconducting tunnel junctions. An antenna/gate electrodes structure will be used to couple far-infrared photons into quantum point contacts of submicron dimensions. A calculation of the photon-induced drain/source current as a function of the far-infrared radiation power is also presented.</t>
  </si>
  <si>
    <t>837-839</t>
  </si>
  <si>
    <t>Hu, Qing</t>
  </si>
  <si>
    <t>Hu Q.</t>
  </si>
  <si>
    <t>Photon-assisted quantum transport in quantum point contacts</t>
  </si>
  <si>
    <t>10.1063/1.108567</t>
  </si>
  <si>
    <t>2-s2.0-0001127846</t>
  </si>
  <si>
    <t>['western australia', 'vibration isolation', 'short circuit', 'practical means', 'niobium bar', 'microwave transducer', 'electromagnetically coupling', 'direct path', 'cryogenic amplifier', '700 reduction', '57 db', '/‚ àöhz']</t>
  </si>
  <si>
    <t>Gravitational radiation detectors must detect extremely small displacements, and thus require elaborate vibration isolation systems to attenuate the surrounding environmental noise. Contacting electrical leads can provide a direct path that will short circuit the vibration isolation, and degrade the antenna Q factor. Noncontacting microstrip transceivers provide a practical means of electromagnetically coupling to a resonant bar gravitational antenna when a microwave transducer is used as a signal readout system. Two microwave patch antennas now operate as transceivers on the University of Western Australia's 1.5 tonne niobium bar gravitational radiation antenna and are described in detail in this paper. This system allows improved vibration isolation without degradation of the acoustic Q factor of the niobium bar. Combined with a cryogenic amplifier, this system should achieve a reduction of 57 dB in the series noise power. This corresponds to a factor of 700 reduction in the effective displacement noise when referred to the transducer, from 2√ó10-16 to 3√ó10-19 m/‚àöHz.</t>
  </si>
  <si>
    <t>1905-1909</t>
  </si>
  <si>
    <t>Review of Scientific Instruments</t>
  </si>
  <si>
    <t>7201647955;35377760800;57198970387;22974326500</t>
  </si>
  <si>
    <t>Ivanov, E. N.;Tobar, M. E.;Turner, P. J.;Blair, D. G.</t>
  </si>
  <si>
    <t>Ivanov E.</t>
  </si>
  <si>
    <t>Noncontacting microwave coupling to a cryogenic gravitational radiation antenna</t>
  </si>
  <si>
    <t>10.1063/1.1143975</t>
  </si>
  <si>
    <t>2-s2.0-0002273144</t>
  </si>
  <si>
    <t>['whole process', 'voltage characteristics', 'sis junctions', 'sin membrane', 'silicon nitride', 'planar antennas', 'novel millimeter', 'fabricated first', 'current density']</t>
  </si>
  <si>
    <t>We have successfully fabricated high-quality and high-current density (Jc‚âä4 000 A/cm2) superconductor-insulator- superconductor (SIS) junctions on freestanding thin (‚àº1 Œºm) silicon nitride (SiN) membranes. These devices can be used in a novel millimeter-wave and THz receiver system which is made using micromachining. The SIS junctions with planar antennas were fabricated first on a silicon wafer covered with a SiN membrane, the Si wafer underneath was then etched away using an anisotropic KOH etchant. The current-voltage characteristics of the SIS junctions remained unchanged after the whole process, and the junctions and the membrane survived thermal cycling.</t>
  </si>
  <si>
    <t>1002-1004</t>
  </si>
  <si>
    <t>60022195;60022195;60022195</t>
  </si>
  <si>
    <t>23014473000;8232049100;7403214762</t>
  </si>
  <si>
    <t>Garcia, Edouard;Jacobson, Brian R.;Hu, Qing</t>
  </si>
  <si>
    <t>Garcia E.</t>
  </si>
  <si>
    <t>Fabrication of high-quality superconductor-insulator-superconductor junctions on thin SiN membranes</t>
  </si>
  <si>
    <t>10.1063/1.109877</t>
  </si>
  <si>
    <t>2-s2.0-0005964474</t>
  </si>
  <si>
    <t>['three compared', 'technique resides', 'results obtained', 'proposed method', 'method based', 'intercable biases', 'clock errors', 'carefully calibrated', 'bit smaller', 'baseline components', 'antennae linked', 'additional parameter']</t>
  </si>
  <si>
    <t>A method based on multi-antennae linked to a common GPS receiver is proposed. The goal of the technique is to improve height determination for baselines a few kilometres in length. The advantage of this technique resides in the elimination of relative clock parameters in the "between-antenna" single difference observations. Because single difference observations are free of clock errors more geometrical strength remains to determine the baseline components. This statement is valid as long as intercable biases can be carefully calibrated. For millimetre height determination, the intercable calibration must be done at the same level of accuracy. Under this assumption it is shown that in general the height standard deviation improves by a factor of about three compared to standard GPS data processing. With the proposed method, the effect of relative tropospheric zenith delay errors becomes a bit smaller (in absolute value), compared to standard data processing. To absorb this error, a relative tropospheric zenith delay parameter may be estimated. Even with this additional parameter in the solution the height standard deviation remains two times smaller than the results of standard processing techniques (without tropospheric zenith delay parameter), and at least five times smaller than in the results obtained from standard processing including one tropospheric zenith delay parameter. ¬© 1993 Springer-Verlag.</t>
  </si>
  <si>
    <t>210-223</t>
  </si>
  <si>
    <t>Bulletin G√©od√©sique</t>
  </si>
  <si>
    <t>60032619;60020486</t>
  </si>
  <si>
    <t>7003460665;7004631299</t>
  </si>
  <si>
    <t>Santerre, Rock;Beutler, Gerhard</t>
  </si>
  <si>
    <t>Canada;Switzerland</t>
  </si>
  <si>
    <t>Quebec;Bern</t>
  </si>
  <si>
    <t>Universit√© Laval;University of Bern</t>
  </si>
  <si>
    <t>Santerre R.</t>
  </si>
  <si>
    <t>A proposed GPS method with multi-antennae and single receiver</t>
  </si>
  <si>
    <t>10.1007/BF00806250</t>
  </si>
  <si>
    <t>2-s2.0-0006222165</t>
  </si>
  <si>
    <t>['source current', 'pronounced photon', 'observed photon', 'mainly due', 'induced drain', 'induced current', 'gate voltage', 'future improvement', 'electron gas', 'device parameters', 'coherent far', 'bolometric effect', 'assisted transport', 'analysis suggests', '285 ghz']</t>
  </si>
  <si>
    <t>Motivated by the recently developed theory of photon-assisted quantum transport, we have studied transport properties of an antenna-coupled quantum point contract under coherent far-infrared (285 GHz) radiation. A pronounced photon-induced drain/source current is observed. The amplitude of the photon-induced current is about 10% of that corresponding to a quantized conductance step, and it oscillates with the gate voltage. Our analysis suggests that the observed photon-induced current is mainly due to heating of the electron gas in the source and drain (a bolometric effect) rather than photon-assisted quantum transport. Future improvement of the device parameters to enhance the effect of photon-assisted transport will be discussed.</t>
  </si>
  <si>
    <t>1522-1524</t>
  </si>
  <si>
    <t>60022195;60022195;60022195;60022195</t>
  </si>
  <si>
    <t>7102236409;7003588590;35496367700;7403214762</t>
  </si>
  <si>
    <t>Wyss, Rolf A.;Eugster, C. C.;Del Alamo, J. A.;Hu, Qing</t>
  </si>
  <si>
    <t>Wyss R.A.</t>
  </si>
  <si>
    <t>Far-infrared photon-induced current in a quantum point contact</t>
  </si>
  <si>
    <t>10.1063/1.110736</t>
  </si>
  <si>
    <t>2-s2.0-0007133534</t>
  </si>
  <si>
    <t>['wave oscillators', 'receiving apparatus', 'ranges limited', 'quasioptical resonators', 'power levels', 'monolithic log', 'microwatt range', 'josephson junctions', 'bias tunable', 'arrays using', 'also found', '77 k', '160 ghz']</t>
  </si>
  <si>
    <t>High-temperature superconducting arrays of Josephson junctions have been fabricated and tested as millimeter-wave oscillators at 77 K. Power levels in the microwatt range have been detected in the range of 90-160 GHz from arrays using from 350 to almost 60 000 YBa2Cu3O7 junctions. Monolithic log-periodic spiral antennas as well as quasioptical resonators have been used to enable power coupling. The arrays were also found to be bias tunable over ranges limited by the receiving apparatus.</t>
  </si>
  <si>
    <t>1681-1683</t>
  </si>
  <si>
    <t>60006364;60006364;60006364;60006364;60006364;60007843</t>
  </si>
  <si>
    <t>7201836880;6701776479;7004871972;8244322300;7006633395;57205068597</t>
  </si>
  <si>
    <t>Martens, J. S.;Pance, A.;Char, K.;Lee, L.;Whiteley, S.;Hietala, V. M.</t>
  </si>
  <si>
    <t>Albuquerque;Sunnyvale</t>
  </si>
  <si>
    <t>Sandia National Laboratories, New Mexico;Conductus Inc.</t>
  </si>
  <si>
    <t>60007843;60006364</t>
  </si>
  <si>
    <t>Martens J.</t>
  </si>
  <si>
    <t>Superconducting Josephson arrays as tunable microwave sources operating at 77 K</t>
  </si>
  <si>
    <t>10.1063/1.110709</t>
  </si>
  <si>
    <t>2-s2.0-0008103987</t>
  </si>
  <si>
    <t>['western australia', 'term stability', 'term observation', 'noise amplification', 'new features', 'motion transducer', 'modified version', 'improved long', 'cryogenic low']</t>
  </si>
  <si>
    <t>A modified version of the microwave signal processing system for the 1.5 tonne niobium bar gravitational radiation antenna at the University of Western Australia has been developed and tested during preparations for long-term observation. Among the new features of the system are a noncontacting microwave coupling to the motion transducer, cryogenic low-noise amplification, and automatic carrier suppression with improved long-term stability.</t>
  </si>
  <si>
    <t>3191-3197</t>
  </si>
  <si>
    <t>60031806;60031806;60031806</t>
  </si>
  <si>
    <t>7201647955;57198970387;22974326500</t>
  </si>
  <si>
    <t>Ivanov, E. N.;Turner, P. J.;Blair, D. G.</t>
  </si>
  <si>
    <t>Microwave signal processing for a cryogenic gravitational radiation antenna with a noncontacting readout</t>
  </si>
  <si>
    <t>10.1063/1.1144327</t>
  </si>
  <si>
    <t>2-s2.0-0009324768</t>
  </si>
  <si>
    <t>['upper peninsula', 'two species', 'study sites', 'study periods', 'since 1984', 'results showed', 'red pine', 'red maple', 'predicted growth', 'possible effects', 'populus tremuloides', 'height growth', 'growth patterns', 'growth models', 'growth model', 'growing season', 'grandidentata ),', 'frequency electromagnetic', 'four deciduous', 'fields generated', 'extremely low', 'exposure levels', 'evaluate changes', 'diameter growth', 'communication system', 'clear indications', 'average differences', 'antenna element', '7 milligauss']</t>
  </si>
  <si>
    <t>Bioelectric effects | Biomagnetic effects | Change point analysis | Environmental monitoring</t>
  </si>
  <si>
    <t>Since 1984, the possible effects of extremely low-frequency electromagnetic (EM) fields generated by a 76 Hz communication antenna on the growth and productivity of four deciduous and one coniferous species have been studied in the Upper Peninsula of Michigan. Results from two research sites are discussed here: one site near an antenna element and a control site located 50 km from the communication system. Growth models for individual tree diameters were developed for northern red oak (Quercus rubra), paper birch (Betula papyrifera), aspen (Populus tremuloides with a few individuals of P. grandidentata), and red maple (Acer rubrum). A growth model for individual tree height was developed for young red pine (Pinus resinosa). Average differences between the observed and predicted growth were calculated for each growing season and then compared between the study sites and across the study periods to evaluate changes in growth patterns which could be attributed to EM field effects. For aspen and red maple, the results showed a stimulation of diameter growth at magnetic flux density levels of 1 to 7 milliGauss; height growth of red pine was increased at about the same exposure levels. There are no clear indications of an EM field effect on total annual diameter growth for either of the other two species. ¬© 1993 International Society of Biometeorology.</t>
  </si>
  <si>
    <t>229-234</t>
  </si>
  <si>
    <t>International Journal of Biometeorology</t>
  </si>
  <si>
    <t>60016536;60016536;60016536;60016536;60016536;60016536</t>
  </si>
  <si>
    <t>7402979639;55448330800;6603747947;6602577649;6603215425;7004302285</t>
  </si>
  <si>
    <t>Reed, David D.;Jones, Elizabeth A.;Mroz, Glenn D.;Liechty, Hal O.;Cattelino, Peter J.;J√ºrgensen, Martin F.</t>
  </si>
  <si>
    <t>Houghton</t>
  </si>
  <si>
    <t>Michigan Technological University</t>
  </si>
  <si>
    <t>Reed D.</t>
  </si>
  <si>
    <t>Effects of 76 Hz electromagnetic fields on forest ecosystems in northern Michigan: Tree growth</t>
  </si>
  <si>
    <t>10.1007/BF01387529</t>
  </si>
  <si>
    <t>2-s2.0-0027145225</t>
  </si>
  <si>
    <t>['well understood', 'wave power', 'tail power', 'strong single', 'stix theory', 'shown theoretically', 'respectively ).', 'power level', 'pass damping', 'mode discharges', 'minority density', 'majority species', 'limiter l', 'like plasmas', 'layers would', 'ion temperatures', 'icrh l', 'hot reactor', 'critical energy', 'central electron', 'bulk ions', '50 deuterium']</t>
  </si>
  <si>
    <t>With a view to heating a 50/50 deuterium-tritium reactor plasma, ion cyclotron resonance heating (ICRH) at a power level of 10 MW bas been demonstrated in JET for a minority hydrogen concentration as high as n(H)/n(3He) 1. In high minority ICRH experiments using (H)- 3He plasmas, improved bulk ion heating was observed when the minority ion tail temperature was lowered to a level below the critical energy, so that more than 50% of the tail power was transferred to the bulk ions. Further, Ti0 Te0 7 keV was obtained in limiter L-mode discharges Te0 and Ti0 are the central electron and ion temperatures, respectively). The global energy confinement was similar to that found in other ICRH L-mode discharges. It is shown that the observed tail temperature, fast ion energy and minority density are well understood in terms of minority ICRH physics and the Stix theory. Moreover, it is shown theoretically that when the wave is launched by an antenna in (0,œÄ) phasing from the low field side in large and hot reactor-like plasmas, strong single-pass damping can be maintained at concentrations of the minority species approaching that of the majority species. The occurrence of ion-ion hybrid mode conversion cut-off layers would be of no consequence, since most of the wave power is absorbed before it reaches this region.</t>
  </si>
  <si>
    <t>83-99</t>
  </si>
  <si>
    <t>I08</t>
  </si>
  <si>
    <t>Nuclear Fusion</t>
  </si>
  <si>
    <t>60025104;60025104;60025104;60025104</t>
  </si>
  <si>
    <t>7102660576;22993265700;7003994552;6701379838</t>
  </si>
  <si>
    <t>Bhatnagar, V. P.;Jacquinto, J.;Start, D. F.H.;Tubbing, B. J.D.</t>
  </si>
  <si>
    <t>EFDA-JET</t>
  </si>
  <si>
    <t>Bhatnagar V.P.</t>
  </si>
  <si>
    <t>High concentration minority ion cyclotron resonance heating in JET</t>
  </si>
  <si>
    <t>10.1088/0029-5515/33/1/I08</t>
  </si>
  <si>
    <t>2-s2.0-0027224815</t>
  </si>
  <si>
    <t>['wave number', 'wave damping', 'water surface', 'successfully employed', 'noninvasive sensor', 'new method', 'modulated locally', 'imaginary wave', 'good agreement', 'elastic modulus', 'capillary waves', '25 mn', '0055 cm']</t>
  </si>
  <si>
    <t>A noninvasive sensor has been developed to monitor the complex wave number of capillary waves on water (Œª‚âà1 cm). It has been successfully employed to monitor surface tension and wave damping of varying surface conditions with surface tension resolution Œ¥Œ≥‚âà0.25 mN m -1 and imaginary wave-number resolution Œ¥ki‚âà0. 0055 cm-1. The principle of detection is based on the capacitance between an rf driven metallic plate in proximity to the water surface as modulated locally by the presence of surface water waves. Results are found to be in good agreement with a companion surface slope detection method. This new method is simpler, more portable, and measures the complex wave number directly whereas most conventional devices either do not measure both components of the wave number or rely on shallow or restricted water surface containers or measure only static surface tension and elastic modulus.</t>
  </si>
  <si>
    <t>556-560</t>
  </si>
  <si>
    <t>Barter, J. D.</t>
  </si>
  <si>
    <t>Northrop Grumman corporation</t>
  </si>
  <si>
    <t>Barter J.</t>
  </si>
  <si>
    <t>A capacitive antenna for measurement of the dispersion relation of capillary waves on water</t>
  </si>
  <si>
    <t>10.1063/1.1144232</t>
  </si>
  <si>
    <t>2-s2.0-0027341074</t>
  </si>
  <si>
    <t>['wing disc', 'quantitative changes', 'protein synthesis', 'protein phosphorylation', 'patterns affect', 'leg 3', 'leg 2', 'leg 1', 'imaginal discs', 'first compare', 'early pupae', 'drosophila melanogaster', 'also discussed', '6 days']</t>
  </si>
  <si>
    <t>Growth | Metamorphosis | Protein database | two-dimensional gel electrophoresis | Wing imaginal discs</t>
  </si>
  <si>
    <t>High-resolution two dimensional gel electrophoresis has been used to study the patterns of protein synthesis in imaginal discs of Drosophila melanogaster. In this paper we first compare the patterns of protein synthesis in wing, haltere, leg 1, leg 2, leg 3 and eye antenna imaginal discs of late third instar larvae. We have detected only quantitative changes: differences in 17 proteins among the different imaginal discs. In addition, we have analysed the variations in pattern of proteins in the wing disc of the last larval stage and early pupae as well as in wing discs cultured in vivo for 6 days. Variations in these patterns affect more than 20% of the proteins and involve both qualitative and quantitative changes. Some of the changes may correspond to protein phosphorylation. Correlations of these changes between discs and through development are also discussed. ¬© 1993 Springer-Verlag.</t>
  </si>
  <si>
    <t>131-139</t>
  </si>
  <si>
    <t>60026796;60026796;60026796</t>
  </si>
  <si>
    <t>7004378806;6507143401;7007068300</t>
  </si>
  <si>
    <t>Santar√©n, Juan F.;Assiego, Rosa;Garc√≠a-Bellido, Antonio</t>
  </si>
  <si>
    <t>Universidad Aut√≥noma de Madrid</t>
  </si>
  <si>
    <t>Santar√©n J.F.</t>
  </si>
  <si>
    <t>Patterns of protein synthesis in the imaginal discs of Drosophila melanogaster: a comparison between different discs and stages</t>
  </si>
  <si>
    <t>10.1007/BF00365052</t>
  </si>
  <si>
    <t>2-s2.0-0027495238</t>
  </si>
  <si>
    <t>['œ ∏),', 'wave fields', 'used extensively', 'toroidal structure', 'solution domain', 'septa geometry', 'recessed cavity', 'poloidal mode', 'poloidal location', 'poloidal extent', 'pass absorption', 'order expansions', 'necessarily independent', 'e ||.', 'current straps', 'current drive', 'complete solution', 'calculation includes', 'axisymmetric geometry', 'authors present', 'antenna characteristics', 'analytic model']</t>
  </si>
  <si>
    <t>The authors present an analysis of the influence of various physics phenomena (which are not necessarily independent) on current drive performance in tokamaks. Such phenomena include diffraction and other non-geometrical optics processes, k|| modification, and multiple-pass absorption as well as antenna characteristics such as recessed cavity and septa geometry, poloidal extent and poloidal location of the current straps. The two-and-one-half- dimensional (21/2-D) full-wave code PICES is used for modelling ion cyclotron resonance heating and current drive. PICES is based on poloidal mode and reduced-order expansions. By 21/2-D, we mean that 3-D wave fields are calculated in axisymmetric geometry (2-D solution domain - œÅ,Œ∏), while the correct toroidal dependence of the antenna source currents is obtained from a 2-D (œÅ ,œÜ) recessed antenna code. The calculation includes the poloidal and toroidal structure of the antenna, modification of the k|| spectrum due to the poloidal magnetic field and a complete solution for E||. A semi-analytic model for current drive, including trapped electron effects, is employed. These calculations are used extensively to model fast wave current drive in DIII-D, ITER and other tokamaks.</t>
  </si>
  <si>
    <t>179-195</t>
  </si>
  <si>
    <t>I01</t>
  </si>
  <si>
    <t>60024266;60024266;60024266</t>
  </si>
  <si>
    <t>7005521707;7006526034;6701531792</t>
  </si>
  <si>
    <t>Jaeger, E. F.;Batchelor, D. B.;Stallings, D. C.</t>
  </si>
  <si>
    <t>Oak Ridge</t>
  </si>
  <si>
    <t>Oak Ridge National Laboratory</t>
  </si>
  <si>
    <t>Jaeger E.</t>
  </si>
  <si>
    <t>Influence of various physics phenomena on fast wave current drive in tokamaks</t>
  </si>
  <si>
    <t>10.1088/0029-5515/33/2/I01</t>
  </si>
  <si>
    <t>2-s2.0-0027543598</t>
  </si>
  <si>
    <t>['variational method', 'solid septa', 'one problem', 'mutual coupling', 'fwcd experiments', 'current straps', 'current strap', 'coupling properties', 'adjacent antennas']</t>
  </si>
  <si>
    <t>The coupling code based on the variational method has been extended so that it can be applied to a toroidal antenna array used in fast wave current drive (FWCD) experiments. The self-consistent poloidal current profile on the current strap can be obtained with the variational method. The current straps are separated by solid septa in order to suppress the mutual coupling between adjacent antennas. The coupling properties of the loop antenna array for FWCD experiments on JFT-2M are in agreement with calculations. One problem is that the high toroidal refractive index spectrum (Nz) excited by the loop antenna array couples to a low density plasma. However, the steep electron density gradient near the plasma edge improves the coupling of the high N z spectrum.</t>
  </si>
  <si>
    <t>I05</t>
  </si>
  <si>
    <t>60015658;60015658;60015658;60015658;60015658;60015658;60015658;60015658;60015658;60015658</t>
  </si>
  <si>
    <t>7005938557;55703205600;35074760600;57215731747;57192790260;7202656118;35352771100;7404269925;56972296400;7202344866</t>
  </si>
  <si>
    <t>Saigusa, M.;Yamamoto, T.;Petty, C. C.;Yoshioka, K.;Kazumi, H.;Kawashima, H.;Fujii, T.;Kimura, H.;Miura, Y.;Tamai, H.</t>
  </si>
  <si>
    <t>Saigusa M.</t>
  </si>
  <si>
    <t>Analysis of the coupling properties of the toroidal antenna array in JFT-2M by a code considering the solid septa</t>
  </si>
  <si>
    <t>10.1088/0029-5515/33/3/I05</t>
  </si>
  <si>
    <t>2-s2.0-0027558931</t>
  </si>
  <si>
    <t>['tokamak indicate', 'results indicate', 'pushed away', 'ponderomotive force', 'nonlinear mechanism', 'nearly independent', 'measured dependence', 'loading anomaly', 'lhw ).', 'heating experiments', 'edge density', 'edge ),', 'direct coupling', 'coupled lhw', 'antenna phasing', 'antenna loading', 'antenna frequency']</t>
  </si>
  <si>
    <t>Antenna loading measurements carried out during high power ion Bernstein wave (IBW) heating experiments on the DIII-D tokamak indicate that efficient, direct coupling to the IBW at œâ ‚â≤ 2œâci as predicted by linear coupling theory did not occur. Whereas strong peaking in the loading resistance near cyclotron harmonics is predicted for high edge densities (œâ &lt; œâLH|edge), the observed loading resistance is nearly independent of the toroidal magnetic field. The loading anomaly can be explained by invoking the ponderomotive force which decreases the edge density immediately in front of the antenna, thus allowing coupling to the cold plasma lower hybrid wave (LHW). A linear LHW coupling code including the modified density profile due to the ponderomotive force reproduces the measured dependence of antenna loading on toroidal magnetic field, edge density, antenna frequency and antenna phasing. Further evidence for the ponderomotive force is obtained from reactive loading measurements which indicate that the plasma is pushed away from the antenna as the radiofrequency power level is increased. The results indicate that the lack of central ion heating observed during DIII-D IBW experiments may be due to a lack of efficient mode transformation from the coupled LHW to a centrally propagating IBW, possibly as a result of nonlinear mechanism(s).</t>
  </si>
  <si>
    <t>627-642</t>
  </si>
  <si>
    <t>I09</t>
  </si>
  <si>
    <t>60013901;60013901;60013901;60013901;60013901;60013901;60013901</t>
  </si>
  <si>
    <t>7004515474;7003617702;35074760600;7006050699;7202291663;6603807850;7004204756</t>
  </si>
  <si>
    <t>Mayberry, M. J.;Pinsker, R. I.;Petty, C. C.;Porkolab, M.;Chiu, S. C.;Cary, W. P.;Prater, R.</t>
  </si>
  <si>
    <t>General Atomics</t>
  </si>
  <si>
    <t>Mayberry M.</t>
  </si>
  <si>
    <t>Ion Bernstein wave antenna loading measurements on the DIII-D tokamak</t>
  </si>
  <si>
    <t>10.1088/0029-5515/33/4/I09</t>
  </si>
  <si>
    <t>2-s2.0-0027578139</t>
  </si>
  <si>
    <t>['substantial discrepancy', 'opposite phases', 'open traps', 'nonlocal approximations', 'minority concentration', 'global resonances', 'concentration values', 'cold plasma', 'code uses', 'antenna system', '2 %.']</t>
  </si>
  <si>
    <t>A light ion minority heating scheme based on long wavelength fast magnetosonic wave (FMSW) global resonance excitation appears to be promising for open traps. This scheme has been studied numerically using the 2D code PLFEM. This code uses both local and nonlocal approximations and can search for global resonances. The global FMSW resonance width (TE1,0,2 mode), which is caused by hydrogen minority cyclotron energy absorption, is found to be a maximum for a minority concentration of CH=1-2%. For these concentration values a substantial discrepancy between the local and nonlocal approximations occurs. This discrepancy is a result of local Alfven resonance excitation in the vicinity of the hydrogen cyclotron zone in a cold plasma. The Alfven resonance disappears when even a slight thermal motion of the ions (nonlocality) is taken into account. By proceeding with global resonance field patterns a suitable antenna system consisting of two loops fed with opposite phases has been chosen. Calculations have demonstrated that the antenna system has good electrotechnical qualities.</t>
  </si>
  <si>
    <t>565-579</t>
  </si>
  <si>
    <t>I04</t>
  </si>
  <si>
    <t>60008794;60008794;;</t>
  </si>
  <si>
    <t>8447514100;7005672038;6603265435;6508281742</t>
  </si>
  <si>
    <t>Moiseenko, V. E.;Pilipenko, V. V.;Zukakishvili, G. G.;Borozenets, A. M.</t>
  </si>
  <si>
    <t>National Science Center Kharkov Institute of Physics and Technology</t>
  </si>
  <si>
    <t>Moiseenko V.E.</t>
  </si>
  <si>
    <t>Fast wave minority heating in an open trap</t>
  </si>
  <si>
    <t>10.1088/0029-5515/33/4/I04</t>
  </si>
  <si>
    <t>2-s2.0-0027578532</t>
  </si>
  <si>
    <t>['significant levels', 'power threshold', 'plasma edge', 'parallel heating', 'deuterium ratio', 'antenna power']</t>
  </si>
  <si>
    <t>Significant levels of parametric decay activity and correlated edge ion heating were observed during injection of high power ion Bernstein waves (IBWs) in DIII-D. Both minority hydrogen ions and majority deuterium ions showed the formation of a high energy perpendicular tail; no parallel heating was observed. The edge ion heating and the parametric decay activity were both strongest when an ion cyclotron harmonic was present at the plasma edge. Ion tail formation had a power threshold of several hundred kilowatts, above which the tail size increased with antenna power; a comparable power threshold for parametric decay instability (PDI) was observed. Both the PDI and the associated edge deuterium heating were found to be sensitive to the hydrogen-to-deuterium ratio.</t>
  </si>
  <si>
    <t>777-793</t>
  </si>
  <si>
    <t>60013901;60013901;60013901;60013901;60013901</t>
  </si>
  <si>
    <t>7003617702;35074760600;7004515474;7006050699;7005965941</t>
  </si>
  <si>
    <t>Pinsker, R. I.;Petty, C. C.;Mayberry, M. J.;Porkolab, M.;Heidbrink, W. W.</t>
  </si>
  <si>
    <t>Pinsker R.</t>
  </si>
  <si>
    <t>Observation of parametric decay correlated with edge heating using an ion Bernstein wave antenna on DIII-D</t>
  </si>
  <si>
    <t>10.1088/0029-5515/33/5/I08</t>
  </si>
  <si>
    <t>2-s2.0-0027596668</t>
  </si>
  <si>
    <t>['radiofrequency power', 'plasma parameters', 'magnitude alter', 'light dropped', 'insulating limiters', 'faraday screen', 'antenna without']</t>
  </si>
  <si>
    <t>The PHAEDRUS-T tokamak was operated with radiofrequency power near the ion cyclotron frequency at 90 degrees phasing between two current straps with and without a stainless steel Faraday screen covering the antenna. In both cases, the sides of the antenna were protected by insulating limiters. The plasma parameters in the scrape-off layer were measured and were shown to be essentially the same when radiofrequency power was applied from the Faraday screen covered antenna as compared with the antenna without a Faraday screen. The intensity of Fe(XVI) light dropped an order of magnitude alter the screen was removed.</t>
  </si>
  <si>
    <t>915-920</t>
  </si>
  <si>
    <t>60032179;60032179;60032179;60032179</t>
  </si>
  <si>
    <t>36093309600;6602677244;35356029400;7006072211</t>
  </si>
  <si>
    <t>Sorensen, J.;Diebold, D. A.;Majeski, R.;Hershkowitz, N.</t>
  </si>
  <si>
    <t>Sorensen J.</t>
  </si>
  <si>
    <t>Comparison of the effects of an ICRF antenna with insulating side limiters with and without a Faraday screen on the edge parameters of a tokamak plasma</t>
  </si>
  <si>
    <t>10.1088/0029-5515/33/6/I08</t>
  </si>
  <si>
    <t>2-s2.0-0027614336</t>
  </si>
  <si>
    <t>['sheath effect', 'results indicate', 'plasma scrape', 'plasma excitation', 'nonlinear evolution', 'harmonics arise', 'generator frequency', 'experimental investigations', 'exciting antenna', 'excitation efficiency', 'either directly', 'dispersion properties']</t>
  </si>
  <si>
    <t>During plasma excitation by high power Alfven waves at TCA, signals at harmonics of the generator frequency are observed in the plasma scrape-off layer. Experimental investigations of the sheath effect and the excitation efficiency and dispersion properties of the harmonics are reported. The results indicate that the harmonics arise, either directly or indirectly, through the driven Alfven waves and not through the sheath effect at the exciting antenna. The RF ion saturation current is observed to have a nonnegligible peak amplitude in comparison with the time averaged ion saturation current and may provide evidence of a nonlinear evolution of the driven Alfven waves.</t>
  </si>
  <si>
    <t>841-848</t>
  </si>
  <si>
    <t>60028186;60028186;60028186;60028186</t>
  </si>
  <si>
    <t>22991143800;7201547237;22991582600;7102907016</t>
  </si>
  <si>
    <t>Borg, G. G.;Lister, J. B.;Della Piazza, ;Martin, Y.</t>
  </si>
  <si>
    <t>Borg G.G.</t>
  </si>
  <si>
    <t>An experimental study of the harmonics generated during Alfven wave heating at TCA</t>
  </si>
  <si>
    <t>10.1088/0029-5515/33/6/I01</t>
  </si>
  <si>
    <t>2-s2.0-0027614592</t>
  </si>
  <si>
    <t>['operating range', 'microbolometer surface', 'maximal sensitivity', 'independent antenna', 'frequency range', 'frequency characteristic', '35 thz', '3 thz']</t>
  </si>
  <si>
    <t>The frequency characteristic of a superconductor microbolometer conjugate to a frequency-independent antenna is calculated. The operating range of the receiver is defined by the conditions of a superconductor film matching antenna. For superconductor film dimensions of 10*2*0.1 mu m3 the frequency range of the system is 0.06-1.3 THz with the maximal sensitivity at 0.35 THz. Decreasing the dimensions of the microbolometer surface as well as using the multilayered load construction will allow the broadening of the range up to approximately 10 THz.</t>
  </si>
  <si>
    <t>542-545</t>
  </si>
  <si>
    <t>Superconductor Science and Technology</t>
  </si>
  <si>
    <t>60011774;60011774</t>
  </si>
  <si>
    <t>12791613500;7004434939</t>
  </si>
  <si>
    <t>Kotov, A. K.;Reznik, A. N.</t>
  </si>
  <si>
    <t>Kotov A.K.</t>
  </si>
  <si>
    <t>A frequency-independent antenna matching HTSC microbolometer</t>
  </si>
  <si>
    <t>10.1088/0953-2048/6/7/016</t>
  </si>
  <si>
    <t>2-s2.0-0027630127</t>
  </si>
  <si>
    <t>['two examples', 'trial productions', 'system concept', 'switching processor', 'satellite system', 'rough estimates', 'power consumption', 'paper describes', 'modem ).', 'given regarding', 'communication systems', 'communication system', 'communication equipment', 'bus system', 'antenna diameters', 'also discussed']</t>
  </si>
  <si>
    <t>This paper describes the system concept of a millimeter-wave personal satellite communication, which includes the configuration of the communication system, the satellite system, and the earth terminal system. The system has a large channel capacity and achieves high performance through a flexible channel set-up method, efficient frequency reuse, and onboard communication equipment such as a baseband channel switching processor and a modulator and demodulator (Modem). Two examples of communication systems are shown, in which the information bit rate, the number of multi-beams, and the antenna diameters are different. On the assumption that a 2 ton class satellite will be used, rough estimates are made of the size, weight, and power consumption of the onboard communication system and bus system of the satellite. In addition, details are given regarding the specifications and performance of trial productions of communication equipment such as the switching processor, the Modem, the TWTA, and the LNA. Finally, the key technical issues for establishing a millimeter-wave personal satellite communication system are also discussed.</t>
  </si>
  <si>
    <t>Space Communications</t>
  </si>
  <si>
    <t>117241439;117241439;117241439;117241439;117241439</t>
  </si>
  <si>
    <t>6602808754;7004228760;7201552258;7402098222;55703247800</t>
  </si>
  <si>
    <t>Kashiki, Kanshiro;Kuri, Takaki;Maruyama, Hideyuki;Kikuchi, Takaaki;Yamamoto, Tetsuo</t>
  </si>
  <si>
    <t>Kashiki K.</t>
  </si>
  <si>
    <t>Millimeter-wave personal satellite communication system</t>
  </si>
  <si>
    <t>2-s2.0-0027711515</t>
  </si>
  <si>
    <t>['tumor targeting', 'tumor size', 'tumor compared', 'time sequence', 'targeting ratios', 'study demonstrated', 'six tumors', 'six animals', 'rxf ).', 'radiolabeled antibodies', 'r ))', 'practical set', 'normal organs', 'new procedure', 'local hyperthermia', 'lesser extent', 'last modality', 'individually adjusted', 'important factor', 'ideal temperature', 'hyperthermia sessions', 'hyperthermia immediately', 'heating temperature', 'grown subcutaneosly', 'gel heated', 'four hours', 'electrical currents', 'effect resulting', 'control group', 'chosen correctly', 'biological conditions', 'antibody deposition', 'antibody administration', '8 ),']</t>
  </si>
  <si>
    <t>True local hyperthermia (HT) is difficult to realize in small animal models. A new procedure was set up to use a gel heated by the well-monitored heating antennas of a clinical hyperthermia machine (Minerve(R)) to avoid general heating of the mice by the steam. This procedure allows heating of six tumors (six animals) at the same time. The temperature can be individually adjusted at any time, taking into account the tumor size, the variations of the biological conditions and some direct warming effects of the electrical currents. This practical set-up was used to study the effect of local hyperthermia on tumor targeting by radiolabeled antibodies. Groups of nude mice bearing a human squamous cell carcinoma (SCC1) grown subcutaneosly were injected with 131I-labeled polyclonal rabbit antiferritin (RxF). Hyperthermia sessions at 43¬∞C were performed two hours before the antibody administration, twenty-four hours after, or immediately after the injection. Only this last modality, hyperthermia immediately after the injection, led to an enhancement of the antibody deposition in the tumors (by 1.2 to 1.8), as well as the increase of the targeting ratios (by 1.4 to 2.0), compared to that of the control group. The heating temperature was also an important factor. In our model, 43¬∞C seemed to be the ideal temperature. 39¬∞C or 41¬∞C did not affect the biodistribution of the radiolabeled antibodies. 42¬∞C showed some effect resulting in a longer retention time in the tumor compared to the control group. 45¬∞C affected negatively the uptake in the tumors, but to a lesser extent than that seen in the normal organs. This study demonstrated the potential of hyperthermia as an adjunct to radioimmunotherapy; but, to insure the success of the combination, the heating temperature and the time sequence between the administration of the radiolabeled antibodies and the hyperthermia session must be chosen correctly.</t>
  </si>
  <si>
    <t>257-266</t>
  </si>
  <si>
    <t>Antibody, Immunoconjugates, and Radiopharmaceuticals</t>
  </si>
  <si>
    <t>60028724;60028724;60028724;60028724;60028724</t>
  </si>
  <si>
    <t>7403322322;7003497582;7402458434;35489531100;7006045487</t>
  </si>
  <si>
    <t>Nguyen, H.;Regnier, R.;Simon, S.;Van Houtte, P.;Fruhling, J.</t>
  </si>
  <si>
    <t>Institut Jules Bordet</t>
  </si>
  <si>
    <t>Nguyen H.</t>
  </si>
  <si>
    <t>Thermal enhancement of tumor targeting by radiolabeled antibodies: Importance of time sequence and tumor temperature</t>
  </si>
  <si>
    <t>2-s2.0-0027713293</t>
  </si>
  <si>
    <t>['want improvements', 'users seek', 'ubiquitous service', 'two satellites', 'trw studied', 'transmission facilities', 'three launches', 'telecommunications operators', 'space industry', 'since submission', 'simple operations', 'short time', 'service providers', 'premium value', 'populated regions', 'phased startup', 'personal telephones', 'path diversity', 'odyssey system', 'odyssey approach', 'mobile users', 'matrix amplifiers', 'low cost', 'land mass', 'initial investment', 'high quality', 'high profitability', 'high availability', 'ground control', 'geostationary satellites', 'fundamentally different', 'fixed service', 'fcc application', 'explore ways', 'expanding coverage', 'equatorial plane', 'entire world', 'end user', 'dynamic flexibility', 'developed odyssey', 'current levels', 'continuous service', 'coastal areas', 'clear path', 'circular orbit', 'circuit capacity', 'best solution', 'bent pipe', '55 ¬∞', '4226 pounds', '354 km', '12 satellites']</t>
  </si>
  <si>
    <t>Personal communications places severe demands on service providers and transmission facilities. Customers are not satisfied with the current levels of service and want improvements. Among the characteristics that users seek are: lower service rates, hand held convenience, acceptable time delays, ubiquitous service, high availability, reliability, and high quality. The space industry in developing commercial space systems for providing mobile communications to personal telephones. Provision of land mobile satellite service is fundamentally different from the fixed satellite service provided by geostationary satellites. In fixed service, the earth based antennas can depend on a clear path from user to satellite. Mobile users in a terrestrial environment commonly encounter blockage due to vegetation, terrain or buildings. Consequently, high elevation angles are of premium value. TRW studied the issues and concluded that a Medium Earth Orbit constellation is the best solution for Personal Communications Satellite Service. TRW has developed Odyssey, which uses twelve satellites in medium altitude orbit to provide personal communications satellite service. The Odyssey communications system projects a multibeam antenna pattern to the Earth. The attitude control system orients the satellites to ensure constant coverage of land mass and coastal areas. Pointing can be reprogrammed by ground control to ensure optimized coverage of the desired service areas. The payload architecture features non-processing, 'bent pipe' transponders and matrix amplifiers to ensure dynamic power delivery to high demand areas. Circuit capacity is 3000 circuits per satellite. Each satellite weighs 1917 kg (4226 pounds) at launch and the solar arrays provide 3126 watts of power. Satellites are launched in pairs on Ariane, Atlas, or other vehicles. Each satellite is placed in a circular orbit at an altitude of 10,354 km. There are three orbit planes inclined at 55¬∞ to the equatorial plane. Deployment of the satellites permits phased introduction of service. After only three launches, in which two satellites are launched into each plane, continuous service can be provided to most of the world. After three more launches for a total of 12 satellites, service can be expanded to all populated regions of the Earth with path diversity to most regions. The Odyssey system is superior to both geostationary satellites and low earth orbiting satellites. Odyssey provides many benefits to the end user which are described in the paper. These include: low cost, convenience, high availability, reliability, and acceptable time delay. Odyssey exhibits benefits for telecommunications operators: simple operations, incremental, phased startup, long space segment life-time, high profitability, dynamic flexibility for adjustment and short time to market. Since submission of an FCC application in 1991, TRW has continued to explore ways to further improve the Odyssey approach by expanding coverage to the entire world and reducing the initial investment while maintaining high quality service.</t>
  </si>
  <si>
    <t>275-286</t>
  </si>
  <si>
    <t>Rusch, Roger J.</t>
  </si>
  <si>
    <t>Rusch R.</t>
  </si>
  <si>
    <t>Odyssey, an optimized personal communications satellite system</t>
  </si>
  <si>
    <t>2-s2.0-0027735266</t>
  </si>
  <si>
    <t>['scr outline', 'scale models', 'research establishes', 'paper describes', 'gpf ),', 'geostationary platform', 'experimental results', 'diameter antenna', 'antenna structure']</t>
  </si>
  <si>
    <t>In the land mobile satellite system (LMSS) using a geostationary platform (GPF), a 30 m diameter satellite antenna is desirable for small portable terminal communications. SCR has adopted two deployment types of antenna structure, the Hexa-Link Truss reflector and the Tetra-Triagonal Prism Truss (TETRUS) reflector, and has developed scale models of them. Both of them represent important aspects of large satellite antenna technology. This paper describes the SCR outline of a land mobile satellite communications system and the experimental results of the scale models. This research establishes the basic technical information necessary for the development of a 30 m diameter antenna and a conceptual GPF design.</t>
  </si>
  <si>
    <t>117241439;117241439;117241439;117241439;117241439;117241439</t>
  </si>
  <si>
    <t>6602281424;6602770635;6602808754;56262644700;7004088291;7402526024</t>
  </si>
  <si>
    <t>Akaishi, Akira;Orikasa, Teruaki;Kashiki, Kanshiro;Okamoto, Teruki;Otsu, Yuichi;Satoh, Hideo</t>
  </si>
  <si>
    <t>Akaishi A.</t>
  </si>
  <si>
    <t>Characteristics of scale models of large deployable mesh reflector antennas for mobile communications satellites</t>
  </si>
  <si>
    <t>2-s2.0-0027736228</t>
  </si>
  <si>
    <t>['wave analysis', 'varactor diode', 'significant improvement', 'scan performance', 'rigorous full', 'predicted using', 'novel technique', 'impedance mismatch']</t>
  </si>
  <si>
    <t>A novel technique to reduce the magnitude of the active reflection coefficient at large scan angles for microstrip patch arrays is proposed. The method involves loading each element of the array with a varactor diode and then varying the bias to the varactor in order to reduce the impedance mismatch at the appropriate scan angle. A rigorous full-wave analysis in conjunction with an equivalent circuit model of the varactor diode was implemented to analyze the proposed loaded patch array. Significant improvement in the scan performance of the array was predicted using this technique.</t>
  </si>
  <si>
    <t>450-452</t>
  </si>
  <si>
    <t>Waterhouse, Rodney B.</t>
  </si>
  <si>
    <t>Novel technique for increasing the scanning range of infinite arrays of microstrip patches</t>
  </si>
  <si>
    <t>10.1109/75.251394</t>
  </si>
  <si>
    <t>2-s2.0-0027795331</t>
  </si>
  <si>
    <t>['transmitting antenna', 'taking account', 'simultaneously along', 'scattering fields', 'scattering field', 'receiving antenna', 'planar boundary', 'observation point', 'numerical simulations', 'introduced exactly', 'imaging method', 'image function', 'ground surface', 'dimensional quasi', 'dielectric half', 'current source', 'buried object', 'arbitrary direction']</t>
  </si>
  <si>
    <t>A two-dimensional quasi-exact active imaging method for detecting the conducting objects buried in a dielectric half-space is proposed. In this imaging method, an image function which is a projection of buried object to an arbitrary direction, is introduced exactly by taking account of the presence of the planar boundary. The image function is synthesized from the scattering fields which are measured by moving a transmitting antenna (a current source) and a receiving antenna (an observation point) simultaneously along the ground surface. The scattering field is generated by the physical optics current assumed on the surface of buried object. Because the effectiveness of physical optics approximation has been confirmed for this problem, this is a quasi-exact active imaging method. The validity of this imaging method is confirmed by some numerical simulations and an experiment.</t>
  </si>
  <si>
    <t>1546-1550</t>
  </si>
  <si>
    <t>7404942406;7201851714;56779495700;35577361100</t>
  </si>
  <si>
    <t>He, Yiwei;Uno, Toru;Adachi, Saburo;Mashiko, Takunori</t>
  </si>
  <si>
    <t>He Y.</t>
  </si>
  <si>
    <t>Two-dimensional active imaging of conducting objects buried in a dielectric half-space</t>
  </si>
  <si>
    <t>2-s2.0-0027797916</t>
  </si>
  <si>
    <t>['warning applications', 'us navy', 'lessons learned', 'e2c antenna', '3 hours']</t>
  </si>
  <si>
    <t>The lessons learned in evaluating one complex antenna can often be applied to other situations. In the case of the E2C antenna, used by the US Navy for airborne-surveillance and early-warning applications, a multiple-channel, multiple-frequency test setup reduced 16 hours of antenna rotation time during testing to only 1.3 hours.</t>
  </si>
  <si>
    <t>Microwaves &amp; RF</t>
  </si>
  <si>
    <t>60020536;60020536;60020536;60020536</t>
  </si>
  <si>
    <t>6507736141;6504570768;57221016909;6701636027</t>
  </si>
  <si>
    <t>Swanstrom, John;Magaragan, Robert;Miller, John;Amaral, Gary</t>
  </si>
  <si>
    <t>Hewlett-Packard Inc.</t>
  </si>
  <si>
    <t>Swanstrom J.</t>
  </si>
  <si>
    <t>Increase test productivity for EW antennas</t>
  </si>
  <si>
    <t>2-s2.0-0027806255</t>
  </si>
  <si>
    <t>['spectral function', 'radiation concerning', 'maliuzhinets integral', 'inversion formula', 'different problems']</t>
  </si>
  <si>
    <t>An inversion formula to obtain the spectral function of the Sommerfeld-Maliuzhinets integral from the expression of the far-field radiation function is studied here. It is applied to different problems of radiation concerning in particular the diffraction by a wedge.</t>
  </si>
  <si>
    <t>1189-1199</t>
  </si>
  <si>
    <t>100404983;100404983</t>
  </si>
  <si>
    <t>57209635776;7102464308</t>
  </si>
  <si>
    <t>Bernard, J. M.L.;Pelosi, G.</t>
  </si>
  <si>
    <t>Bernard J.</t>
  </si>
  <si>
    <t>New inversion formula for the spectral function of the Sommerfeld-Maliuzhinets integral and applications to the diffraction</t>
  </si>
  <si>
    <t>2-s2.0-0027807246</t>
  </si>
  <si>
    <t>['simple feeds', 'satellite communications', 'reflector surface', 'new type', 'new antenna', 'multibeam antenna', 'much simpler', 'four beams', 'forming network', 'equivalent array', 'design method', 'design example', 'clarified numerically', 'basic performance', 'authors propose']</t>
  </si>
  <si>
    <t>The authors propose a multiple shaped beam antenna which uses a single shaped reflector and simple feeds. This new type of multibeam antenna is very attractive for satellite communications and broadcasting because its beam-forming network is much simpler than conventional multibeam reflector antennas which uses cluster feeds. The design method for shaping the reflector surface is described, which is based on the concept of an equivalent array. By using this method, a design example is shown, in which the Japanese main islands are covered with four beams and twofold frequency reuse is operated. Also, the basic performance of this new antenna is clarified numerically.</t>
  </si>
  <si>
    <t>1500-1507</t>
  </si>
  <si>
    <t>60018735;60018735</t>
  </si>
  <si>
    <t>6701919222;7201640352</t>
  </si>
  <si>
    <t>Shoki, Hiroki;Kawabata, Kazuaki</t>
  </si>
  <si>
    <t>Shoki H.</t>
  </si>
  <si>
    <t>Multiple shaped beam antenna using a single shaped reflector</t>
  </si>
  <si>
    <t>2-s2.0-0027808607</t>
  </si>
  <si>
    <t>['paper discusses', 'measured data', 'fully three', 'dielectric layer']</t>
  </si>
  <si>
    <t>This paper discusses the fully three-dimensional finite difference time domain (FDTD) method to analyze a monopole antenna mounted on a rectangular conducting box covered with a layer of dielectric. The effects of the conductivity and the permittivity of the dielectric layer are investigated. It is shown that all calculation results agree very well with the measured data.</t>
  </si>
  <si>
    <t>1583-1586</t>
  </si>
  <si>
    <t>55574215963;7201851714;56779495700;7005852706</t>
  </si>
  <si>
    <t>Chen, Li;Uno, Toru;Adachi, Saburo;Luebbers, Raymond J.</t>
  </si>
  <si>
    <t>Chen L.</t>
  </si>
  <si>
    <t>FDTD analysis of a monopole antenna mounted on a conducting box covered with a layer of dielectric</t>
  </si>
  <si>
    <t>2-s2.0-0027809058</t>
  </si>
  <si>
    <t>['well suited', 'various solutions', 'low mobile', 'low g', 'feed network', 'experimental results', 'built arrays', 'already proposed', '2 ],', '1 ],']</t>
  </si>
  <si>
    <t>Conical beam pattern is well suited for low mobile or maritime mobile antennas used in cheap and low G/T satellite communication system. Various solutions have been already proposed to generate circular polarized conical patterns; some authors use single microstrip patch working on higher order modes [1], [2], while others have built arrays of patches [3]-[5]. The present letter describes the design of an array of slot fed patches with its feed network and the experimental results which have been obtained in S-band.</t>
  </si>
  <si>
    <t>1579-1582</t>
  </si>
  <si>
    <t>7003723658;7202044329;55478965100</t>
  </si>
  <si>
    <t>Himdi, Mohammed;Daniel, Jean Pierre;Ito, Koichi</t>
  </si>
  <si>
    <t>Himdi M.</t>
  </si>
  <si>
    <t>Circularly polarized slot FED patches and conical beam array</t>
  </si>
  <si>
    <t>2-s2.0-0027810420</t>
  </si>
  <si>
    <t>['radiation characteristics', 'quite consistent', 'omega station', 'omega antenna', 'observed signals', 'observed intensities', 'intensity may', 'incorrect assumption', 'horizontal inhomogeneity', '1000 km']</t>
  </si>
  <si>
    <t>The Akebono satellite observed the Australian Omega signals when it passed about 1000 km over the Omega station. In this paper, we compare the observed Omega signal intensities with the values obtained using a full wave calculation and we discuss a mechanism of modulation of the signals. The relative spatial variations of the calculated Omega intensities are quite consistent with those observed, but the absolute calculated intensities themselves are several dB larger than the observed intensities. This difference in intensity may be due to the horizontal inhomogeneity of the D region, which is not modeled in the full wave calculation, or to an incorrect assumption about radiation characteristics of the Omega antenna. It is found that modulation of the observed signals is caused by the interference between the waves with different k vectors.</t>
  </si>
  <si>
    <t>1571-1577</t>
  </si>
  <si>
    <t>60024784;60024784;60024784;60024784;60024784;60024784</t>
  </si>
  <si>
    <t>7006203498;7201831631;6602376085;7203026474;7005624124;7402952086</t>
  </si>
  <si>
    <t>Nagano, Isamu;Rosen, Paul A.;Yagitani, Satoshi;Hata, Minoru;Miyamura, Kazutoshi;Kimura, Iwane</t>
  </si>
  <si>
    <t>Kanazawa</t>
  </si>
  <si>
    <t>Kanazawa University</t>
  </si>
  <si>
    <t>Nagano I.</t>
  </si>
  <si>
    <t>Full wave analysis of the Australian Omega signal observed by the Akebono satellite</t>
  </si>
  <si>
    <t>2-s2.0-0027810875</t>
  </si>
  <si>
    <t>['taos system', 'significant reduction', 'recurring price', 'primary goal', 'paper describes', 'mobile tracking', 'ground segment', 'five taos', 'eventually cost', 'double mission', 'clearly hungry', 'called taos', 'attendant gains', 'allow positioning', '270 w', '2 hours', '1 km']</t>
  </si>
  <si>
    <t>Aerospatiale, under contract to CNES, has studied a new satellite based system with the double mission of mobile tracking and paging. This is called Taos. A constellation of five Taos will allow positioning with an accuracy of 1 km, as well as small message transmission with a maximum time delay of 2 hours. Using a low earth orbit, Taos will have a small power budget, with the attendant gains on dimensions, mass and eventually cost. The emergence of such class of lightsats has been fostered by the progress of electronics, as well as the new small launchers now being offered. Furthermore, the market is clearly hungry for ever more worldwide data collection. This paper describes the Taos system of satellite and ground segment, for which a primary goal will be a significant reduction of the recurring price. Weighing 152 kg, each satellite will have a power of 270 W.</t>
  </si>
  <si>
    <t>217-220</t>
  </si>
  <si>
    <t>Jung, P.</t>
  </si>
  <si>
    <t>Jung P.</t>
  </si>
  <si>
    <t>Taos: a low cost satellite</t>
  </si>
  <si>
    <t>2-s2.0-0027814742</t>
  </si>
  <si>
    <t>['unique identifier', 'system installation', 'strategic locations', 'since implementation', 'september 1990', 'revenue collection', 'registered vehicles', 'lax officials', 'lax imposed', 'honor system', 'electronic tags', 'effective system', 'digital logic', 'commercial vehicles', 'busiest airports', 'based software', 'avi system', 'antennas placed']</t>
  </si>
  <si>
    <t>Los Angeles International Airport (LAX) is one of the busiest airports in the world in numbers of airplane passengers served and in terms of ground transportation necessary to serve them. When LAX imposed an airport access charge for commercial vehicles, it was based on an honor system. But LAX officials were concerned that the system was not adequate. They needed a more effective system to report the commercial vehicle airport appearances and assess related charges. After evaluating available technologies and systems, in 1989 LAX moved to install a state-of-the-art automatic vehicle identification (AVI) system to reduce traffic congestion and, at the same time, maximize revenues collected from their ground transportation operation. The system installation was completed in September 1990. The AVI system consists of electronic tags and readers. The tags, sometimes called transponders, are mounted in or on the registered vehicles. Each tag is programmed with its own unique identifier. The reader system includes a radio frequency transceiver, an antenna, digital logic and computer-based software that are connected to antennas placed at strategic locations. Since implementation of the AVI system, revenue collection has increased more than 250% and congestion has been reduced by 20%, compared to the honor system previously used by the airport.</t>
  </si>
  <si>
    <t>22-24</t>
  </si>
  <si>
    <t>ITE Journal (Institute of Transportation Engineers)</t>
  </si>
  <si>
    <t>Lampe, Andrew J.</t>
  </si>
  <si>
    <t>Amtech Systems, Inc</t>
  </si>
  <si>
    <t>Lampe A.</t>
  </si>
  <si>
    <t>Effects of road access pricing at the Los Angeles Airport. A case study</t>
  </si>
  <si>
    <t>2-s2.0-0027815436</t>
  </si>
  <si>
    <t>['wave analysis', 'spectral domain', 'scattering properties', 'scattering problem', 'numerical results', 'moment method']</t>
  </si>
  <si>
    <t>A full-wave analysis for the scattering problem of infinite periodic arrays on dielectric substrates excited by a circularly-polarized incident wave is presented. The impedance boundary condition is solved by using the moment method in the spectral domain. Numerical results are given and scattering properties are discussed.</t>
  </si>
  <si>
    <t>1587-1589</t>
  </si>
  <si>
    <t>60008107;60008107;60008107;60008107</t>
  </si>
  <si>
    <t>7202357298;7003938202;7006355696;55429863400</t>
  </si>
  <si>
    <t>Wakabayashi, Hideaki;Kominami, Masanobu;Kusaka, Hiroji;Nakashima, Hiroshi</t>
  </si>
  <si>
    <t>Wakabayashi H.</t>
  </si>
  <si>
    <t>Spectral domain analysis for scattering properties of periodic arrays on dielectric substrates</t>
  </si>
  <si>
    <t>2-s2.0-0027840192</t>
  </si>
  <si>
    <t>['two subsystems', 'september 1987', 'network subsystem', 'msc ).', 'gsm infrastructure', 'global pan', 'article focuses', 'alcatel exchange']</t>
  </si>
  <si>
    <t>Alcatel has been involved in the pan-European Global System for Mobile communications since the beginning, September 1987. The GSM infrastructure has two subsystems: the network subsystem and the base station subsystem. The network subsystem provides automatic connection to the fixed networks via an Alcatel exchange, the mobile switching center (MSC). This article focuses on the base station subsystem offered by Alcatel as part of its global pan-European digital cellular system.</t>
  </si>
  <si>
    <t>155-163</t>
  </si>
  <si>
    <t>2 nd Quar</t>
  </si>
  <si>
    <t>Electrical Communication</t>
  </si>
  <si>
    <t>60026638;60026638;60026638;60026638</t>
  </si>
  <si>
    <t>6603890906;7801530744;6507984053;6506723219</t>
  </si>
  <si>
    <t>Varin, J.;Bezler, M.;Hofmans, R.;Van den bossche, K.</t>
  </si>
  <si>
    <t>Varin J.</t>
  </si>
  <si>
    <t>GSM base station system</t>
  </si>
  <si>
    <t>2-s2.0-0027840672</t>
  </si>
  <si>
    <t>['predicting propagation', 'output power', 'many environmental', 'extensive databases', 'engineering variables']</t>
  </si>
  <si>
    <t>Predicting propagation between microcells in a wireless network requires sophisticated analysis tools and extensive databases to account for the many environmental and engineering variables. Variables include topography, morphology, distance, and output power. The principle of free-space loss rarely exists, as obstructions and interference increase daily, even in the most optimal RF environments.</t>
  </si>
  <si>
    <t>101393977;101393977</t>
  </si>
  <si>
    <t>7102348705;57197881500</t>
  </si>
  <si>
    <t>Sharp, Betsy;Fishman, Doug</t>
  </si>
  <si>
    <t>Portland</t>
  </si>
  <si>
    <t>Wireless Systems</t>
  </si>
  <si>
    <t>Sharp B.</t>
  </si>
  <si>
    <t>Precisely predict propagation loss between microcells</t>
  </si>
  <si>
    <t>2-s2.0-0027841405</t>
  </si>
  <si>
    <t>['wide range', 'smm antenna', 'slow due', 'positive departure', 'mode microstrip', 'mature nature', 'highly efficient', 'extremely broadband', 'commercial systems', 'antenna represents']</t>
  </si>
  <si>
    <t>Antenna evolution tends to be slow due to the mature nature of the technology. Still, changes do occur, and the spiral-mode microstrip (SMM) antenna represents a positive departure from conventional antenna designs. The SMM antenna is small, highly efficient, and extremely broadband, making it suitable for a wide range of applications in both military and commercial systems.</t>
  </si>
  <si>
    <t>100640985;100640985</t>
  </si>
  <si>
    <t>57203558701;7003971864</t>
  </si>
  <si>
    <t>Wang, Johnson J.H.;Tripp, Victor K.</t>
  </si>
  <si>
    <t>Marietta</t>
  </si>
  <si>
    <t>Wang-Tripp Corp</t>
  </si>
  <si>
    <t>Wang J.</t>
  </si>
  <si>
    <t>Spiral microstrip antenna suits EW/ECM systems</t>
  </si>
  <si>
    <t>2-s2.0-0027842086</t>
  </si>
  <si>
    <t>['surface accuracy', 'radiation pattern', 'panel displacements', 'measurements using', 'errors due', 'discontinuous one', 'account locations', '6 ).']</t>
  </si>
  <si>
    <t>A best-fit panel model in the radio holographic metrology taking into account locations and sizes of actual surface panels in a large reflector antenna is presented. A displacement and tilt of each panel can be estimated by introducing the best-fit panel model. It was confirmed by simulations that the distinction can be drawn between a continuous surface error and a discontinuous one. Errors due to truncation of the radiation pattern were calculated by simulations. It was found that a measurement of a 128√ó128 map is optimum for the 45-m telescope. The reliability of the measurements using this model was examined by experiments with panel displacements. Panel adjustments using the best-fit panel model successfully improved the surface accuracy of the antenna from 138 Œºm rms to 84 Œºm rms (Œµ/D = 2√ó10-6).</t>
  </si>
  <si>
    <t>1492-1498</t>
  </si>
  <si>
    <t>60101699;60101699;60101699;60101699;60101699;60101699;60101699</t>
  </si>
  <si>
    <t>36947843700;7402182464;6603168233;6506652220;7003367274;7403544335;56252992000</t>
  </si>
  <si>
    <t>Deguchi, Hiroyuki;Masuda, Masanori;Ebisui, Takashi;Shimawaki, Yutaka;Ukita, Nobuharu;Shibata, Katsunori M.;Ishiguro, Masato</t>
  </si>
  <si>
    <t>Deguchi H.</t>
  </si>
  <si>
    <t>Radio holographic metrology with best-fit panel model of the Nobeyama 45-m telescope</t>
  </si>
  <si>
    <t>2-s2.0-0027843117</t>
  </si>
  <si>
    <t>['thicker substrates', 'temporal properties', 'source change', 'rapidly evaluated', 'problem since', 'induced waveform', 'induced voltage', 'highly dependent', 'gaussian excitation', 'fundamental resonance', 'element sprinted', 'element printed', 'domain response', 'current waveform', 'attractive technique']</t>
  </si>
  <si>
    <t>The singularity expansion method (SEM) is applied to study the interaction of a transient electromagnetic plane wave with a printed strip antenna. The SEM is an attractive technique for this problem since the time-domain response of the element is separated into excitation-independent natural resonances and modes, which have considerable physical significance, and closed-form coupling terms which can be rapidly evaluated as the geometric or temporal properties of the source change. The purpose of this work is to demonstrate the SEM as applied to the transient microstrip problem, and to study the effect of varying the properties of the printed circuit substrate over a range of values typically found in microstrip antenna applications. The transient response due to a step and Gaussian excitation is studied, where it is found that the level of transient signal induced on a printed element increases with increasing substrate thickness and decreases with increasing substrate permittivity. The shape of the induced voltage or current waveform is highly dependent on the geometric and temporal properties of the source for element sprinted on relatively thin substrates, while the element printed on thicker substrates the shape of the induced waveform is much less sensitive to the form of the excitation, and resembles the oscillation of the fundamental resonance of the antenna.</t>
  </si>
  <si>
    <t>1724-1746</t>
  </si>
  <si>
    <t>Hanson, George</t>
  </si>
  <si>
    <t>SEM Analysis of the voltage induced upon a printed strip antenna by a transient plane wave</t>
  </si>
  <si>
    <t>2-s2.0-0027843232</t>
  </si>
  <si>
    <t>['unwanted signal', 'stochastic quantity', 'noise component', 'narrow pass', 'music algorithm', 'measurement time', 'long time', 'gating techniques', 'correlation matrix', 'band antenna']</t>
  </si>
  <si>
    <t>A new superresolution technique is proposed for antenna pattern measurements. Unwanted reflected signals often impinge on the antenna when we measure it outdoors. A time-domain superresolution technique (a MUSIC algorithm) has been proposed to eliminate the unwanted signal for a narrow pass-band antenna. The MUSIC algorithm needs many snapshots to obtain a correlation matrix. This is not preferable for antenna pattern measurements because it takes a long time to obtain the data. In this paper, we propose to reduce a noise component (stochastic quantity) using the FFT and gating techniques before we apply the MUSIC. The new technique needs a few snapshots and saves the measurement time.</t>
  </si>
  <si>
    <t>1532-1537</t>
  </si>
  <si>
    <t>35516180700;7404242909;57203100681;7404897527</t>
  </si>
  <si>
    <t>Ogawa, Yasutaka;Nakajima, Teruaki;Yamada, Hiroyoshi;Itoh, Kiyohiko</t>
  </si>
  <si>
    <t>Ogawa Y.</t>
  </si>
  <si>
    <t>Superresolution technique for antenna pattern measurements</t>
  </si>
  <si>
    <t>2-s2.0-0027851919</t>
  </si>
  <si>
    <t>['type design', 'substrate without', 'rectifying circuit', 'rectenna even', 'preliminary experiment', 'practical application', 'one side', 'novel balanced', 'large aperture', 'data showed', 'circuit components', 'circuit allows', '67 %.', '4 w']</t>
  </si>
  <si>
    <t>A rectenna element applicable to Stratosphere Radio Relay System was proposed and a fundamental microwave power transmission experiment was carried out at 2.45 GHz using a rectenna array manufactured based on the proposal. The rectenna element consists of a circular microstrip patch and a rectifying circuit of novel balanced-type design. The circuit allows to mount a rectifier and circuit components just on one side of a substrate without through holes, and hence it must be easy to manufacture a rectenna even having a large aperture. It was verified by a preliminary experiment that the rectifying circuit can provide more than ttt of DC output power using 8 Schottky diodes as a rectifier with microwave-DC conversion efficiency of 67%. Then, DC output power of 4 W was obtained from the 4-element rectenna array in the microwave power transmission experiment carried out in a radio anechoic chamber. The data showed a feasibility of practical application of the microwave power transmission technique.</t>
  </si>
  <si>
    <t>1508-1513</t>
  </si>
  <si>
    <t>55471069300;55443977100;7403990802</t>
  </si>
  <si>
    <t>Ito, Takeo;Fujino, Yoshiyuki;Fujita, Masaharu</t>
  </si>
  <si>
    <t>Ito T.</t>
  </si>
  <si>
    <t>Fundamental experiment of a rectenna array for microwave power reception</t>
  </si>
  <si>
    <t>2-s2.0-0027867147</t>
  </si>
  <si>
    <t>['terminal architecture', 'radio circuits', 'power supply', 'gsm software', 'demodulator circuit', 'article presents', 'antenna design']</t>
  </si>
  <si>
    <t>The article presents the main technical aspects of the GSM radio telephone terminals. Terminal architecture, GSM software, software test strategy, radio circuits, application specific integrated circuits, demodulator circuit, man machine interface, power supply, and antenna design are outlined.</t>
  </si>
  <si>
    <t>128-140</t>
  </si>
  <si>
    <t>Bursztejn, J.</t>
  </si>
  <si>
    <t>Bursztejn J.</t>
  </si>
  <si>
    <t>GSM terminals</t>
  </si>
  <si>
    <t>2-s2.0-0027872652</t>
  </si>
  <si>
    <t>['series data', 'integration time', 'cumulative distribution', 'attenuation statistics', '5 ghz', '2 years', '1 sec']</t>
  </si>
  <si>
    <t>By using measured attenuation time-series data over 2 years at 19.5 GHz with an integration time of 1 sec, effects of the integration time on attenuation statistics are presented. It is observed that the effect on cumulative distribution of attenuation and the relation between annual and the worst-month cumulative time percentages are not significant for the practical prediction purposes. The effect is significant in attenuation duration statistics.</t>
  </si>
  <si>
    <t>1590-1592</t>
  </si>
  <si>
    <t>Fukuchi, Hajime</t>
  </si>
  <si>
    <t>Fukuchi H.</t>
  </si>
  <si>
    <t>Effects of integration time on rain attenuation statistics at 20 GHz</t>
  </si>
  <si>
    <t>2-s2.0-0027874489</t>
  </si>
  <si>
    <t>['wire conductivity', 'well chosen', 'thin card', 'theoretical results', 'sized antenna', 'noise reduction', 'grid models', 'grid model', 'good agreement', 'experimental study', 'also examined']</t>
  </si>
  <si>
    <t>A theoretical and experimental study of a thin card-sized antenna is presented. The method of moment with a wire-grid model is used to analyze this antenna. In order to validate numerical efficiency, measurements using Wheeler method are preformed on this antenna and its wire-grid models. The experimental and theoretical results are in good agreement if the wire conductivity is well chosen. And the noise reduction of measured Wheeler efficiency using least mean square method is also examined.</t>
  </si>
  <si>
    <t>1518-1524</t>
  </si>
  <si>
    <t>60014652;60014652</t>
  </si>
  <si>
    <t>7402368349;7404897527</t>
  </si>
  <si>
    <t>Ishii, Nozomu;Itoh, Kiyohiko</t>
  </si>
  <si>
    <t>Ishii N.</t>
  </si>
  <si>
    <t>Consideration of the thin planar antenna with wire-grid model</t>
  </si>
  <si>
    <t>2-s2.0-0027875107</t>
  </si>
  <si>
    <t>['phase feeding', 'parasitic element', 'one places', 'easier feeding', 'cylindrical radome', 'circular reflector', 'beam pattern']</t>
  </si>
  <si>
    <t>This paper describes three dual frequency antennas that have the same beamwidth in both bands. One places the main reflector close to a parasitic element, another uses co-phase feeding, and the third uses anti-phase feeding. Current distribution analysis are used to achieve the same beam pattern at both frequencies, a smaller antenna size, and easier feeding. The radome's diameter is reduced from 90mm to 75mm with no increase in height by integrating a cylindrical radome with a circular reflector.</t>
  </si>
  <si>
    <t>1135-1146</t>
  </si>
  <si>
    <t>NTT R and D</t>
  </si>
  <si>
    <t>7403055232;35564404500</t>
  </si>
  <si>
    <t>Maruyama, Tamami;Kagoshima, Kanichi</t>
  </si>
  <si>
    <t>Maruyama T.</t>
  </si>
  <si>
    <t>Dual-frequency reflector antennas with the same beam-width</t>
  </si>
  <si>
    <t>2-s2.0-0027881009</t>
  </si>
  <si>
    <t>['tracking radar', 'target imaging', 'special attention', 'simplest way', 'resolution performances', 'radar signatures', 'pulse radar', 'physical description', 'physical aspects', 'multipath effects', 'four parts', 'extended targets', 'electromagnetic modelization', 'doppler effect', 'digital beamforming', 'airborne radars', 'adaptive processing']</t>
  </si>
  <si>
    <t>The objective of this paper is to describe the bases of radar in the simplest way which means, in particular, using as few equations as possible, with a special attention to the physical aspects (Doppler effect, radar signatures, glint, adaptive processing). It consists of four parts: principles: pulse radar, Doppler effect, detection and resolution performances, tracking radar; radar targets analysis: polarization, electromagnetic modelization, target imaging, tracking of extended targets; propagation and clutter: physical description, application to airborne radars, multipath effects; adaptive processing: time (Doppler) processing, digital beamforming.</t>
  </si>
  <si>
    <t>1083-1187</t>
  </si>
  <si>
    <t>Le Chevalier, F.</t>
  </si>
  <si>
    <t>Le Chevalier F.</t>
  </si>
  <si>
    <t>Radar: Physical bases</t>
  </si>
  <si>
    <t>2-s2.0-0027883423</t>
  </si>
  <si>
    <t>['somewhat shorter', 'rectangular patch', 'properly adjusting', 'parasitic element', 'parasitic cylinder', 'experimental method', 'dielectric substrate', 'coupling intensity', 'completely covered', 'aluminum cylinder', 'also shown']</t>
  </si>
  <si>
    <t>An omnidirectional microstrip antenna using a parasitic cylinder is presented. A rectangular patch is formed on a dielectric substrate and it's completely covered with an aluminum cylinder which is somewhat shorter than a half of free space wavelength. Under such configuration the aluminum cylinder works as a parasitic element. This antenna can provides uniform omnidirectional radiation patterns and a broad frequency bandwidth. In this paper an experimental method for designing such an element is described. Measured input impedance characteristics, current distribution around the surface of the cylinder and patterns are also shown. By properly adjusting the coupling intensity between the patch and the parasitic cylinder a broad bandwidth antenna element can be realized. Some methods to adjust the coupling intensity are shown. A wide bandwidth element up to 14% for VSWR &lt;1.5 is obtained. Arranging many patches lengthways on a substrate and placing metallic cylinders around each patches, we can realize a high-gain and broad bandwidth collinear antenna.</t>
  </si>
  <si>
    <t>1514-1517</t>
  </si>
  <si>
    <t>101245684;101245684;101245684</t>
  </si>
  <si>
    <t>7003370991;7402741569;7409440200</t>
  </si>
  <si>
    <t>Karikomi, Masahiro;Matsuoka, Tohru;Chen, Li Win</t>
  </si>
  <si>
    <t>Nihon Dengyo Kosaku Co., Ltd.</t>
  </si>
  <si>
    <t>Karikomi M.</t>
  </si>
  <si>
    <t>Omnidirectional broad bandwidth microstrip antenna using a parasitic cylinder</t>
  </si>
  <si>
    <t>2-s2.0-0027883652</t>
  </si>
  <si>
    <t>['tuning element', 'successfully demonstrated', 'submillimeter wavelengths', 'spaced holes', 'sliding short', 'slides along', 'planar circuits', 'mechanically altering', 'electrical length', 'diode detector', 'db improvement', 'coated coplanar', 'appropriately sized', '3 db', '100 ghz']</t>
  </si>
  <si>
    <t>A means of mechanically altering the electrical length of a planar transmission line would greatly enhance the use of integrated circuit technology at millimeter and submillimeter wavelengths. Such a mechanically adjustable planar RF tuning element, successfully demonstrated at 100 GHz, is described here. It consists of a thin metallic sheet, with appropriately sized and spaced holes, which slides along on top of a dielectric-coated coplanar-strip transmission line. Multiple RF reflections caused by this structure add constructively, resulting in a movable RF short circuit, with |s11|‚âà-0.3 dB, which can be used to vary the electrical length of a planar tuning stub. The sliding short is used here to produce a 2-dB improvement in the response of a diode detector. This tuning element can be integrated with planar circuits to compensate for the effect of parasitic reactance inherent in various devices including semiconductor diodes and superconductor-insulator-superconductor (SIS) junctions.</t>
  </si>
  <si>
    <t>441-443</t>
  </si>
  <si>
    <t>6603919322;7006448685;7102803490</t>
  </si>
  <si>
    <t>Lubecke, Victor M.;McGrath, William R.;Rutledge, David B.</t>
  </si>
  <si>
    <t>Lubecke V.</t>
  </si>
  <si>
    <t>100 GHz coplanar strip circuit tuned with a sliding planar backshort</t>
  </si>
  <si>
    <t>10.1109/75.251396</t>
  </si>
  <si>
    <t>2-s2.0-0027885510</t>
  </si>
  <si>
    <t>['tc superconductors', 'superdirective antennas', 'space wavelength', 'results confirm', 'radiator achieves', 'paper describes', 'higher efficiency', 'copper antenna', 'band two', '70 %.', '20 radiators']</t>
  </si>
  <si>
    <t>This paper describes the designs and reports experimental results for high-Tc superconducting small antennas composed of self-resonant helical radiators and quarter-wave matching circuits. A 500-MHz-band antenna employing a Œª/40 (Œª is the free-space wavelength) radiator achieves a high radiation efficiency of 70%. Furthermore, a 900-MHz-band two-element array antenna employing Œª/20 radiators with a Œª/11 element spacing has a higher efficiency than a copper antenna as well as a superdirective radiation pattern. These results confirm that high-Tc superconductors and this design are promising for highly efficient small and/or superdirective antennas.</t>
  </si>
  <si>
    <t>787-794</t>
  </si>
  <si>
    <t>37019710800;7005560212;7404604430;7006534690</t>
  </si>
  <si>
    <t>Itoh, Keiichiro;Ishii, Osamu;Suzuki, Naobumi;Michikami, Osamu</t>
  </si>
  <si>
    <t>Itoh K.</t>
  </si>
  <si>
    <t>Small antennas using high-T&lt;inf&gt;c&lt;/inf&gt; superconducting radiators and matching circuits</t>
  </si>
  <si>
    <t>2-s2.0-0027885593</t>
  </si>
  <si>
    <t>['top plane', 'surface current', 'radiation pattern', 'portable telephone', 'monopole antenna', 'lower direction', 'high accuracy', 'great advantage', 'distorted pattern', 'conducting box', 'box tends', 'also described']</t>
  </si>
  <si>
    <t>The relation between the radiation pattern and the dimension of the conducting box for a portable telephone is illustrated both theoretically and experimentally. The Galerkin-moment method using the Fourier series expansion for the surface current of the conducting box, which has a great advantage of having a high accuracy, is employed to obtain the radiation pattern. As an example of antennas, a quarter-wavelength monopole antenna having a sinusoidal current distribution is used. As a result, it is pointed out that the radiation pattern of a monopole antenna mounted on the box tends to tilt in a lower direction both in theory and in experiment as well. The relation between the radiation pattern and the location of the monopole antenna is also described. An asymmetrical, or distorted pattern is observed when the monopole antenna moves away from the center of the top plane.</t>
  </si>
  <si>
    <t>1526-1531</t>
  </si>
  <si>
    <t>36931733400;35598806700;55443977100;56779495700</t>
  </si>
  <si>
    <t>Yamaguchi, Ryo;Sawaya, Kunio;Fujino, Yoshiyuki;Adachi, Saburo</t>
  </si>
  <si>
    <t>Yamaguchi R.</t>
  </si>
  <si>
    <t>Effect of dimension of conducting box on radiation pattern of a monopole antenna for portable telephone</t>
  </si>
  <si>
    <t>2-s2.0-0027885878</t>
  </si>
  <si>
    <t>['two satellites', 'total capability', 'system concept', 'space links', 'service areas', 'satellite links', 'realistic configuration', 'paper proposes', 'paper discusses', 'pacific region', 'optical inter', 'isdn applicability', 'computer network', 'band earth', 'also contribute', 'advanced asia', 'aapts system', '10 gb', '1 gb']</t>
  </si>
  <si>
    <t>This paper proposes a concept of Advanced Asia-Pacific Telecommunications Satellite (AAPTS) for future high data rate telecommunications in the Asia-Pacific region. The high data rate transmission will be indispensable for scientific, computer network, etc. Such high data rate will also contribute the development in the Asia-Pacific region. The AAPTS system is designed which consists of two satellites having Ka-band earth-space links and optical inter-satellite links. Each satellite has the total capability of 10 Gb/s with 1 Gb/s single link transmissions. This paper discusses to optimize the system concept for more realistic configuration in terms of service areas, antenna beam shape and ISDN applicability.</t>
  </si>
  <si>
    <t>193-203</t>
  </si>
  <si>
    <t>60092258;60092258</t>
  </si>
  <si>
    <t>35466077200;7006602637</t>
  </si>
  <si>
    <t>Iida, Takashi;Pelton, Joseph N.</t>
  </si>
  <si>
    <t>Iida T.</t>
  </si>
  <si>
    <t>Conceptual study of advanced Asia-Pacific telecommunications satellite for future gigabit transmission</t>
  </si>
  <si>
    <t>2-s2.0-0027886292</t>
  </si>
  <si>
    <t>['theoretical predictions', 'reflecting x', 'recently carried', 'noise temperature', 'matching method', 'group delay', 'future ka', 'frequency operation', 'first ka', 'dichroic plate', 'computer program', 'band uplink', 'band dual', 'band downlink']</t>
  </si>
  <si>
    <t>The first Ka-Band Deep Space Network downlink demonstration was recently carried out by the Ka-Band Link Experiment (KABLE) in association with the Mars Observer spacecraft. In order to support the mission, a dichroic plate was required in the DSS-13 beam waveguide antenna to allow simultaneous X- and Ka-Band dual-frequency operation. AnX/Ka/KABLE dichroic plate was designed to transmit a future Ka-Band downlink (31.8-32.3 GHz), future Ka-Band uplink (34.2-34.7 GHz), and KABLE downlink frequency (33.6-33.8 GHz), while reflecting X-band (7.1-8.6 GHz). A computer program was developed for the analysis of a dichroic plate with rectangular apertures using the mode-matching method. The plate was then fabricated and tested. The reflection, group delay, and noise temperature in the antenna system due to the dichroic plate were measured. The experimental results show good agreement with theoretical predictions. ¬© 1993 Plenum Publishing Corporation.</t>
  </si>
  <si>
    <t>2401-2422</t>
  </si>
  <si>
    <t>60009037;60009037;60009037</t>
  </si>
  <si>
    <t>57196106538;7102646571;7004052232</t>
  </si>
  <si>
    <t>Chen, J. C.;Stanton, P. H.;Reilly, H. F.</t>
  </si>
  <si>
    <t>Chen J.</t>
  </si>
  <si>
    <t>Skew-grid dichroic plate with rectangular apertures for use on a Ka-Band beam waveguide antenna</t>
  </si>
  <si>
    <t>10.1007/BF02086215</t>
  </si>
  <si>
    <t>2-s2.0-0027886906</t>
  </si>
  <si>
    <t>['various missions', 'satellite orbit', 'satellite launch', 'satellite communications', 'particular set', 'optimum deployment', 'getting started', 'geosynchronous orbit', 'etc .,', 'detailed trade', 'considerations today', 'carefully assessed', 'article provides', 'analysis undertaken', 'always straightforward', 'addressing almost']</t>
  </si>
  <si>
    <t>The issue of which satellite orbit, such as low earth orbit, medium earth orbit, highly elliptical orbit, geosynchronous orbit, etc., is best for a particular telecommunications role is not always straightforward. The technical, operational, financial, service, and reliability considerations must all be carefully assessed and detailed trade-off analysis undertaken. This article provides in some detail the type of methodology that can be utilized to conclude which particular set of orbital parameters would seem to be optimum for various missions. Ironically, many of the trade-off considerations today are similar to those some 30 years ago when the field of satellite communications was getting started. One major difference today is that satellite launch and operation is much more reliable. The general methodology presented here should be adaptable to addressing almost any proposed satellite system design and its optimum deployment.</t>
  </si>
  <si>
    <t>205-215</t>
  </si>
  <si>
    <t>Pritchard, Wilbur</t>
  </si>
  <si>
    <t>W.L. Pritchard and Co., L.C.</t>
  </si>
  <si>
    <t>Pritchard W.</t>
  </si>
  <si>
    <t>Geostationary versus non geostationary orbits</t>
  </si>
  <si>
    <t>2-s2.0-0027889243</t>
  </si>
  <si>
    <t>['sixfold increase', 'obtained using', 'maximum frequency', 'low absorption', 'lattice mismatch', 'ideal material', 'ideal characteristics', 'gaas grown', 'gaas causes', 'far infrared', 'disordered growth', 'characteristics observed', 'carrier lifetime', '8 ps', '5 thz']</t>
  </si>
  <si>
    <t>We demonstrate that GaAs grown by molecular beam epitaxy on silicon has ideal characteristics for THz receiver applications. The lattice mismatch between silicon and GaAs causes a disordered growth of GaAs, reducing the carrier lifetime to 1.8 ps. This is similar to the characteristics observed in low temperature grown GaAs. Furthermore, the high resistivity silicon substrate has a very low absorption and dispersion in the far infrared. This makes it an ideal material in THz system applications, and we show that a maximum frequency of 5 THz and a sixfold increase in sensitivity can be obtained using a GaAs-on-silicon based THz detector.</t>
  </si>
  <si>
    <t>7022-7024</t>
  </si>
  <si>
    <t>Journal of Applied Physics</t>
  </si>
  <si>
    <t>60019160;60019160;60033202;60033202;60016924;60016924</t>
  </si>
  <si>
    <t>57216247389;35560442800;22995415800;7004888763;24081239900;23487356600</t>
  </si>
  <si>
    <t>Pedersen, J. Engholm;Keiding, S. Rud;S√∏rensen, C. B.;Lindelof, P. E.;R√ºhle, W. W.;Zhou, X. Q.</t>
  </si>
  <si>
    <t>Denmark;Denmark;Germany</t>
  </si>
  <si>
    <t>Copenhagen;Odense;Stuttgart</t>
  </si>
  <si>
    <t>H. C. √òrsted Institute;Syddansk Universitet;Max Planck Institute for Solid State Research</t>
  </si>
  <si>
    <t>60033202;60019160;60016924</t>
  </si>
  <si>
    <t>Pedersen J.E.</t>
  </si>
  <si>
    <t>5-THz bandwidth from a GaAs-on-silicon photoconductive receiver</t>
  </si>
  <si>
    <t>10.1063/1.355040</t>
  </si>
  <si>
    <t>2-s2.0-0027904114</t>
  </si>
  <si>
    <t>['unique features', 'running estimation']</t>
  </si>
  <si>
    <t>An algorithm is proposed for a running estimation of the triangular square root of the inverse correlation matrix on the basis of unitary plane rotations; unique features of the algorithm are its high numerical stability and homogeneity.</t>
  </si>
  <si>
    <t>Kuzin, S. S.</t>
  </si>
  <si>
    <t>Kuzin S.</t>
  </si>
  <si>
    <t>Adaptive spatial filtering algorithm based on unitary rotations</t>
  </si>
  <si>
    <t>2-s2.0-0027904348</t>
  </si>
  <si>
    <t>['integrated antennas', '77 k']</t>
  </si>
  <si>
    <t>We report the first subpicosecond shockwaves ever generated and measured by entirely electronic means. These shockwaves have 880 fs fall times with 3.5 V amplitudes. This was accomplished at T=77 K with a monolithic nonlinear transmission line and diode sampling bridge fabricated on GaAs. We have used these circuits with integrated antennas to generate freely propagating pulses and have detected measurable radiation beyond 3 THz.</t>
  </si>
  <si>
    <t>60074650;60074650;60074650;60074650</t>
  </si>
  <si>
    <t>7004109084;57194716678;7005884256;17339957900</t>
  </si>
  <si>
    <t>Van Der Weide, D. W.;Bostak, J. S.;Auld, B. A.;Bloom, D. M.</t>
  </si>
  <si>
    <t>Ginzton Laboratory</t>
  </si>
  <si>
    <t>Van Der Weide D.</t>
  </si>
  <si>
    <t>All-electronic generation of 880 fs, 3.5 v shockwaves and their application to a 3 THz free-space signal generation system</t>
  </si>
  <si>
    <t>10.1063/1.108806</t>
  </si>
  <si>
    <t>2-s2.0-0027908178</t>
  </si>
  <si>
    <t>['voltage characteristics', 'normal resistances', 'normal resistance', 'normal metal', 'noble metals', 'junctions integrated', 'icrn product', 'dramatic increase', 'crystalline axes', 'critical current', 'allowing contact', '10 mv']</t>
  </si>
  <si>
    <t>We have fabricated step edge superconductor-normal metal-superconductor microbridges using YBa2Cu3O7-x(YBCO) and noble metals with critical current-normal resistance (IcRN) products as high as 10 mV and normal resistances up to 38 Œ©. Our fabrication process achieves high values of the IcRN product by exploiting the anisotropy in the properties of epitaxial YBCO films, allowing contact only between normal metal and superconductor through the crystalline axes which support the largest Josephson coupling. This results in a dramatic increase in the normal resistance of a junction without decreasing its critical current. We discuss the role of the superconductor-normal metal boundary resistance on the junction electrical properties. We have coupled submillimeter wave rf currents quasioptically into junctions integrated at the feeds of noble metal planar log periodic antennas and have induced up to 7 Shapiro steps in the current-voltage characteristics with a 760 GHz beam from a far infrared laser.</t>
  </si>
  <si>
    <t>1984-1986</t>
  </si>
  <si>
    <t>60023053;60023053;60023053;60023053</t>
  </si>
  <si>
    <t>7102734526;7202730843;7103362390;7005915661</t>
  </si>
  <si>
    <t>Rosenthal, P. A.;Grossman, E. N.;Ono, R. H.;Vale, L. R.</t>
  </si>
  <si>
    <t>Rosenthal P.</t>
  </si>
  <si>
    <t>High temperature superconductor-normal metal-superconductor Josephson junctions with high characteristic voltages</t>
  </si>
  <si>
    <t>10.1063/1.110622</t>
  </si>
  <si>
    <t>2-s2.0-0039241408</t>
  </si>
  <si>
    <t>['waveguide structure', 'waveguide properties', 'transition widths', 'thz frequencies', 'superconducting transition', 'short bridge', 'predicted double', 'new aspect', 'mixer element', 'local oscillator', 'good match', 'difference frequency', '90 k', '5 tc', '20 nw', '2 k', '1 ns']</t>
  </si>
  <si>
    <t>We present a new device concept for a mixer element for THz frequencies. This uses a superconducting transition-edge microbridge biased at the center of its superconducting transition near 4.2 K. It is fed from an antenna or waveguide structure. Power from a local oscillator and a rf signal produce a temperature and resulting resistance variation at the difference frequency. The new aspect is the use of a very short bridge in which rapid (&lt;0.1 ns) outdiffusion of hot electrons occurs. This gives large intermediate frequency (if) response. The mixer offers ‚âä4 GHz if bandwidth, ‚âä80 Œ© rf resistive impedance, good match to the if amplifier, and requires only 1-20 nW of local oscillator power. The upper rf frequency is determined by antenna or waveguide properties. Predicted mixer conversion efficiency is 1/8, and predicted double-sideband receiver noise temperatures are 260 and 90 K for transition widths of 0.1 and 0.5 Tc, respectively.</t>
  </si>
  <si>
    <t>2119-2121</t>
  </si>
  <si>
    <t>Prober, D. E.</t>
  </si>
  <si>
    <t>New Haven</t>
  </si>
  <si>
    <t>Yale University</t>
  </si>
  <si>
    <t>Prober D.</t>
  </si>
  <si>
    <t>Superconducting terahertz mixer using a transition-edge microbolometer</t>
  </si>
  <si>
    <t>10.1063/1.109445</t>
  </si>
  <si>
    <t>2-s2.0-0042122213</t>
  </si>
  <si>
    <t>['submillimeter wavelengths', 'selective demultiplexer', 'second harmonic', 'quasioptical antenna', 'polarized beam', 'novel combination', 'mode competition', 'gyrotron v', 'gyrotron investigations', 'fundamental processes', 'conical beam', 'blazed grating']</t>
  </si>
  <si>
    <t>A novel combination of a quasioptical antenna and a blazed grating which has been applied to gyrotron investigations at millimeter and submillimeter wavelengths is described. In this system the quasioptical antenna converts the conical beam from the gyrotron into a well-collimated, linear-polarized beam and the blazed grating acts as a frequency-selective demultiplexer. The system is very effective in separating the submillimeter wavelength output from GYROTRON V at the second harmonic of the electron cyclotron frequency from the nearby strong fundamental. This has enabled the study of mode competition between the second harmonic and the fundamental processes.</t>
  </si>
  <si>
    <t>2197-2202</t>
  </si>
  <si>
    <t>60025709;60025709;60010848</t>
  </si>
  <si>
    <t>18634302200;55666487200;10242269300</t>
  </si>
  <si>
    <t>Hong, K. D.;Brand, G. F.;Idehara, T.</t>
  </si>
  <si>
    <t>Australia;Japan</t>
  </si>
  <si>
    <t>Sydney;Fukui</t>
  </si>
  <si>
    <t>The University of Sydney;University of Fukui</t>
  </si>
  <si>
    <t>60025709;60010848</t>
  </si>
  <si>
    <t>Hong K.D.</t>
  </si>
  <si>
    <t>Application of blazed gratings to millimeter-submillimeter wave gyrotrons</t>
  </si>
  <si>
    <t>10.1063/1.354726</t>
  </si>
  <si>
    <t>2-s2.0-11644277966</t>
  </si>
  <si>
    <t>['time domain', 'planar antennas', 'picosecond duration', 'perform short', 'dimensional targets', 'dielectric spheres', 'bandwidth extending', '75 ghz']</t>
  </si>
  <si>
    <t>Planar antennas are switched photoconductively using optical pulses generated by a picosecond laser system. The freely propagating radiation, of picosecond duration and with bandwidth extending from 5 to 75 GHz, is used to perform short-pulse scattering measurements on three-dimensional targets. Results are shown for scattering from dielectric spheres, with the time-domain results clearly showing the early and late-time scattered signal. All measurements are compared with theory, directly in the time domain.</t>
  </si>
  <si>
    <t>1301-1303</t>
  </si>
  <si>
    <t>7003737313;7004561693</t>
  </si>
  <si>
    <t>Kralj, David;Carin, Lawrence</t>
  </si>
  <si>
    <t>Kralj D.</t>
  </si>
  <si>
    <t>Short-pulse scattering measurements from dielectric spheres using photoconductively switched antennas</t>
  </si>
  <si>
    <t>10.1063/1.108714</t>
  </si>
  <si>
    <t>2-s2.0-11744304288</t>
  </si>
  <si>
    <t>['without drilling', 'wire serves', 'underground proton', 'signal caused', 'radiofrequency pulse', 'proton resonance', 'practical viewpoints', 'paper describes', 'nmr signal', 'magnetic rocks', 'induction e', 'important case', 'geomagnetic fields', 'field using', 'exciting pulse', 'drilling nmr', 'different frequencies', 'containing liquids', 'circular wire']</t>
  </si>
  <si>
    <t>The paper describes the variant of nuclear magnetic resonance (NMR) in the Earth's field using no prepolarization. This method can be employed to record the NMR signal of underground proton-containing liquids, such as water, located at the depth of more than 100 m without drilling. The non-drilling NMR in the Earth's field is recorded by locating on the surface the circular wire with a diameter of about 100 m. This wire serves as an antenna for the exciting field source and the NMR signal receiver. The radiofrequency pulse with the carrier frequency equal to that of proton resonance in the Earth's field is passed through the wire. When the exciting pulse is switched off, the induction e.m.f. signal caused by the free Larmor nuclear precession in the geomagnetic fields is observed. An important case when in the non-drilling NMR in the Earth's field the signal is excited and observed at different frequencies is studied both from theoretical and practical viewpoints. The resulting modulation effects are considered. Such situations arise e.g. either in magnetic rocks or upon magnetic storms. ¬© 1993 Springer.</t>
  </si>
  <si>
    <t>399-406</t>
  </si>
  <si>
    <t>Applied Magnetic Resonance</t>
  </si>
  <si>
    <t>60069247;60069247;60069247</t>
  </si>
  <si>
    <t>6506137163;6603541832;6602747982</t>
  </si>
  <si>
    <t>Trushkin, D. V.;Shushakov, O. A.;Legchenko, A. V.</t>
  </si>
  <si>
    <t>Novosibirsk</t>
  </si>
  <si>
    <t>Voevodsky Institute of Chemical Kinetics and Combustion Siberian Branch of the Russian Academy of Sciences</t>
  </si>
  <si>
    <t>Trushkin D.V.</t>
  </si>
  <si>
    <t>Modulation effects in non-drilling NMR in the Earth's field</t>
  </si>
  <si>
    <t>10.1007/BF03162536</t>
  </si>
  <si>
    <t>2-s2.0-21344498074</t>
  </si>
  <si>
    <t>['weak links', 'w band', 'v band', 'two orders', 'noise performance', 'magnitude improvement', 'liquid nitrogen', 'laalo3 substrates', 'etching technique', 'epitaxial films', 'edge junctions', 'earlier results', 'achieved right', '94 ghz', '60 ghz']</t>
  </si>
  <si>
    <t>High-temperature superconducting mixers have been fabricated from epitaxial films of Tl2CaBa2Cu2O8 utilizing surface double step-edge junctions on LaAlO3 substrates. These mixers were integrated with spiral antenna structure designed for broadband millimeter wave coupling of the radiation into weak links. Under the optimum bias current condition heterodyne mixing of signals at W band (94 GHz) frequencies has been measured, and noise performance operating at V band (60 GHz) has been characterized both at liquid nitrogen and liquid helium temperatures. By using an etching technique, two orders of magnitude improvement in noise performance over the earlier results have been obtained. Strong mixing signals were achieved right up to Tc (102 K).</t>
  </si>
  <si>
    <t>2865-2867</t>
  </si>
  <si>
    <t>60027550;60027550;60001835;60001835</t>
  </si>
  <si>
    <t>55474007600;7006388096;7007079768;7005334225</t>
  </si>
  <si>
    <t>Hong, J. P.;Fetterman, H. R.;Forse, R. J.;Cardona, A. H.</t>
  </si>
  <si>
    <t>Los Angeles;Austin</t>
  </si>
  <si>
    <t>University of California, Los Angeles;Superconductor Technologies Inc.</t>
  </si>
  <si>
    <t>60027550;60001835</t>
  </si>
  <si>
    <t>Double step-edge weak links integrated with spiral antenna structure in epitaxial Tl&lt;inf&gt;2&lt;/inf&gt;CaBa&lt;inf&gt;2&lt;/inf&gt;Cu&lt;inf&gt;2&lt;/inf&gt;O&lt;inf&gt;8&lt;/inf&gt; films for millimeter wave mixing</t>
  </si>
  <si>
    <t>10.1063/1.109183</t>
  </si>
  <si>
    <t>2-s2.0-21544463057</t>
  </si>
  <si>
    <t>['wave codes', 'toroidal geometry', 'realistic geometry', 'poloidal component', 'particular emphasis', 'one hand', 'often simplified', 'numerical solution', 'numerical simulation', 'ic waves', 'ic heating', 'hot plasmas', 'hf fields', 'extent consistently', 'easily interfaced', 'current drive', 'complete problem', 'codes solving', 'adequate equations']</t>
  </si>
  <si>
    <t>Numerical simulation of heating and current drive in the ion cyclotron frequency range has progressed to the point that both the propagation and absorption of IC waves on the one hand, and the evolution of ion and electron distribution functions due to interaction with the HF fields on the other hand, can be described in realistic geometry and to some extent consistently with each other. The author reviews work in this field, with particular emphasis on the derivation and numerical solution of adequate equations to describe wave propagation in hot plasmas in toroidal geometry. Codes solving the quasilinear kinetic equations and their interface to wave propagation codes are also briefly mentioned. The complete problem is so complex, however, that in most cases simplified models must be used for extensive numerical studies of IC heating and current drive scenarios. Plane stratified models are appropriate to investigate antenna loading and global power balance; ray tracing gives excellent results in large hot plasmas and are easily interfaced to quasilinear kinetic codes. Full-wave codes in toroidal geometry are often simplified by neglecting either finite Larmor radius effects or the poloidal component of the static magnetic field, or both.</t>
  </si>
  <si>
    <t>SA</t>
  </si>
  <si>
    <t>Brambilla, M.</t>
  </si>
  <si>
    <t>Max Planck Institute for Plasma Physics</t>
  </si>
  <si>
    <t>Brambilla M.</t>
  </si>
  <si>
    <t>Modelling heating and current drive in the ion cyclotron frequency range</t>
  </si>
  <si>
    <t>10.1088/0741-3335/35/SA/009</t>
  </si>
  <si>
    <t>2-s2.0-22244490632</t>
  </si>
  <si>
    <t>['spectral response', 'radiation coupling', 'good agreement', 'frequency dependence', 'dispersive model', 'bardeen theory', '650 ghz']</t>
  </si>
  <si>
    <t>The frequency dependence of the coupling of niobium superconducting transmission lines is measured for frequencies up to and above the superconducting gap frequency. For this purpose superconducting microstrips are integrated in log-periodic planar antennas and the spectral response is measured by means of a Fourier transform spectrometer with 1 Œºm2 Nb/Al2O3/Nb SIS junctions as detectors. Resonances of microstrips are observed up to 650 GHz, the superconducting gap frequency of niobium, but above that frequency no resonances have been detected. The measured resonance frequencies are in good agreement with a dispersive model for superconducting transmission lines based on the Mattis-Bardeen theory. The radiation coupling is lower than calculated, indicating significant dielectric losses.</t>
  </si>
  <si>
    <t>249-251</t>
  </si>
  <si>
    <t>60010023;60010023;60001512;60001512;60001512;60001512;60001512</t>
  </si>
  <si>
    <t>6506742757;7004891764;55934729100;6603069193;6603871305;6602395815;7801650785</t>
  </si>
  <si>
    <t>Dierichs, M. M.T.M.;Feenstra, B. J.;Skalare, A.;Honingh, C. E.;Mees, J.;Stadt, H. V.D.;Graauw, Th De</t>
  </si>
  <si>
    <t>Evaluation of niobium transmission lines up to the superconducting gap frequency</t>
  </si>
  <si>
    <t>10.1063/1.110356</t>
  </si>
  <si>
    <t>2-s2.0-33750517515</t>
  </si>
  <si>
    <t>['well adapted', 'wave accessibility', 'traditional difficulties', 'plasma density', 'omega cd', 'next generation', 'minority species', 'lhcd systems', 'lhcd allows', 'latest developments', 'large tokamaks', 'jet results', 'jet icrh', 'issues relevant', 'icrh allows', 'icrh acceleration', 'finally consider', 'feedback controls', 'fast electrons', 'experimental results', 'authors demonstrate', 'antenna coupling']</t>
  </si>
  <si>
    <t>The latest developments of the JET ICRH and LHCD systems are reviewed. Feedback controls have alleviated the traditional difficulties with plasma-antenna coupling. Experimental results on high plasma performance, basic confinement aspects and issues relevant to the next generation of tokamaks are described. ICRH allows a narrow power deposition profile to be localised at will independently of the plasma density and size. The authors demonstrate that in large tokamaks, the constraint to use a minority species can be removed and heating a balanced D/T mixture at omega = omega CD in ITER is proposed. LHCD allows the highest current efficiency to be obtained. The conditions for wave accessibility are discussed in light of the JET results. LHCD is well adapted to save volt seconds in the current rise phase. The observed synergistic LHCD/ICRH acceleration of fast electrons is a promising route towards higher current drive efficiency but raises unresolved physics aspects which are analysed. They finally consider the prospects of a steady state fusion reactor.</t>
  </si>
  <si>
    <t>60025104;60025104;60025104</t>
  </si>
  <si>
    <t>7005524697;7102660576;7006674222</t>
  </si>
  <si>
    <t>Jacquinot, J.;Bhatnagar, V. P.;Gormezano, C.</t>
  </si>
  <si>
    <t>Jacquinot J.</t>
  </si>
  <si>
    <t>JET recent results on wave heating and current drive consequences for future devices</t>
  </si>
  <si>
    <t>10.1088/0741-3335/35/SA/003</t>
  </si>
  <si>
    <t>2-s2.0-36149028609</t>
  </si>
  <si>
    <t>['vertical control', 'various low', 'turn typical', 'synergy appears', 'simultaneously monitoring', 'similar value', 'significant asymmetry', 'seen reliably', 'predominantly n', 'plasma vertical', 'plasma current', 'neural network', 'inferred net', 'horizontal position', 'fundamental resonance', 'four mirror', 'first time', 'feedback control', 'discrete elm', 'discharges revealing', 'current profile', 'current drive', 'comparing co', 'cause loss', 'approximately 0', '60 ghz', '4 volts']</t>
  </si>
  <si>
    <t>Electron cyclotron current drive experiments have been carried out in Compass-D using a power of approximately 500 kW at a frequency of 60 GHz. The fundamental resonance was used and the waves were launched from the high field side of the torus through four mirror-antennae. Significant asymmetry in the loop voltage behaviour is observed when comparing co and counter current drive cases, suggesting a driven current approximately 15 kA (in a plasma current of 130 kA). The BANDIT-3D Fokker Planck code has been used to model these discharges revealing a similar value for the predicted driven current at zero loop voltage but strong synergistic effects with the toroidal electric field at the approximately 0.4 Volts/turn typical of the experiments. This synergy appears to be sufficient to explain the inferred net 'co' current drive in most of the 'counter' current drive shots. In H-mode discharges featuring a strongly asymmetric single null separatrix configuration, discrete ELM's sometimes produce sufficient relaxation of the current profile to cause loss of vertical control, leading to vertical displacement events. Application of resonant magnetic perturbations (RMPs) of predominantly n=1 (with various low m values) is seen reliably to increase the frequency of the ELM's, although the exact mechanism underlying this effect has still to be elucidated. A real-time electronic neural network has been used for the first time for feedback control of the equilibrium in a tokamak. The neural network was used for feedback control of the plasma elongation throughout the discharge, while simultaneously monitoring the plasma vertical and horizontal position.</t>
  </si>
  <si>
    <t>SB</t>
  </si>
  <si>
    <t>Todd, T. N.</t>
  </si>
  <si>
    <t>United Kingdom Atomic Energy Authority</t>
  </si>
  <si>
    <t>Todd T.</t>
  </si>
  <si>
    <t>MHD control and ECCD in Compass-D</t>
  </si>
  <si>
    <t>10.1088/0741-3335/35/SB/019</t>
  </si>
  <si>
    <t>2-s2.0-36149029173</t>
  </si>
  <si>
    <t>['well predicted', 'strap antenna', 'sawtooth behavior', 'probably due', 'performed using', 'neutral injection', 'multiple passes', 'electron trapping', 'currents driven', 'bootstrap current', 'antenna straps', '60 mhz', '60 ghz', '5 %.', '100 ka', '1 mw']</t>
  </si>
  <si>
    <t>Current drive experiments have been performed on the DIII-D tokamak using fast waves, electron cyclotron waves, and neutral injection. Fast wave experiments were performed using a 4-strap antenna with 1 MW of power at 60 MHz. These experiments showed effective heating of electrons, with a global heating efficiency equivalent to that of neutral injection even when the single pass damping was calculated to be as small as 5%. The damping was probably due to the effect of multiple passes of the wave through the plasma. Fast wave current drive experiments were performed with a toroidally directional phasing of the antenna straps. Currents driven by fast wave current drive (FWCD) in the direction of the main plasma current of up to 100 kA were found, not including a calculated 40 kA of bootstrap current. Experiments with FWCD in the counter current direction showed little current drive. In both cases, changes in the sawtooth behavior and the internal inductance qualitatively support the measurement of FWCD. Experiments on electron cyclotron current drive have shown that 100 kA of current can be driven by 1 MW of power at 60 GHz. Calculation with a Fokker-Planck code show that electron cyclotron current drive (ECCD) can be well predicted when the effects of electron trapping and of the residual electric field are included.</t>
  </si>
  <si>
    <t>60013901;;60013901;60013901;;;60013901;60013901;;60013901;;60013901;;60013901;60013901;</t>
  </si>
  <si>
    <t>7004204756;22971245200;35074760600;7003617702;7006050699;7004436911;7202291663;7003507968;7005081677;8535353900;7402222174;6603627410;7202656118;6604087842;7006251976;7003461468</t>
  </si>
  <si>
    <t>Prater, R.;James, R. A.;Petty, C. C.;Pinsker, R. I.;Porkolab, M.;Baity, F. W.;Chiu, S. C.;DeGrassie, J. S.;Goulding, R. H.;Harvey, R. W.;Hoffman, D. J.;Ikezi, H.;Kawashima, H.;Lin-Liu, Y. R.;Luce, T. C.;Trukhin, V.</t>
  </si>
  <si>
    <t>Prater R.</t>
  </si>
  <si>
    <t>Current drive with fast waves, electron cyclotron waves, and neutral injection in the DIII-D tokamak</t>
  </si>
  <si>
    <t>10.1088/0741-3335/35/SA/004</t>
  </si>
  <si>
    <t>2-s2.0-36149036025</t>
  </si>
  <si>
    <t>['uniform within', 'uniform plasma', 'plasma density', 'permanent magnets', 'microwave power', 'electron temperature', 'almost proportional', '8 ev', '30 cm', '100 w']</t>
  </si>
  <si>
    <t>A uniform plasma is produced by a new plane slotted antenna with permanent magnets for the electron cyclotron resonance. The plasma is uniform within a few percent in a diameter of 25-30 cm at a distance of 25-30 cm from the antenna. The plasma density, 1.5√ó1010 cm-3 with electron temperature of 1.8 eV at a microwave power of 100 W, is almost proportional to the microwave power. A magnetic distribution provided by the magnets is essential for producing such a uniform plasma.</t>
  </si>
  <si>
    <t>7404180063;7006228562;7403388429;7202461955</t>
  </si>
  <si>
    <t>Sato, N.;Iizuka, S.;Nakagawa, Y.;Tsukada, T.</t>
  </si>
  <si>
    <t>Sato N.</t>
  </si>
  <si>
    <t>Uniform plasma produced by a plane slotted antenna with magnets for electron cyclotron resonance</t>
  </si>
  <si>
    <t>10.1063/1.108661</t>
  </si>
  <si>
    <t>2-s2.0-36449001440</t>
  </si>
  <si>
    <t>['ybco scatterers', 'ybco loop', 'small increases', 'single loop', 'mutual resistance', 'matching networks', 'largest increase', 'greater extent', 'gain enhancements', 'fields backscattered', 'elements reduces', 'copper loop', 'copper elements', 'backscattered fields']</t>
  </si>
  <si>
    <t>The fields backscattered from arrays of electrically small copper and YBCO superconducting loops are measured and compared with moment method predictions to confirm the gain enhancements and changes in Q factors due to increasing the efficiencies of the antenna elements alone, without the influence of feed and matching networks. Measurements on coplanar and parallel loop arrays show only small increases in the backscattered fields of the YBCO scatterers, with the largest increase in efficiency being for the single loop. The mutual resistance between elements reduces the benefit of adding more elements to a YBCO loop, to a greater extent than when copper elements are added to a copper loop.</t>
  </si>
  <si>
    <t>2914-2918</t>
  </si>
  <si>
    <t>60001881;60001881;60001881;60001881;60024415</t>
  </si>
  <si>
    <t>6701323282;55328764600;7007084505;7401707506;35417096700</t>
  </si>
  <si>
    <t>Khamas, S. K.;Cook, G. G.;Kingsley, S. P.;Woods, R. C.;Alford, N. Mc N.</t>
  </si>
  <si>
    <t>Amsterdam;Sheffield</t>
  </si>
  <si>
    <t>Akzo Nobel N.V.;The University of Sheffield</t>
  </si>
  <si>
    <t>60024415;60001881</t>
  </si>
  <si>
    <t>Khamas S.</t>
  </si>
  <si>
    <t>Investigation of the enhanced efficiencies of small superconducting loop antenna elements</t>
  </si>
  <si>
    <t>10.1063/1.354647</t>
  </si>
  <si>
    <t>2-s2.0-36449002106</t>
  </si>
  <si>
    <t>['thz radiation', 'thz pulse', 'temporal evolution', 'radiated pulses', 'giving rise', 'dipole antenna', 'carrier transport']</t>
  </si>
  <si>
    <t>We demonstrate a new ultrafast pump-probe technique using terahertz pulses to investigate carrier transport and screening in semiconductors. As an example we have studied the temporal evolution of the local electric field in a dipole antenna, used for generation of ultrafast terahertz pulses. Ultrafast screening effects are shown to be important for both carrier transport and the emission of THz radiation. At high carrier densities the external bias field is screened on a time scale comparable to the duration of the THz pulse, giving rise to changes in the shape and bandwidth of the radiated pulses.</t>
  </si>
  <si>
    <t>1265-1267</t>
  </si>
  <si>
    <t>60019160;60019160;60019160;60019160;60019160;60033202;60033202</t>
  </si>
  <si>
    <t>57216247389;7004023074;7005047934;6603136726;35560442800;22995415800;7004888763</t>
  </si>
  <si>
    <t>Pedersen, J. E.;Lyssenko, V. G.;Hvam, J. M.;Jepsen, P. Uhd;Keiding, S. R.;Sorensen, C. B.;Lindelof, P. E.</t>
  </si>
  <si>
    <t>H. C. √òrsted Institute;Syddansk Universitet</t>
  </si>
  <si>
    <t>60033202;60019160</t>
  </si>
  <si>
    <t>Ultrafast local field dynamics in photoconductive THz antennas</t>
  </si>
  <si>
    <t>10.1063/1.108702</t>
  </si>
  <si>
    <t>2-s2.0-36449004812</t>
  </si>
  <si>
    <t>['radiating dipoles', 'quantum wells', 'periodic arrays', 'enhanced directivity', 'algaas half']</t>
  </si>
  <si>
    <t>Our investigations on the photoluminescence from InGaAs/AlGaAs half-wave periodic quantum wells show an enhanced directivity, and suppression of transverse amplified spontaneous emission. These properties are explained by a model that treats the quantum wells as periodic arrays of radiating dipoles, like]] directional antennas" for the micro- and radio frequency regimes. Such quantum optic structures have potential for efficient optical amplifiers and external cavity broad area semiconductor lasers.</t>
  </si>
  <si>
    <t>1434-1436</t>
  </si>
  <si>
    <t>60006951;60006951</t>
  </si>
  <si>
    <t>55397214400;6603372391</t>
  </si>
  <si>
    <t>Raja, M. Y.A.;Aktas, Y.</t>
  </si>
  <si>
    <t>Charlotte</t>
  </si>
  <si>
    <t>The University of North Carolina at Charlotte</t>
  </si>
  <si>
    <t>Raja M.</t>
  </si>
  <si>
    <t>Directionality in photoluminescence from Œª/2 periodic quantum wells</t>
  </si>
  <si>
    <t>10.1063/1.354903</t>
  </si>
  <si>
    <t>2-s2.0-36449007098</t>
  </si>
  <si>
    <t>['wave admittance', 'several examples', 'reactive impedance', 'radiation resistance', 'plasma loading', 'method allows', 'medium towards', 'matching problem', 'hot plasma', 'elegant solution', 'completely characterized', 'arbitrary shape', 'antenna radiates', '1984 ),']</t>
  </si>
  <si>
    <t>The technique of impedance and admittance matrices allows a simple and elegant solution of the problem of radiation from antennas of arbitrary shape and orientation in plane stratified geometry. The medium towards which the antenna radiates is completely characterized by the values of these matrices at its surface, which for a hot plasma in the IC frequency range the author obtains numerically in the finite Larmor radius approximation. In vacuum, the wave admittance and impedance matrices obey simple transformation rules, which are used to solve the matching problem for arbitrary source currents. Combined with the variational approach originally developed for the case of fast wave launching by Teilhaber and Jacquinot (1984), this method allows the determination of the self-consistent current distribution in the antenna, its radiation resistance and its reactive impedance. The flexibility of the approach is illustrated by several examples, both without and with plasma loading.</t>
  </si>
  <si>
    <t>41-62</t>
  </si>
  <si>
    <t>Modelling loop antennas for HF plasma heating in the ion cyclotron frequency range</t>
  </si>
  <si>
    <t>10.1088/0741-3335/35/1/004</t>
  </si>
  <si>
    <t>2-s2.0-3743072058</t>
  </si>
  <si>
    <t>['systems enables', 'rod array', 'resulting launcher', 'present technology', 'performance achieved', 'necessary improvements', 'icrh system', 'electric field', 'author reviews', 'attractive method', 'also reviewed']</t>
  </si>
  <si>
    <t>Radio frequency methods of heating and noninductive current drive have become well established and are likely to be part of any next-step Tokamak programme. The author reviews the development of antennae for ion cyclotron heating and developments to enhance the effectiveness of fast wave current drive systems. The performance achieved by systems enables the provision of an ICRH system for next step devices within the existing technology limits. The main lower hybrid current drive systems are also reviewed. Present operating limits suggest that the design power density at the grill in large multijunction launchers must be somewhat reduced due to peaking of the electric field. The resulting launcher for a next step machine based on present technology is a large is a large and highly complex device. Development of proposals such as the rod array or the hyperguide, in parallel with necessary improvements in the current drive efficiency would make lower hybrid a more attractive method of noninductive current drive for the next step machines.</t>
  </si>
  <si>
    <t>Kaye, A. S.</t>
  </si>
  <si>
    <t>Kaye A.</t>
  </si>
  <si>
    <t>Progress in ICRH and lower hybrid launcher development</t>
  </si>
  <si>
    <t>10.1088/0741-3335/35/SA/005</t>
  </si>
  <si>
    <t>2-s2.0-4244164317</t>
  </si>
  <si>
    <t>['¬∑ qa2', '¬∑ qa', '¬© 1994', 'triplet states', 'state p680', 'special plastoquinone', 'sodium dithionite', 'singlet excited', 'reaction centres', 'radical pair', 'ps ii', 'primary donor', 'primary acceptor', 'photosystem ii', 'pheophytin );', 'p680 ¬∑', 'p .)', 'nearest antenna', 'magnetosensitive stages', 'magnetic field', 'intrinsic fluorescence', 'intermediate acceptor', 'following conclusions', 'excitation energy', 'exchange interaction', 'electron transfer', 'chlorophyll molecule', 'authors investigate', 'activation energy', '32 ns', '12 oe', '12 ns', '1 respectively', '1 ns', '046 ev', '-) amounts']</t>
  </si>
  <si>
    <t>The authors investigate the magnetosensitive stages of electron transfer at the reaction centres of photosystem II (RC of PS II) in the cells of the mutants of the unicellular green alga Chlamydomonas reinhardii (ACC-66, ACC-98, ACC-238) containing only RC of PS II and their nearest antenna. From the results the following conclusions are drawn: (a) change in the yield of fluorescence in the magnetic field is governed by the processes of recombination of the radical pair (r.p.) (P680+ I- where P680 is the primary donor, chlorophyll molecule; I is the intermediate acceptor, pheophytin); (b) the level of exchange interaction in the r.p. (P680+ I-) amounts to 12 Oe (3.4 √ó 107 s-1) which corresponds to a distance between P680 and I of about 10 √Ö; (c) the recombination rate constants of the r.p. (P680+ I-) with formation of singlet excited, ground and triplet states of P680 at 293 K amount to: ks = 0.3-0.32 ns-1; kg = 0.1-0.12 ns-1, kt = 0.9-1.1 ns-1 respectively; the value of the activation energy of the reaction of (P680+ I-) ‚Üí P680* ¬∑ I is equal to 0.04-0.046 eV; and (d) increase in the yield of fluorescence on passage of the RC of PS II both to the state P680¬∑I¬∑QA- (QA- is a primary acceptor, a special plastoquinone) and P680¬∑I¬∑QA2- is due to the contribution of delayed luminescence appearing on recombination of the r.p. (P680+ I-) and rise in the yield of the intrinsic fluorescence of antennal chlorophyll brought about by a drop in the efficiency of capture of the excitation energy by the reaction centres. It is assumed that transfer from I- to QAH* is possible (the state P680 I QAH* forms in the dark in the presence of sodium dithionite in concentrations above 20 mM). ¬© 1994.</t>
  </si>
  <si>
    <t>813-820</t>
  </si>
  <si>
    <t>Biophysics</t>
  </si>
  <si>
    <t>60021331;60021331;60021331</t>
  </si>
  <si>
    <t>24313443100;6602176303;7004713280</t>
  </si>
  <si>
    <t>Sevdimaliyev, R. M.;Voznyak, V. M.;Ladygin, V. G.</t>
  </si>
  <si>
    <t>Sevdimaliyev R.M.</t>
  </si>
  <si>
    <t>Magnetosensitive stage of electron transfer in the primary reactions of photosystem II of Chlamydomonas reinhardii mutants</t>
  </si>
  <si>
    <t>000635099390161H</t>
  </si>
  <si>
    <t>2-s2.0-43949174697</t>
  </si>
  <si>
    <t>['simple method', 'simple interchange', 'radiation distribution', 'ground plane', 'either mode', 'configuring center', 'capacitor plates', 'antenna masts']</t>
  </si>
  <si>
    <t>A simple method of configuring center-fed crossed dipoles as either horizontal dipoles emitting circularly polarized radiation toward zenith or top-loaded dipoles forcing vertically polarized radiation along the ground plane is outlined. Either mode of operation was selected by a simple interchange of impedance matching circuits at the base of antenna masts. The radiation distribution of the top-loaded vertical dipoles is analogous to that produced by the alternating displacement current between capacitor plates.</t>
  </si>
  <si>
    <t>585-586</t>
  </si>
  <si>
    <t>7006381300;23017420300;57198216055</t>
  </si>
  <si>
    <t>Parkinson, Murray;Whitehead, David;Wilson, John</t>
  </si>
  <si>
    <t>Parkinson M.</t>
  </si>
  <si>
    <t>Crossed horizontal dipoles configured as top-loaded vertical dipoles transmitting high-frequency radiation in the ground plane</t>
  </si>
  <si>
    <t>10.1063/1.1144470</t>
  </si>
  <si>
    <t>2-s2.0-5244288215</t>
  </si>
  <si>
    <t>['unknown temperature', 'total noise', 'thermal contact', 'q antennae', 'q antenna', 'placed close', 'nonconductive contamination', 'moving objects', 'g .,', 'different frequencies', 'conductive material', 'antenna impedance']</t>
  </si>
  <si>
    <t>We describe a new noncontacting method for measuring the temperature of electrically conducting objects by sensing the magnetic field noise. When a high-Q antenna is placed close to a conductive material, e.g., a hot metal plate, the effective noise temperature of the antenna becomes proportional to the temperature of the material. Contrary to the conventional noise thermometer in which a resistor is embedded in the material, the method requires neither galvanic nor thermal contact. If the antenna impedance at different frequencies is known, the temperature of the object can be calculated from the total voltage noise of the antenna. We show, however, that for high-Q antennae the knowledge of the impedance at resonance is adequate to determine the unknown temperature. Consequently, the temperature of moving objects can be measured via synchronous monitoring of the total noise of the antenna and its impedance at resonance. Since only electrically conductive objects create magnetic field noise, the method is immune to nonconductive contamination of the surface.</t>
  </si>
  <si>
    <t>771-776</t>
  </si>
  <si>
    <t>60033191;60033191</t>
  </si>
  <si>
    <t>56269171000;6603792758</t>
  </si>
  <si>
    <t>Sepp√§, Heikki;Varpula, Timo</t>
  </si>
  <si>
    <t>VTT Technical Research Centre of Finland</t>
  </si>
  <si>
    <t>Sepp√§ H.</t>
  </si>
  <si>
    <t>Inductive noise thermometer: Theoretical aspects</t>
  </si>
  <si>
    <t>10.1063/1.354865</t>
  </si>
  <si>
    <t>2-s2.0-5244358372</t>
  </si>
  <si>
    <t>['vehicle speed', 'science publishers', 'moving antenna', 'modulation specified', 'delay spread', 'baltzer ag']</t>
  </si>
  <si>
    <t>Recent results relating the channel bit rate to the variability of received signal strength at a moving antenna in dense scatterers stimulated a renewed critical interest in the modulation specified for the Pan-European GSM cellular radio link. Cogent questions arise concerning link performance at the extremes of vehicle speed and delay spread. ¬© 1993 J.C. Baltzer AG, Science Publishers.</t>
  </si>
  <si>
    <t>399-403</t>
  </si>
  <si>
    <t>Telecommunication Systems</t>
  </si>
  <si>
    <t>Amoroso, Frank</t>
  </si>
  <si>
    <t>Comments on Pan-European GSM signal modulation</t>
  </si>
  <si>
    <t>10.1007/BF02109867</t>
  </si>
  <si>
    <t>2-s2.0-5844363173</t>
  </si>
  <si>
    <t>['¬© 1993', 'saccharide antennae', 'rights reserved', 'monomethyl nonanedicarboxylate', 'macrocycle via', 'fucose linked', 'francis group', 'cyclodextrin derivatives', 'cd cavity']</t>
  </si>
  <si>
    <t>The synthesis of monosubstituted/1-cyclodextrin derivatives having the monosaccharides,/J-D-glucose,/l-D-galactose, a-D-mannose, p-L and/1-D-fucose linked to the macrocycle via a C9 spacer chain is described. The approach is based on the highly efficient coupling of the NCS sugar derivatives to monomethyl nonanedicarboxylate to generate a stable amido linkage. The NMR studies show the saccharide antennae to be oriented into the environment and not towards the CD cavity. ¬© 1993, Taylor &amp; Francis Group, LLC. All rights reserved.</t>
  </si>
  <si>
    <t>Supramolecular Chemistry</t>
  </si>
  <si>
    <t>6701540302;24299012100;7201966874</t>
  </si>
  <si>
    <t>Parrot-Lopez, H√©l√©ne;Leray, Eric;Coleman, Anthony W.</t>
  </si>
  <si>
    <t>Parrot-Lopez H.</t>
  </si>
  <si>
    <t>New Œ≤-cyclodextrin derivatives possessing biologically active saccharide antennae</t>
  </si>
  <si>
    <t>10.1080/10610279308029836</t>
  </si>
  <si>
    <t>2-s2.0-84963436258</t>
  </si>
  <si>
    <t>['¬© 1994', 'wind loads', 'systematic approach', 'structural behavior', 'structural analysis', 'special emphasis', 'often unjustified', 'modeling concerns', 'inherent nonlinearity', 'ice loading', 'disastrous failures', 'conclusions drawn', 'accuracy required']</t>
  </si>
  <si>
    <t>The inherent nonlinearity in the structural behavior of guyed towers leads to difficulties in their structural analysis, and prevents the formulation of a general-purpose design methodology. As a result, simplifying analysis assumptions regarding the loading and the modeling of structural behavior have to be made, and approximate design methods are used, that are often unjustified, and can lead to disastrous failures. In this paper, the authors first summarize the results of an investigation they carried out on the collapse of a 1900 ft tall guyed tower under ice and wind loads. Based on this investigation, they then proceed to present some structural analysis recommendations relating to loading and modeling concerns. Special emphasis is placed on the importance of ice loading, and on the level of accuracy required in modeling the nonlinear response behavior. Finally, the conclusions drawn from this study are used to formulate preliminary design guidelines. This facilitates a systematic approach for the design of tall guyed towers. ¬© 1994.</t>
  </si>
  <si>
    <t>797-805</t>
  </si>
  <si>
    <t>;105785796;60022195;</t>
  </si>
  <si>
    <t>35610415700;57197582025;7401851776;6506692366</t>
  </si>
  <si>
    <t>Gantes, C.;Khoury, R.;Connor, J. J.;Pouangare, C.</t>
  </si>
  <si>
    <t>Cambridge;Cambridge</t>
  </si>
  <si>
    <t>Massachusetts Institute of Technology;Engineering Information Technology</t>
  </si>
  <si>
    <t>60022195;105785796</t>
  </si>
  <si>
    <t>Gantes C.</t>
  </si>
  <si>
    <t>Modeling, loading, and preliminary design considerations for tall guyed towers</t>
  </si>
  <si>
    <t>004579499390027B</t>
  </si>
  <si>
    <t>10.1016/0045-7949(93)90027-B</t>
  </si>
  <si>
    <t>2-s2.0-0027907997</t>
  </si>
  <si>
    <t>['¬© 1993', 'values may', 'unknown contribution', 'two forms', 'times lower', 'stabilising b820', 'spectra published', 'possible requirement', 'possible interactions', 'partial dissociation', 'observe reconstitution', 'new method', 'isolated b875', 'infrared region', 'hydrophobic chromatography', 'gel matrix', 'gel filtration', 'gel chromatography', 'chromatographic conditions', 'cd spectra', 'carotenoid content', 'carotenoid composition', 'b820 antenna', 'ammonium sulphate', 'absorbance maximum', '845 nm', '600 kda', '40 kda', '25 kda', '130 kda']</t>
  </si>
  <si>
    <t>(Rc. gelatinosus) | B875 | Carotenoid | Light-harvesting complex | Photosynthesis | Purple bacterium</t>
  </si>
  <si>
    <t>We present a new method of preparation for Rhodocyclus gelatinosus light-harvesting complex B875 and its subunit form B820, without prior extraction of carotenoids from chromatophores. This method was based on partial dissociation of isolated B875 into B820 during hydrophobic chromatography in presence of ammonium sulphate. The two forms were then separated by gel chromatography in presence of this salt, which was required for stabilising B820. Carotenoid composition was determined for each form. B875 contained two hydroxyspheroidene molecules per bacteriochlorophyll dimer. Carotenoid content of B820 was about 5-times lower, and variable, indicating that most of this pigment was lost during the formation of B820. The apparent molecular mass of B820 antenna, determined by gel filtration, was 18-25 kDa. For B875 several values were obtained, depending on chromatographic conditions (protein and ammonium sulphate concentrations): &gt; 600 kDa, 130 kDa and 35-40 kDa. These values may be inaccurate, because of the unknown contribution of detergent and possible interactions between the protein and the gel matrix. The results, however, indicated that B875 could present several states of aggregation, and that B820 has a smaller apparent molecular mass. Absorbance and CD spectra were measured and compared with spectra published for other species. We did not observe reconstitution of the original B875 form by increasing B820 concentration or decreasing ammonium sulphate concentration. However, another spectral form with absorbance maximum between 830-845 nm was observed, with a CD spectrum different in the infrared region from that of B820. A possible requirement of carotenoid for reassociation of B820 into B875 is discussed. ¬© 1993.</t>
  </si>
  <si>
    <t>301-308</t>
  </si>
  <si>
    <t>6506700135;56616617400</t>
  </si>
  <si>
    <t>Jirsakova, Vladimira;Reiss-Husson, Fran√ßoise</t>
  </si>
  <si>
    <t>Jirsakova V.</t>
  </si>
  <si>
    <t>Isolation and characterisation of the core light-harvesting complex B875 and its subunit form, B820, from Rhodocyclus gelatinosus</t>
  </si>
  <si>
    <t>0005-2728(93)90231-4</t>
  </si>
  <si>
    <t>10.1016/0005-2728(93)90231-4</t>
  </si>
  <si>
    <t>2-s2.0-0027738797</t>
  </si>
  <si>
    <t>['¬© 1993', 'vibrational band', 'upon dissociation', 'subunit form', 'subunit b820', 'stretch region', 'similar changes', 'resonance frequency', 'reassoc ).', 'prepared using', 'possible models', 'porphyrin rings', 'native complex', 'like b873', 'hydrogen bonding', 'different detergent', 'core antenna', 'completely different', 'attributed solely', 'antenna complex', 'also effects', 'additional perturbation', 'acetyl groups', '1700 cm', '1640 cm', '1625 cm']</t>
  </si>
  <si>
    <t>The resonance Raman spectrum in the carbonyl-stretch region (1600-1700 cm-1) of the B820(OG) subunit form is completely different from the original core antenna complex of Rhodospirillum rubrum G9. The observed changes appear to be fully reversible upon reassociation of the B820(OG) subunits into the native-like B873(reassoc). This allows direct conclusions regarding the BChl a binding-site in the antenna complex. In the native complex all 2-acetyl carbonyl groups are hydrogen bonded since only a single resonance peak is observed at 1640 cm-1. When the core antenna is dissociated into its subunit B820(OG) form, half of this vibrational band is shifted to 1625 cm-1, indicating that approx. 50% of the 2-acetyl groups of the BChl a porphyrin rings have changed their hydrogen bond interaction. Besides these changes, there are also effects in the resonance frequency of the 9-keto carbonyl group that indicate that, upon dissociation, a fraction of these groups becomes free from interactions. Similar changes are observed for the B820(ODPS) subunit that is prepared using a different detergent. The spectral shifts upon dissociation cannot be attributed solely to the change in hydrogen bonding, suggesting that an additional perturbation of the BChl a binding-site takes place. Possible models for the hydrogen bonding of these groups are discussed. ¬© 1993.</t>
  </si>
  <si>
    <t>369-373</t>
  </si>
  <si>
    <t>60008734;60008734;60019615</t>
  </si>
  <si>
    <t>7004878962;35599806700;7103125115</t>
  </si>
  <si>
    <t>Visschers, Ronald W.;Grondelle, Rienk van;Robert, Bruno</t>
  </si>
  <si>
    <t>France;Netherlands</t>
  </si>
  <si>
    <t>Gif-sur-Yvette;Amsterdam</t>
  </si>
  <si>
    <t>CEA Saclay;Vrije Universiteit Amsterdam</t>
  </si>
  <si>
    <t>60019615;60008734</t>
  </si>
  <si>
    <t>Resonance Raman spectroscopy of the B820 subunit of the core antenna from Rhodospirillum rubrum G9</t>
  </si>
  <si>
    <t>10.1016/0005-2728(93)90241-7</t>
  </si>
  <si>
    <t>2-s2.0-0027745943</t>
  </si>
  <si>
    <t>['¬© 1993', 'using time', 'two states', 'states q', 'state p', 'room temperature', 'relatively large', 'reaction centers', 'quinone composition', 'qb activity', 'ph independent', 'moderately halophilic', 'mobilis rcs', 'mean value', 'low temperature', 'lh1 complexes', 'layer chromatography', 'isolated e', 'increasing ph', 'functional reconstitution', 'electron tunnelling', 'decay kinetics', 'charge recombination', 'average lifetime', 'average 167', 'also evident', '5 ms', '450 nm', '130 mev']</t>
  </si>
  <si>
    <t>(E. mobilis) | Anoxygenic photosynthesis | Charge recombination | Electron transfer | Pigment-protein complex | Quinone electron acceptor | Reaction center</t>
  </si>
  <si>
    <t>Reaction centers (RCs) with one antenna complex attached (RC/LH1 complexes) were isolated from the alkaliphilic and moderately halophilic, phototrophic purple sulfur bacterium Ectothiorhodospira (E.) mobilis and analyzed with respect to quinone composition and charge recombination kinetics, using time-resolved (low- and room-temperature) spectroscopy and thin-layer chromatography. The RCs contain menaquinone as primary and ubiquinone as secondary quinone electron acceptor, QA and QB, respectively. QB is lost during isolation of the RC/LH1 complexes. P+Q-A charge recombination kinetics, which were shown to be pH independent, were only slightly temperature dependent, indicating that this recombination proceeds via the direct (electron tunnelling) route. At room temperature, its average lifetime was 34.5 ms. These decay kinetics were shown to be monophasic at room temperature and biphasic at low temperature. Addition of an excess of UQ6 to RC/LH1 complexes resulted in retardation of the P+ recovery, due to charge recombination of the state P+QAQ-B. Functional reconstitution of QB was also evident from flash-induced binary oscillations at 450 nm, which could be observed in RC/LH1 complexes in the presence of an excess of UQ6. This reconstitution of QB activity was, however, incomplete and decreased with increasing pH. The P+QAQ-B decay kinetics were pH independent; the average lifetime was about 6 s at room temperature. The apparent equilibrium constant K2 between the states Q-AQB and QAQ-B, and consequently the free energy difference between these states, were relatively large and pH independent. K2 was on average 167, whereas the mean value of the free energy difference between the two states was 130 meV. Finally, a scheme is presented for the kinetics and free energy changes of the electron transfer steps in isolated E. mobilis RCs. ¬© 1993.</t>
  </si>
  <si>
    <t>292-300</t>
  </si>
  <si>
    <t>100333516;100521792;100521792;100333516;100333516</t>
  </si>
  <si>
    <t>6507777239;6701617079;57050202300;7003813456;7006111539</t>
  </si>
  <si>
    <t>Leguijt, Tina;Parot, Pierre;Verm√©glio, Andr√©;Crielaard, Wim;Hellingwerf, Klaas J.</t>
  </si>
  <si>
    <t>Saint Paul lez Durance;Amsterdam</t>
  </si>
  <si>
    <t>DPVE;E.C. Slater Institute</t>
  </si>
  <si>
    <t>100521792;100333516</t>
  </si>
  <si>
    <t>Leguijt T.</t>
  </si>
  <si>
    <t>Properties of the primary and secondary quinone electron acceptors in RC/LH&lt;inf&gt;1&lt;/inf&gt; complexes from the purple sulfur bacterium Ectothiorhodospira mobilis</t>
  </si>
  <si>
    <t>000527289390230D</t>
  </si>
  <si>
    <t>10.1016/0005-2728(93)90230-D</t>
  </si>
  <si>
    <t>2-s2.0-0027754129</t>
  </si>
  <si>
    <t>['western australia', 'verified experimentally', 'uwa detector', 'transfer function', 'simplifies calculations', 'set electro', 'seismic noise', 'representation enables', 'pump oscillator', 'proposed high', 'parametric transducer', 'observable amplitude', 'modulated conversions', 'modulated components', 'mechanical coupling', 'experimental data']</t>
  </si>
  <si>
    <t>A new lumped element model of a two-mode resonant bar antenna coupled to a parametric transducer is presented and verified experimentally. The capacitance-modulated cavity transducer is represented in scattering parameter form, and is augmented to include the observable amplitude- and phase-modulated components of the pump oscillator, which simplifies calculations of amplitude-modulated to phase-modulated and phase-modulated to amplitude- modulated conversions. This representation enables the definition of the amplitude-modulated and phase-modulated components of transducer electromechanical coupling. Theory is verified from experimental data from the detector at the University of Western Australia, which uses a superconducting re-entrant cavity transducer. Comparisons for a proposed high-Q sapphire transducer are presented and compared with the present re-entrant cavity transducer. This model allows us to optimize the transfer function of the UWA detector, minimizing the effect of seismic noise at a set electro-mechanical coupling. ¬© 1993 IOP Publishing Ltd.</t>
  </si>
  <si>
    <t>2276-2291</t>
  </si>
  <si>
    <t>60031806;60031806</t>
  </si>
  <si>
    <t>35377760800;22974326500</t>
  </si>
  <si>
    <t>Tobar, M. E.;Blair, D. G.</t>
  </si>
  <si>
    <t>Tobar M.</t>
  </si>
  <si>
    <t>Parametric transducers for resonant bar gravitational wave antennae</t>
  </si>
  <si>
    <t>10.1088/0022-3727/26/12/028</t>
  </si>
  <si>
    <t>2-s2.0-0027809744</t>
  </si>
  <si>
    <t>['uniaxial composites', 'technological applications', 'super cholesterics', 'step process', 'randomly dispersed', 'possible realizations', 'one another', 'helicoidal way', 'exact solutions', 'cholesteric material', 'analytic solutions', 'aligned parallel']</t>
  </si>
  <si>
    <t>Analytic solutions are presented for the propagation of electromagnetic waves along tine helical axis of a super-cholesteric material. The fabrication of such a material is envisaged as a two-step process: First, identical, electrically small objects (inclusions) characterized by uniaxial polarizability dyadics are randomly dispersed in an isotropic host medium, all objects being aligned parallel to one another, to form a composite. The composite is effectively a bianisotropic uniaxial medium, its uniaxial nature expressed through an optical director fixed in space. Second, layers of such uniaxial composites are stacked on top of each other such that the optical director varies from layer to layer in a helicoidal way so that the typical periodically inhomogeneous structure of a cholesteric liquid crystal emerges. Exact solutions for the axial wave propagation problem are obtained. Possible realizations and technological applications of the super cholesterics are discussed. ¬© 1993 IOP Publishing Ltd.</t>
  </si>
  <si>
    <t>2117-2122</t>
  </si>
  <si>
    <t>60001490;60001439</t>
  </si>
  <si>
    <t>7004335526;53877620200</t>
  </si>
  <si>
    <t>Weiglhofer, Werner S.;Lakhtakia, Akhlesh</t>
  </si>
  <si>
    <t>Glasgow;University Park</t>
  </si>
  <si>
    <t>University of Glasgow;Pennsylvania State University</t>
  </si>
  <si>
    <t>Weiglhofer W.</t>
  </si>
  <si>
    <t>Electromagnetic wave propagation in super-choiesteric materials parallel to the helical axis</t>
  </si>
  <si>
    <t>10.1088/0022-3727/26/12/004</t>
  </si>
  <si>
    <t>2-s2.0-0027836581</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</si>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</sst>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4"/>
      <sheetName val="199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C173-4002-6F41-833F-6D8E223D5D38}">
  <dimension ref="A1:AW194"/>
  <sheetViews>
    <sheetView tabSelected="1" topLeftCell="AC1" workbookViewId="0">
      <selection activeCell="AN2" sqref="AN2"/>
    </sheetView>
  </sheetViews>
  <sheetFormatPr baseColWidth="10" defaultRowHeight="16" x14ac:dyDescent="0.2"/>
  <sheetData>
    <row r="1" spans="1:49" s="11" customFormat="1" x14ac:dyDescent="0.2">
      <c r="A1" s="14"/>
      <c r="B1" s="14" t="s">
        <v>2353</v>
      </c>
      <c r="C1" s="14" t="s">
        <v>2352</v>
      </c>
      <c r="D1" s="14" t="s">
        <v>2351</v>
      </c>
      <c r="E1" s="14" t="s">
        <v>2350</v>
      </c>
      <c r="F1" s="14" t="s">
        <v>2349</v>
      </c>
      <c r="G1" s="14" t="s">
        <v>2348</v>
      </c>
      <c r="H1" s="14" t="s">
        <v>2347</v>
      </c>
      <c r="I1" s="14" t="s">
        <v>2346</v>
      </c>
      <c r="J1" s="14" t="s">
        <v>2345</v>
      </c>
      <c r="K1" s="14" t="s">
        <v>2344</v>
      </c>
      <c r="L1" s="14" t="s">
        <v>2343</v>
      </c>
      <c r="M1" s="14" t="s">
        <v>2342</v>
      </c>
      <c r="N1" s="14" t="s">
        <v>2341</v>
      </c>
      <c r="O1" s="14" t="s">
        <v>2340</v>
      </c>
      <c r="P1" s="14" t="s">
        <v>2339</v>
      </c>
      <c r="Q1" s="14" t="s">
        <v>2338</v>
      </c>
      <c r="R1" s="19" t="s">
        <v>2337</v>
      </c>
      <c r="S1" s="14" t="s">
        <v>2336</v>
      </c>
      <c r="T1" s="14" t="s">
        <v>2336</v>
      </c>
      <c r="U1" s="14" t="s">
        <v>2335</v>
      </c>
      <c r="V1" s="19" t="s">
        <v>2334</v>
      </c>
      <c r="W1" s="14" t="s">
        <v>2333</v>
      </c>
      <c r="X1" s="13" t="s">
        <v>2332</v>
      </c>
      <c r="Y1" s="18" t="s">
        <v>2331</v>
      </c>
      <c r="Z1" s="17" t="s">
        <v>2316</v>
      </c>
      <c r="AA1" s="14" t="s">
        <v>2330</v>
      </c>
      <c r="AB1" s="14" t="s">
        <v>2329</v>
      </c>
      <c r="AC1" s="14" t="s">
        <v>2328</v>
      </c>
      <c r="AD1" s="14" t="s">
        <v>2327</v>
      </c>
      <c r="AE1" s="14" t="s">
        <v>2326</v>
      </c>
      <c r="AF1" s="14" t="s">
        <v>2325</v>
      </c>
      <c r="AG1" s="14" t="s">
        <v>2324</v>
      </c>
      <c r="AH1" s="14" t="s">
        <v>2323</v>
      </c>
      <c r="AI1" s="14" t="s">
        <v>2322</v>
      </c>
      <c r="AJ1" s="14" t="s">
        <v>2321</v>
      </c>
      <c r="AK1" s="13" t="s">
        <v>2320</v>
      </c>
      <c r="AL1" s="14" t="s">
        <v>2319</v>
      </c>
      <c r="AM1" s="16" t="s">
        <v>2318</v>
      </c>
      <c r="AN1" s="15" t="s">
        <v>2317</v>
      </c>
      <c r="AO1" s="15" t="s">
        <v>2316</v>
      </c>
      <c r="AP1" s="14" t="s">
        <v>2315</v>
      </c>
      <c r="AQ1" s="14" t="s">
        <v>2314</v>
      </c>
      <c r="AR1" s="14" t="s">
        <v>2313</v>
      </c>
      <c r="AS1" s="14" t="s">
        <v>2312</v>
      </c>
      <c r="AT1" s="13" t="s">
        <v>2311</v>
      </c>
      <c r="AU1" s="12" t="s">
        <v>2310</v>
      </c>
      <c r="AV1" s="12" t="s">
        <v>2309</v>
      </c>
      <c r="AW1" s="12" t="s">
        <v>2308</v>
      </c>
    </row>
    <row r="2" spans="1:49" x14ac:dyDescent="0.2">
      <c r="A2">
        <v>0</v>
      </c>
      <c r="B2" t="s">
        <v>2307</v>
      </c>
      <c r="C2" t="s">
        <v>2306</v>
      </c>
      <c r="F2" t="s">
        <v>2305</v>
      </c>
      <c r="G2" t="s">
        <v>5</v>
      </c>
      <c r="H2" t="s">
        <v>4</v>
      </c>
      <c r="I2" t="s">
        <v>2304</v>
      </c>
      <c r="J2" t="s">
        <v>2299</v>
      </c>
      <c r="K2" t="s">
        <v>2303</v>
      </c>
      <c r="L2" t="s">
        <v>2302</v>
      </c>
      <c r="M2" t="s">
        <v>160</v>
      </c>
      <c r="N2">
        <v>2</v>
      </c>
      <c r="O2" t="s">
        <v>2301</v>
      </c>
      <c r="P2" t="s">
        <v>2300</v>
      </c>
      <c r="Q2" t="s">
        <v>2299</v>
      </c>
      <c r="R2" s="7">
        <v>34317</v>
      </c>
      <c r="S2" s="8">
        <f t="shared" ref="S2:S65" si="0">YEAR(R2)</f>
        <v>1993</v>
      </c>
      <c r="T2" s="8">
        <v>1993</v>
      </c>
      <c r="U2" s="8">
        <f t="shared" ref="U2:U65" si="1">2022-T2</f>
        <v>29</v>
      </c>
      <c r="V2" s="7">
        <v>34317</v>
      </c>
      <c r="W2" t="s">
        <v>249</v>
      </c>
      <c r="X2" s="2">
        <v>0.85699999999999998</v>
      </c>
      <c r="Y2" s="6">
        <f t="shared" ref="Y2:Y65" si="2">(X2-$Z$4)/($Z$3-$Z$4)</f>
        <v>2.287712554389899E-2</v>
      </c>
      <c r="AA2">
        <v>223727</v>
      </c>
      <c r="AB2">
        <v>28570</v>
      </c>
      <c r="AC2">
        <v>13616463</v>
      </c>
      <c r="AD2" t="s">
        <v>2</v>
      </c>
      <c r="AE2">
        <v>26</v>
      </c>
      <c r="AF2">
        <v>12</v>
      </c>
      <c r="AH2" t="s">
        <v>2298</v>
      </c>
      <c r="AI2" t="s">
        <v>2297</v>
      </c>
      <c r="AK2" t="s">
        <v>2296</v>
      </c>
      <c r="AL2">
        <v>18</v>
      </c>
      <c r="AM2" s="5">
        <f t="shared" ref="AM2:AM65" si="3">AL2/U2</f>
        <v>0.62068965517241381</v>
      </c>
      <c r="AN2" s="4">
        <f t="shared" ref="AN2:AN65" si="4">(AM2-$AO$4)/($AO$3-$AO$4)</f>
        <v>9.4008277951141816E-4</v>
      </c>
      <c r="AO2" s="3"/>
      <c r="AP2">
        <v>0</v>
      </c>
      <c r="AR2" t="s">
        <v>1</v>
      </c>
      <c r="AT2" s="2" t="s">
        <v>0</v>
      </c>
      <c r="AU2" s="1">
        <f t="shared" ref="AU2:AU65" si="5">(Y2*0.7+AN2*0.3)*100</f>
        <v>1.6296012714582717</v>
      </c>
      <c r="AV2" s="1">
        <f t="shared" ref="AV2:AV65" si="6">(Y2*0.5+AN2*0.5)*100</f>
        <v>1.1908604161705205</v>
      </c>
      <c r="AW2" s="1">
        <f t="shared" ref="AW2:AW65" si="7">(Y2*0.3+AN2*0.7)*100</f>
        <v>0.75211956088276899</v>
      </c>
    </row>
    <row r="3" spans="1:49" x14ac:dyDescent="0.2">
      <c r="A3">
        <v>1</v>
      </c>
      <c r="B3" t="s">
        <v>2295</v>
      </c>
      <c r="C3" t="s">
        <v>2294</v>
      </c>
      <c r="F3" t="s">
        <v>2293</v>
      </c>
      <c r="G3" t="s">
        <v>5</v>
      </c>
      <c r="H3" t="s">
        <v>4</v>
      </c>
      <c r="I3" t="s">
        <v>2292</v>
      </c>
      <c r="J3">
        <v>60031806</v>
      </c>
      <c r="K3" t="s">
        <v>251</v>
      </c>
      <c r="L3" t="s">
        <v>134</v>
      </c>
      <c r="M3" t="s">
        <v>52</v>
      </c>
      <c r="N3">
        <v>2</v>
      </c>
      <c r="O3" t="s">
        <v>2291</v>
      </c>
      <c r="P3" t="s">
        <v>2290</v>
      </c>
      <c r="Q3" t="s">
        <v>2289</v>
      </c>
      <c r="R3" s="7">
        <v>34317</v>
      </c>
      <c r="S3" s="8">
        <f t="shared" si="0"/>
        <v>1993</v>
      </c>
      <c r="T3" s="8">
        <v>1993</v>
      </c>
      <c r="U3" s="8">
        <f t="shared" si="1"/>
        <v>29</v>
      </c>
      <c r="V3" s="7">
        <v>34317</v>
      </c>
      <c r="W3" t="s">
        <v>249</v>
      </c>
      <c r="X3" s="2">
        <v>0.85699999999999998</v>
      </c>
      <c r="Y3" s="6">
        <f t="shared" si="2"/>
        <v>2.287712554389899E-2</v>
      </c>
      <c r="Z3">
        <v>37.460999999999999</v>
      </c>
      <c r="AA3">
        <v>223727</v>
      </c>
      <c r="AB3">
        <v>28570</v>
      </c>
      <c r="AC3">
        <v>13616463</v>
      </c>
      <c r="AD3" t="s">
        <v>2</v>
      </c>
      <c r="AE3">
        <v>26</v>
      </c>
      <c r="AF3">
        <v>12</v>
      </c>
      <c r="AH3" t="s">
        <v>2288</v>
      </c>
      <c r="AI3" t="s">
        <v>2287</v>
      </c>
      <c r="AK3" t="s">
        <v>2286</v>
      </c>
      <c r="AL3">
        <v>29</v>
      </c>
      <c r="AM3" s="5">
        <f t="shared" si="3"/>
        <v>1</v>
      </c>
      <c r="AN3" s="4">
        <f t="shared" si="4"/>
        <v>1.5145778114350624E-3</v>
      </c>
      <c r="AO3" s="3">
        <v>660.25</v>
      </c>
      <c r="AP3">
        <v>0</v>
      </c>
      <c r="AR3" t="s">
        <v>1</v>
      </c>
      <c r="AT3" s="2" t="s">
        <v>0</v>
      </c>
      <c r="AU3" s="1">
        <f t="shared" si="5"/>
        <v>1.6468361224159809</v>
      </c>
      <c r="AV3" s="1">
        <f t="shared" si="6"/>
        <v>1.2195851677667024</v>
      </c>
      <c r="AW3" s="1">
        <f t="shared" si="7"/>
        <v>0.79233421311742414</v>
      </c>
    </row>
    <row r="4" spans="1:49" x14ac:dyDescent="0.2">
      <c r="A4">
        <v>2</v>
      </c>
      <c r="B4" t="s">
        <v>2285</v>
      </c>
      <c r="C4" t="s">
        <v>2284</v>
      </c>
      <c r="D4" t="s">
        <v>2283</v>
      </c>
      <c r="F4" t="s">
        <v>2282</v>
      </c>
      <c r="G4" t="s">
        <v>5</v>
      </c>
      <c r="H4" t="s">
        <v>4</v>
      </c>
      <c r="I4" t="s">
        <v>2281</v>
      </c>
      <c r="J4" t="s">
        <v>2280</v>
      </c>
      <c r="K4" t="s">
        <v>2279</v>
      </c>
      <c r="L4" t="s">
        <v>2278</v>
      </c>
      <c r="M4" t="s">
        <v>2264</v>
      </c>
      <c r="N4">
        <v>5</v>
      </c>
      <c r="O4" t="s">
        <v>2277</v>
      </c>
      <c r="P4" t="s">
        <v>2276</v>
      </c>
      <c r="Q4" t="s">
        <v>2275</v>
      </c>
      <c r="R4" s="7">
        <v>34310</v>
      </c>
      <c r="S4" s="8">
        <f t="shared" si="0"/>
        <v>1993</v>
      </c>
      <c r="T4" s="8">
        <v>1993</v>
      </c>
      <c r="U4" s="8">
        <f t="shared" si="1"/>
        <v>29</v>
      </c>
      <c r="V4" s="7">
        <v>34310</v>
      </c>
      <c r="W4" t="s">
        <v>219</v>
      </c>
      <c r="X4" s="2">
        <v>1.59</v>
      </c>
      <c r="Y4" s="6">
        <f t="shared" si="2"/>
        <v>4.2444141907583888E-2</v>
      </c>
      <c r="Z4">
        <v>0</v>
      </c>
      <c r="AA4">
        <v>52728</v>
      </c>
      <c r="AB4">
        <v>16791</v>
      </c>
      <c r="AD4" t="s">
        <v>2</v>
      </c>
      <c r="AE4">
        <v>1183</v>
      </c>
      <c r="AF4">
        <v>2</v>
      </c>
      <c r="AH4" t="s">
        <v>2274</v>
      </c>
      <c r="AI4" t="s">
        <v>2273</v>
      </c>
      <c r="AJ4" t="s">
        <v>2272</v>
      </c>
      <c r="AK4" t="s">
        <v>2271</v>
      </c>
      <c r="AL4">
        <v>3</v>
      </c>
      <c r="AM4" s="5">
        <f t="shared" si="3"/>
        <v>0.10344827586206896</v>
      </c>
      <c r="AN4" s="4">
        <f t="shared" si="4"/>
        <v>1.5668046325190301E-4</v>
      </c>
      <c r="AO4" s="3">
        <v>0</v>
      </c>
      <c r="AP4">
        <v>0</v>
      </c>
      <c r="AR4" t="s">
        <v>1</v>
      </c>
      <c r="AT4" s="2" t="s">
        <v>0</v>
      </c>
      <c r="AU4" s="1">
        <f t="shared" si="5"/>
        <v>2.9757903474284291</v>
      </c>
      <c r="AV4" s="1">
        <f t="shared" si="6"/>
        <v>2.1300411185417896</v>
      </c>
      <c r="AW4" s="1">
        <f t="shared" si="7"/>
        <v>1.2842918896551498</v>
      </c>
    </row>
    <row r="5" spans="1:49" x14ac:dyDescent="0.2">
      <c r="A5">
        <v>3</v>
      </c>
      <c r="B5" t="s">
        <v>2270</v>
      </c>
      <c r="C5" t="s">
        <v>2269</v>
      </c>
      <c r="D5">
        <v>5272893902417</v>
      </c>
      <c r="F5" t="s">
        <v>2268</v>
      </c>
      <c r="G5" t="s">
        <v>5</v>
      </c>
      <c r="H5" t="s">
        <v>4</v>
      </c>
      <c r="I5" t="s">
        <v>225</v>
      </c>
      <c r="J5" t="s">
        <v>2267</v>
      </c>
      <c r="K5" t="s">
        <v>2266</v>
      </c>
      <c r="L5" t="s">
        <v>2265</v>
      </c>
      <c r="M5" t="s">
        <v>2264</v>
      </c>
      <c r="N5">
        <v>3</v>
      </c>
      <c r="O5" t="s">
        <v>2263</v>
      </c>
      <c r="P5" t="s">
        <v>2262</v>
      </c>
      <c r="Q5" t="s">
        <v>2261</v>
      </c>
      <c r="R5" s="7">
        <v>34310</v>
      </c>
      <c r="S5" s="8">
        <f t="shared" si="0"/>
        <v>1993</v>
      </c>
      <c r="T5" s="8">
        <v>1993</v>
      </c>
      <c r="U5" s="8">
        <f t="shared" si="1"/>
        <v>29</v>
      </c>
      <c r="V5" s="7">
        <v>34310</v>
      </c>
      <c r="W5" t="s">
        <v>219</v>
      </c>
      <c r="X5" s="2">
        <v>1.59</v>
      </c>
      <c r="Y5" s="6">
        <f t="shared" si="2"/>
        <v>4.2444141907583888E-2</v>
      </c>
      <c r="AA5">
        <v>52728</v>
      </c>
      <c r="AB5">
        <v>16791</v>
      </c>
      <c r="AD5" t="s">
        <v>2</v>
      </c>
      <c r="AE5">
        <v>1183</v>
      </c>
      <c r="AF5">
        <v>2</v>
      </c>
      <c r="AH5" t="s">
        <v>2260</v>
      </c>
      <c r="AI5" t="s">
        <v>2259</v>
      </c>
      <c r="AK5" t="s">
        <v>2258</v>
      </c>
      <c r="AL5">
        <v>28</v>
      </c>
      <c r="AM5" s="5">
        <f t="shared" si="3"/>
        <v>0.96551724137931039</v>
      </c>
      <c r="AN5" s="4">
        <f t="shared" si="4"/>
        <v>1.4623509903510948E-3</v>
      </c>
      <c r="AO5" s="3"/>
      <c r="AP5">
        <v>0</v>
      </c>
      <c r="AR5" t="s">
        <v>1</v>
      </c>
      <c r="AT5" s="2" t="s">
        <v>0</v>
      </c>
      <c r="AU5" s="1">
        <f t="shared" si="5"/>
        <v>3.0149604632414047</v>
      </c>
      <c r="AV5" s="1">
        <f t="shared" si="6"/>
        <v>2.1953246448967492</v>
      </c>
      <c r="AW5" s="1">
        <f t="shared" si="7"/>
        <v>1.3756888265520932</v>
      </c>
    </row>
    <row r="6" spans="1:49" x14ac:dyDescent="0.2">
      <c r="A6">
        <v>4</v>
      </c>
      <c r="B6" t="s">
        <v>2257</v>
      </c>
      <c r="C6" t="s">
        <v>2256</v>
      </c>
      <c r="D6" t="s">
        <v>2255</v>
      </c>
      <c r="F6" t="s">
        <v>2254</v>
      </c>
      <c r="G6" t="s">
        <v>5</v>
      </c>
      <c r="H6" t="s">
        <v>4</v>
      </c>
      <c r="I6" t="s">
        <v>2253</v>
      </c>
      <c r="J6">
        <v>60008134</v>
      </c>
      <c r="K6" t="s">
        <v>139</v>
      </c>
      <c r="L6" t="s">
        <v>138</v>
      </c>
      <c r="M6" t="s">
        <v>24</v>
      </c>
      <c r="N6">
        <v>2</v>
      </c>
      <c r="O6" t="s">
        <v>2252</v>
      </c>
      <c r="P6" t="s">
        <v>2251</v>
      </c>
      <c r="Q6" t="s">
        <v>196</v>
      </c>
      <c r="R6" s="7">
        <v>34310</v>
      </c>
      <c r="S6" s="8">
        <f t="shared" si="0"/>
        <v>1993</v>
      </c>
      <c r="T6" s="8">
        <v>1993</v>
      </c>
      <c r="U6" s="8">
        <f t="shared" si="1"/>
        <v>29</v>
      </c>
      <c r="V6" s="7">
        <v>34310</v>
      </c>
      <c r="W6" t="s">
        <v>219</v>
      </c>
      <c r="X6" s="2">
        <v>1.59</v>
      </c>
      <c r="Y6" s="6">
        <f t="shared" si="2"/>
        <v>4.2444141907583888E-2</v>
      </c>
      <c r="AA6">
        <v>52728</v>
      </c>
      <c r="AB6">
        <v>16791</v>
      </c>
      <c r="AD6" t="s">
        <v>2</v>
      </c>
      <c r="AE6">
        <v>1183</v>
      </c>
      <c r="AF6">
        <v>2</v>
      </c>
      <c r="AH6" t="s">
        <v>2250</v>
      </c>
      <c r="AI6" t="s">
        <v>2249</v>
      </c>
      <c r="AJ6" t="s">
        <v>2248</v>
      </c>
      <c r="AK6" t="s">
        <v>2247</v>
      </c>
      <c r="AL6">
        <v>20</v>
      </c>
      <c r="AM6" s="5">
        <f t="shared" si="3"/>
        <v>0.68965517241379315</v>
      </c>
      <c r="AN6" s="4">
        <f t="shared" si="4"/>
        <v>1.0445364216793535E-3</v>
      </c>
      <c r="AO6" s="3"/>
      <c r="AP6">
        <v>0</v>
      </c>
      <c r="AR6" t="s">
        <v>1</v>
      </c>
      <c r="AT6" s="2" t="s">
        <v>0</v>
      </c>
      <c r="AU6" s="1">
        <f t="shared" si="5"/>
        <v>3.0024260261812525</v>
      </c>
      <c r="AV6" s="1">
        <f t="shared" si="6"/>
        <v>2.1744339164631623</v>
      </c>
      <c r="AW6" s="1">
        <f t="shared" si="7"/>
        <v>1.3464418067450712</v>
      </c>
    </row>
    <row r="7" spans="1:49" x14ac:dyDescent="0.2">
      <c r="A7">
        <v>5</v>
      </c>
      <c r="B7" t="s">
        <v>2246</v>
      </c>
      <c r="C7" t="s">
        <v>2245</v>
      </c>
      <c r="D7" t="s">
        <v>2244</v>
      </c>
      <c r="F7" t="s">
        <v>2243</v>
      </c>
      <c r="G7" t="s">
        <v>5</v>
      </c>
      <c r="H7" t="s">
        <v>4</v>
      </c>
      <c r="I7" t="s">
        <v>2242</v>
      </c>
      <c r="J7" t="s">
        <v>2241</v>
      </c>
      <c r="K7" t="s">
        <v>2240</v>
      </c>
      <c r="L7" t="s">
        <v>2239</v>
      </c>
      <c r="M7" t="s">
        <v>18</v>
      </c>
      <c r="N7">
        <v>4</v>
      </c>
      <c r="O7" t="s">
        <v>2238</v>
      </c>
      <c r="P7" t="s">
        <v>2237</v>
      </c>
      <c r="Q7" t="s">
        <v>2236</v>
      </c>
      <c r="R7" s="7">
        <v>34306</v>
      </c>
      <c r="S7" s="8">
        <f t="shared" si="0"/>
        <v>1993</v>
      </c>
      <c r="T7" s="8">
        <v>1993</v>
      </c>
      <c r="U7" s="8">
        <f t="shared" si="1"/>
        <v>29</v>
      </c>
      <c r="V7" s="7">
        <v>34306</v>
      </c>
      <c r="W7" t="s">
        <v>258</v>
      </c>
      <c r="X7" s="2">
        <v>1.45</v>
      </c>
      <c r="Y7" s="6">
        <f t="shared" si="2"/>
        <v>3.8706921865406689E-2</v>
      </c>
      <c r="AA7">
        <v>457949</v>
      </c>
      <c r="AB7">
        <v>18171</v>
      </c>
      <c r="AD7" t="s">
        <v>2</v>
      </c>
      <c r="AE7">
        <v>49</v>
      </c>
      <c r="AF7">
        <v>5</v>
      </c>
      <c r="AH7" t="s">
        <v>2235</v>
      </c>
      <c r="AI7" t="s">
        <v>2234</v>
      </c>
      <c r="AK7" t="s">
        <v>2233</v>
      </c>
      <c r="AL7">
        <v>30</v>
      </c>
      <c r="AM7" s="5">
        <f t="shared" si="3"/>
        <v>1.0344827586206897</v>
      </c>
      <c r="AN7" s="4">
        <f t="shared" si="4"/>
        <v>1.5668046325190302E-3</v>
      </c>
      <c r="AO7" s="3"/>
      <c r="AP7">
        <v>0</v>
      </c>
      <c r="AR7" t="s">
        <v>1</v>
      </c>
      <c r="AT7" s="2" t="s">
        <v>0</v>
      </c>
      <c r="AU7" s="1">
        <f t="shared" si="5"/>
        <v>2.7564886695540389</v>
      </c>
      <c r="AV7" s="1">
        <f t="shared" si="6"/>
        <v>2.0136863248962857</v>
      </c>
      <c r="AW7" s="1">
        <f t="shared" si="7"/>
        <v>1.2708839802385326</v>
      </c>
    </row>
    <row r="8" spans="1:49" x14ac:dyDescent="0.2">
      <c r="A8">
        <v>6</v>
      </c>
      <c r="B8" t="s">
        <v>2232</v>
      </c>
      <c r="C8" t="s">
        <v>2231</v>
      </c>
      <c r="F8" t="s">
        <v>2230</v>
      </c>
      <c r="G8" t="s">
        <v>5</v>
      </c>
      <c r="H8" t="s">
        <v>4</v>
      </c>
      <c r="I8" t="s">
        <v>2229</v>
      </c>
      <c r="J8">
        <v>60008134</v>
      </c>
      <c r="K8" t="s">
        <v>139</v>
      </c>
      <c r="L8" t="s">
        <v>138</v>
      </c>
      <c r="M8" t="s">
        <v>24</v>
      </c>
      <c r="N8">
        <v>3</v>
      </c>
      <c r="O8" t="s">
        <v>2228</v>
      </c>
      <c r="P8" t="s">
        <v>2227</v>
      </c>
      <c r="Q8" t="s">
        <v>137</v>
      </c>
      <c r="R8" s="7">
        <v>34304</v>
      </c>
      <c r="S8" s="8">
        <f t="shared" si="0"/>
        <v>1993</v>
      </c>
      <c r="T8" s="8">
        <v>1993</v>
      </c>
      <c r="U8" s="8">
        <f t="shared" si="1"/>
        <v>29</v>
      </c>
      <c r="V8" s="7">
        <v>34304</v>
      </c>
      <c r="W8" t="s">
        <v>2226</v>
      </c>
      <c r="X8" s="2">
        <v>0.34699999999999998</v>
      </c>
      <c r="Y8" s="6">
        <f t="shared" si="2"/>
        <v>9.2629668188249116E-3</v>
      </c>
      <c r="AA8">
        <v>10610278</v>
      </c>
      <c r="AB8">
        <v>21960</v>
      </c>
      <c r="AC8">
        <v>10290478</v>
      </c>
      <c r="AD8" t="s">
        <v>2</v>
      </c>
      <c r="AE8">
        <v>3</v>
      </c>
      <c r="AF8">
        <v>1</v>
      </c>
      <c r="AH8" t="s">
        <v>94</v>
      </c>
      <c r="AI8" t="s">
        <v>2225</v>
      </c>
      <c r="AK8" t="s">
        <v>2224</v>
      </c>
      <c r="AL8">
        <v>24</v>
      </c>
      <c r="AM8" s="5">
        <f t="shared" si="3"/>
        <v>0.82758620689655171</v>
      </c>
      <c r="AN8" s="4">
        <f t="shared" si="4"/>
        <v>1.2534437060152241E-3</v>
      </c>
      <c r="AO8" s="3"/>
      <c r="AP8">
        <v>0</v>
      </c>
      <c r="AR8" t="s">
        <v>1</v>
      </c>
      <c r="AT8" s="2">
        <v>1.6879999999999999</v>
      </c>
      <c r="AU8" s="1">
        <f t="shared" si="5"/>
        <v>0.68601098849820052</v>
      </c>
      <c r="AV8" s="1">
        <f t="shared" si="6"/>
        <v>0.52582052624200681</v>
      </c>
      <c r="AW8" s="1">
        <f t="shared" si="7"/>
        <v>0.36563006398581299</v>
      </c>
    </row>
    <row r="9" spans="1:49" x14ac:dyDescent="0.2">
      <c r="A9">
        <v>7</v>
      </c>
      <c r="B9" t="s">
        <v>2223</v>
      </c>
      <c r="C9" t="s">
        <v>2222</v>
      </c>
      <c r="F9" t="s">
        <v>2221</v>
      </c>
      <c r="G9" t="s">
        <v>5</v>
      </c>
      <c r="H9" t="s">
        <v>4</v>
      </c>
      <c r="I9" t="s">
        <v>118</v>
      </c>
      <c r="N9">
        <v>1</v>
      </c>
      <c r="O9" t="s">
        <v>2220</v>
      </c>
      <c r="P9">
        <v>7005207070</v>
      </c>
      <c r="R9" s="7">
        <v>34304</v>
      </c>
      <c r="S9" s="8">
        <f t="shared" si="0"/>
        <v>1993</v>
      </c>
      <c r="T9" s="8">
        <v>1993</v>
      </c>
      <c r="U9" s="8">
        <f t="shared" si="1"/>
        <v>29</v>
      </c>
      <c r="V9" s="7">
        <v>34304</v>
      </c>
      <c r="W9" t="s">
        <v>2219</v>
      </c>
      <c r="X9" s="2">
        <v>0.36399999999999999</v>
      </c>
      <c r="Y9" s="6">
        <f t="shared" si="2"/>
        <v>9.7167721096607148E-3</v>
      </c>
      <c r="AA9">
        <v>10184864</v>
      </c>
      <c r="AB9">
        <v>21916</v>
      </c>
      <c r="AC9">
        <v>15729451</v>
      </c>
      <c r="AD9" t="s">
        <v>2</v>
      </c>
      <c r="AE9">
        <v>2</v>
      </c>
      <c r="AF9">
        <v>1</v>
      </c>
      <c r="AH9" t="s">
        <v>2218</v>
      </c>
      <c r="AI9" t="s">
        <v>2217</v>
      </c>
      <c r="AK9" t="s">
        <v>2216</v>
      </c>
      <c r="AL9">
        <v>1</v>
      </c>
      <c r="AM9" s="5">
        <f t="shared" si="3"/>
        <v>3.4482758620689655E-2</v>
      </c>
      <c r="AN9" s="4">
        <f t="shared" si="4"/>
        <v>5.2226821083967674E-5</v>
      </c>
      <c r="AO9" s="3"/>
      <c r="AP9">
        <v>0</v>
      </c>
      <c r="AR9" t="s">
        <v>1</v>
      </c>
      <c r="AT9" s="2">
        <v>2.3140000000000001</v>
      </c>
      <c r="AU9" s="1">
        <f t="shared" si="5"/>
        <v>0.68174085230876902</v>
      </c>
      <c r="AV9" s="1">
        <f t="shared" si="6"/>
        <v>0.48844994653723411</v>
      </c>
      <c r="AW9" s="1">
        <f t="shared" si="7"/>
        <v>0.29515904076569921</v>
      </c>
    </row>
    <row r="10" spans="1:49" x14ac:dyDescent="0.2">
      <c r="A10">
        <v>8</v>
      </c>
      <c r="B10" t="s">
        <v>2215</v>
      </c>
      <c r="C10" t="s">
        <v>2214</v>
      </c>
      <c r="F10" t="s">
        <v>2213</v>
      </c>
      <c r="G10" t="s">
        <v>5</v>
      </c>
      <c r="H10" t="s">
        <v>4</v>
      </c>
      <c r="I10" t="s">
        <v>2212</v>
      </c>
      <c r="J10">
        <v>60033191</v>
      </c>
      <c r="K10" t="s">
        <v>2211</v>
      </c>
      <c r="L10" t="s">
        <v>153</v>
      </c>
      <c r="M10" t="s">
        <v>152</v>
      </c>
      <c r="N10">
        <v>2</v>
      </c>
      <c r="O10" t="s">
        <v>2210</v>
      </c>
      <c r="P10" t="s">
        <v>2209</v>
      </c>
      <c r="Q10" t="s">
        <v>2208</v>
      </c>
      <c r="R10" s="7">
        <v>34304</v>
      </c>
      <c r="S10" s="8">
        <f t="shared" si="0"/>
        <v>1993</v>
      </c>
      <c r="T10" s="8">
        <v>1993</v>
      </c>
      <c r="U10" s="8">
        <f t="shared" si="1"/>
        <v>29</v>
      </c>
      <c r="V10" s="7">
        <v>1993</v>
      </c>
      <c r="W10" t="s">
        <v>1987</v>
      </c>
      <c r="X10" s="2">
        <v>0.69899999999999995</v>
      </c>
      <c r="Y10" s="6">
        <f t="shared" si="2"/>
        <v>1.8659405782013295E-2</v>
      </c>
      <c r="AA10">
        <v>218979</v>
      </c>
      <c r="AB10">
        <v>28132</v>
      </c>
      <c r="AD10" t="s">
        <v>2</v>
      </c>
      <c r="AE10">
        <v>74</v>
      </c>
      <c r="AF10">
        <v>2</v>
      </c>
      <c r="AH10" t="s">
        <v>2207</v>
      </c>
      <c r="AI10" t="s">
        <v>2206</v>
      </c>
      <c r="AK10" t="s">
        <v>2205</v>
      </c>
      <c r="AL10">
        <v>5</v>
      </c>
      <c r="AM10" s="5">
        <f t="shared" si="3"/>
        <v>0.17241379310344829</v>
      </c>
      <c r="AN10" s="4">
        <f t="shared" si="4"/>
        <v>2.6113410541983838E-4</v>
      </c>
      <c r="AO10" s="3"/>
      <c r="AP10">
        <v>0</v>
      </c>
      <c r="AR10" t="s">
        <v>1</v>
      </c>
      <c r="AT10" s="2">
        <v>2.5459999999999998</v>
      </c>
      <c r="AU10" s="1">
        <f t="shared" si="5"/>
        <v>1.3139924279035256</v>
      </c>
      <c r="AV10" s="1">
        <f t="shared" si="6"/>
        <v>0.94602699437165672</v>
      </c>
      <c r="AW10" s="1">
        <f t="shared" si="7"/>
        <v>0.57806156083978744</v>
      </c>
    </row>
    <row r="11" spans="1:49" x14ac:dyDescent="0.2">
      <c r="A11">
        <v>9</v>
      </c>
      <c r="B11" t="s">
        <v>2204</v>
      </c>
      <c r="C11" t="s">
        <v>2203</v>
      </c>
      <c r="F11" t="s">
        <v>2202</v>
      </c>
      <c r="G11" t="s">
        <v>5</v>
      </c>
      <c r="H11" t="s">
        <v>4</v>
      </c>
      <c r="I11" t="s">
        <v>2201</v>
      </c>
      <c r="J11">
        <v>60031004</v>
      </c>
      <c r="K11" t="s">
        <v>115</v>
      </c>
      <c r="L11" t="s">
        <v>53</v>
      </c>
      <c r="M11" t="s">
        <v>52</v>
      </c>
      <c r="N11">
        <v>3</v>
      </c>
      <c r="O11" t="s">
        <v>2200</v>
      </c>
      <c r="P11" t="s">
        <v>2199</v>
      </c>
      <c r="Q11" t="s">
        <v>114</v>
      </c>
      <c r="R11" s="7">
        <v>34304</v>
      </c>
      <c r="S11" s="8">
        <f t="shared" si="0"/>
        <v>1993</v>
      </c>
      <c r="T11" s="8">
        <v>1993</v>
      </c>
      <c r="U11" s="8">
        <f t="shared" si="1"/>
        <v>29</v>
      </c>
      <c r="V11" s="7">
        <v>1993</v>
      </c>
      <c r="W11" t="s">
        <v>1492</v>
      </c>
      <c r="X11" s="2">
        <v>0.60499999999999998</v>
      </c>
      <c r="Y11" s="6">
        <f t="shared" si="2"/>
        <v>1.6150129467980032E-2</v>
      </c>
      <c r="AA11">
        <v>346748</v>
      </c>
      <c r="AB11">
        <v>15563</v>
      </c>
      <c r="AD11" t="s">
        <v>2</v>
      </c>
      <c r="AE11">
        <v>64</v>
      </c>
      <c r="AF11">
        <v>2</v>
      </c>
      <c r="AH11" t="s">
        <v>2198</v>
      </c>
      <c r="AI11" t="s">
        <v>2197</v>
      </c>
      <c r="AK11" t="s">
        <v>2196</v>
      </c>
      <c r="AL11">
        <v>2</v>
      </c>
      <c r="AM11" s="5">
        <f t="shared" si="3"/>
        <v>6.8965517241379309E-2</v>
      </c>
      <c r="AN11" s="4">
        <f t="shared" si="4"/>
        <v>1.0445364216793535E-4</v>
      </c>
      <c r="AO11" s="3"/>
      <c r="AP11">
        <v>0</v>
      </c>
      <c r="AR11" t="s">
        <v>1</v>
      </c>
      <c r="AT11" s="2">
        <v>1.5229999999999999</v>
      </c>
      <c r="AU11" s="1">
        <f t="shared" si="5"/>
        <v>1.1336426720236401</v>
      </c>
      <c r="AV11" s="1">
        <f t="shared" si="6"/>
        <v>0.81272915550739833</v>
      </c>
      <c r="AW11" s="1">
        <f t="shared" si="7"/>
        <v>0.49181563899115649</v>
      </c>
    </row>
    <row r="12" spans="1:49" x14ac:dyDescent="0.2">
      <c r="A12">
        <v>10</v>
      </c>
      <c r="B12" t="s">
        <v>2195</v>
      </c>
      <c r="D12" t="s">
        <v>2194</v>
      </c>
      <c r="F12" t="s">
        <v>2193</v>
      </c>
      <c r="G12" t="s">
        <v>5</v>
      </c>
      <c r="H12" t="s">
        <v>4</v>
      </c>
      <c r="I12" t="s">
        <v>2192</v>
      </c>
      <c r="J12">
        <v>60021331</v>
      </c>
      <c r="K12" t="s">
        <v>129</v>
      </c>
      <c r="L12" t="s">
        <v>128</v>
      </c>
      <c r="M12" t="s">
        <v>31</v>
      </c>
      <c r="N12">
        <v>3</v>
      </c>
      <c r="O12" t="s">
        <v>2191</v>
      </c>
      <c r="P12" t="s">
        <v>2190</v>
      </c>
      <c r="Q12" t="s">
        <v>2189</v>
      </c>
      <c r="R12" s="7">
        <v>34304</v>
      </c>
      <c r="S12" s="8">
        <f t="shared" si="0"/>
        <v>1993</v>
      </c>
      <c r="T12" s="8">
        <v>1993</v>
      </c>
      <c r="U12" s="8">
        <f t="shared" si="1"/>
        <v>29</v>
      </c>
      <c r="V12" s="7">
        <v>1993</v>
      </c>
      <c r="W12" t="s">
        <v>2188</v>
      </c>
      <c r="X12" s="2" t="s">
        <v>0</v>
      </c>
      <c r="Y12" s="6" t="e">
        <f t="shared" si="2"/>
        <v>#VALUE!</v>
      </c>
      <c r="AA12">
        <v>63509</v>
      </c>
      <c r="AB12">
        <v>14860</v>
      </c>
      <c r="AD12" t="s">
        <v>2</v>
      </c>
      <c r="AE12">
        <v>38</v>
      </c>
      <c r="AF12">
        <v>5</v>
      </c>
      <c r="AH12" t="s">
        <v>2187</v>
      </c>
      <c r="AI12" t="s">
        <v>2186</v>
      </c>
      <c r="AK12" t="s">
        <v>2185</v>
      </c>
      <c r="AL12">
        <v>0</v>
      </c>
      <c r="AM12" s="5">
        <f t="shared" si="3"/>
        <v>0</v>
      </c>
      <c r="AN12" s="4">
        <f t="shared" si="4"/>
        <v>0</v>
      </c>
      <c r="AO12" s="3"/>
      <c r="AP12">
        <v>0</v>
      </c>
      <c r="AR12" t="s">
        <v>1</v>
      </c>
      <c r="AT12" s="2" t="s">
        <v>0</v>
      </c>
      <c r="AU12" s="1" t="e">
        <f t="shared" si="5"/>
        <v>#VALUE!</v>
      </c>
      <c r="AV12" s="1" t="e">
        <f t="shared" si="6"/>
        <v>#VALUE!</v>
      </c>
      <c r="AW12" s="1" t="e">
        <f t="shared" si="7"/>
        <v>#VALUE!</v>
      </c>
    </row>
    <row r="13" spans="1:49" x14ac:dyDescent="0.2">
      <c r="A13">
        <v>11</v>
      </c>
      <c r="B13" t="s">
        <v>2184</v>
      </c>
      <c r="C13" t="s">
        <v>2183</v>
      </c>
      <c r="F13" t="s">
        <v>2182</v>
      </c>
      <c r="G13" t="s">
        <v>5</v>
      </c>
      <c r="H13" t="s">
        <v>4</v>
      </c>
      <c r="I13" t="s">
        <v>2181</v>
      </c>
      <c r="J13">
        <v>60025104</v>
      </c>
      <c r="K13" t="s">
        <v>1577</v>
      </c>
      <c r="M13" t="s">
        <v>28</v>
      </c>
      <c r="N13">
        <v>1</v>
      </c>
      <c r="O13" t="s">
        <v>2180</v>
      </c>
      <c r="P13">
        <v>56220187800</v>
      </c>
      <c r="Q13">
        <v>60025104</v>
      </c>
      <c r="R13" s="7">
        <v>34304</v>
      </c>
      <c r="S13" s="8">
        <f t="shared" si="0"/>
        <v>1993</v>
      </c>
      <c r="T13" s="8">
        <v>1993</v>
      </c>
      <c r="U13" s="8">
        <f t="shared" si="1"/>
        <v>29</v>
      </c>
      <c r="V13" s="7">
        <v>1993</v>
      </c>
      <c r="W13" t="s">
        <v>1461</v>
      </c>
      <c r="X13" s="2">
        <v>1.3280000000000001</v>
      </c>
      <c r="Y13" s="6">
        <f t="shared" si="2"/>
        <v>3.5450201542937994E-2</v>
      </c>
      <c r="AA13">
        <v>7413335</v>
      </c>
      <c r="AB13">
        <v>29251</v>
      </c>
      <c r="AD13" t="s">
        <v>2</v>
      </c>
      <c r="AE13">
        <v>35</v>
      </c>
      <c r="AF13" t="s">
        <v>2085</v>
      </c>
      <c r="AG13">
        <v>5</v>
      </c>
      <c r="AI13" t="s">
        <v>2179</v>
      </c>
      <c r="AK13" t="s">
        <v>2178</v>
      </c>
      <c r="AL13">
        <v>8</v>
      </c>
      <c r="AM13" s="5">
        <f t="shared" si="3"/>
        <v>0.27586206896551724</v>
      </c>
      <c r="AN13" s="4">
        <f t="shared" si="4"/>
        <v>4.1781456867174139E-4</v>
      </c>
      <c r="AO13" s="3"/>
      <c r="AP13">
        <v>0</v>
      </c>
      <c r="AR13" t="s">
        <v>1</v>
      </c>
      <c r="AT13" s="2">
        <v>2.4580000000000002</v>
      </c>
      <c r="AU13" s="1">
        <f t="shared" si="5"/>
        <v>2.4940485450658119</v>
      </c>
      <c r="AV13" s="1">
        <f t="shared" si="6"/>
        <v>1.7934008055804869</v>
      </c>
      <c r="AW13" s="1">
        <f t="shared" si="7"/>
        <v>1.0927530660951619</v>
      </c>
    </row>
    <row r="14" spans="1:49" x14ac:dyDescent="0.2">
      <c r="A14">
        <v>12</v>
      </c>
      <c r="B14" t="s">
        <v>2177</v>
      </c>
      <c r="C14" t="s">
        <v>2176</v>
      </c>
      <c r="F14" t="s">
        <v>2175</v>
      </c>
      <c r="G14" t="s">
        <v>5</v>
      </c>
      <c r="H14" t="s">
        <v>4</v>
      </c>
      <c r="I14" t="s">
        <v>2088</v>
      </c>
      <c r="J14">
        <v>60026838</v>
      </c>
      <c r="K14" t="s">
        <v>2087</v>
      </c>
      <c r="L14" t="s">
        <v>228</v>
      </c>
      <c r="M14" t="s">
        <v>8</v>
      </c>
      <c r="N14">
        <v>1</v>
      </c>
      <c r="O14" t="s">
        <v>2086</v>
      </c>
      <c r="P14">
        <v>7005473290</v>
      </c>
      <c r="Q14">
        <v>60026838</v>
      </c>
      <c r="R14" s="7">
        <v>34304</v>
      </c>
      <c r="S14" s="8">
        <f t="shared" si="0"/>
        <v>1993</v>
      </c>
      <c r="T14" s="8">
        <v>1993</v>
      </c>
      <c r="U14" s="8">
        <f t="shared" si="1"/>
        <v>29</v>
      </c>
      <c r="V14" s="7">
        <v>1993</v>
      </c>
      <c r="W14" t="s">
        <v>1461</v>
      </c>
      <c r="X14" s="2">
        <v>1.3280000000000001</v>
      </c>
      <c r="Y14" s="6">
        <f t="shared" si="2"/>
        <v>3.5450201542937994E-2</v>
      </c>
      <c r="AA14">
        <v>7413335</v>
      </c>
      <c r="AB14">
        <v>29251</v>
      </c>
      <c r="AD14" t="s">
        <v>2</v>
      </c>
      <c r="AE14">
        <v>35</v>
      </c>
      <c r="AF14">
        <v>1</v>
      </c>
      <c r="AG14">
        <v>4</v>
      </c>
      <c r="AH14" t="s">
        <v>2174</v>
      </c>
      <c r="AI14" t="s">
        <v>2173</v>
      </c>
      <c r="AK14" t="s">
        <v>2172</v>
      </c>
      <c r="AL14">
        <v>25</v>
      </c>
      <c r="AM14" s="5">
        <f t="shared" si="3"/>
        <v>0.86206896551724133</v>
      </c>
      <c r="AN14" s="4">
        <f t="shared" si="4"/>
        <v>1.3056705270991916E-3</v>
      </c>
      <c r="AO14" s="3"/>
      <c r="AP14">
        <v>0</v>
      </c>
      <c r="AR14" t="s">
        <v>1</v>
      </c>
      <c r="AT14" s="2">
        <v>2.4580000000000002</v>
      </c>
      <c r="AU14" s="1">
        <f t="shared" si="5"/>
        <v>2.5206842238186353</v>
      </c>
      <c r="AV14" s="1">
        <f t="shared" si="6"/>
        <v>1.8377936035018594</v>
      </c>
      <c r="AW14" s="1">
        <f t="shared" si="7"/>
        <v>1.1549029831850832</v>
      </c>
    </row>
    <row r="15" spans="1:49" x14ac:dyDescent="0.2">
      <c r="A15">
        <v>13</v>
      </c>
      <c r="B15" t="s">
        <v>2171</v>
      </c>
      <c r="C15" t="s">
        <v>2170</v>
      </c>
      <c r="F15" t="s">
        <v>2169</v>
      </c>
      <c r="G15" t="s">
        <v>5</v>
      </c>
      <c r="H15" t="s">
        <v>4</v>
      </c>
      <c r="I15" t="s">
        <v>2168</v>
      </c>
      <c r="J15">
        <v>60006951</v>
      </c>
      <c r="K15" t="s">
        <v>2167</v>
      </c>
      <c r="L15" t="s">
        <v>2166</v>
      </c>
      <c r="M15" t="s">
        <v>3</v>
      </c>
      <c r="N15">
        <v>2</v>
      </c>
      <c r="O15" t="s">
        <v>2165</v>
      </c>
      <c r="P15" t="s">
        <v>2164</v>
      </c>
      <c r="Q15" t="s">
        <v>2163</v>
      </c>
      <c r="R15" s="7">
        <v>34304</v>
      </c>
      <c r="S15" s="8">
        <f t="shared" si="0"/>
        <v>1993</v>
      </c>
      <c r="T15" s="8">
        <v>1993</v>
      </c>
      <c r="U15" s="8">
        <f t="shared" si="1"/>
        <v>29</v>
      </c>
      <c r="V15" s="7">
        <v>1993</v>
      </c>
      <c r="W15" t="s">
        <v>1987</v>
      </c>
      <c r="X15" s="2">
        <v>0.69899999999999995</v>
      </c>
      <c r="Y15" s="6">
        <f t="shared" si="2"/>
        <v>1.8659405782013295E-2</v>
      </c>
      <c r="AA15">
        <v>218979</v>
      </c>
      <c r="AB15">
        <v>28132</v>
      </c>
      <c r="AD15" t="s">
        <v>2</v>
      </c>
      <c r="AE15">
        <v>74</v>
      </c>
      <c r="AF15">
        <v>2</v>
      </c>
      <c r="AH15" t="s">
        <v>2162</v>
      </c>
      <c r="AI15" t="s">
        <v>2161</v>
      </c>
      <c r="AK15" t="s">
        <v>2160</v>
      </c>
      <c r="AL15">
        <v>0</v>
      </c>
      <c r="AM15" s="5">
        <f t="shared" si="3"/>
        <v>0</v>
      </c>
      <c r="AN15" s="4">
        <f t="shared" si="4"/>
        <v>0</v>
      </c>
      <c r="AO15" s="3"/>
      <c r="AP15">
        <v>0</v>
      </c>
      <c r="AR15" t="s">
        <v>1</v>
      </c>
      <c r="AT15" s="2">
        <v>2.5459999999999998</v>
      </c>
      <c r="AU15" s="1">
        <f t="shared" si="5"/>
        <v>1.3061584047409305</v>
      </c>
      <c r="AV15" s="1">
        <f t="shared" si="6"/>
        <v>0.93297028910066471</v>
      </c>
      <c r="AW15" s="1">
        <f t="shared" si="7"/>
        <v>0.55978217346039882</v>
      </c>
    </row>
    <row r="16" spans="1:49" x14ac:dyDescent="0.2">
      <c r="A16">
        <v>14</v>
      </c>
      <c r="B16" t="s">
        <v>2159</v>
      </c>
      <c r="C16" t="s">
        <v>2158</v>
      </c>
      <c r="F16" t="s">
        <v>2157</v>
      </c>
      <c r="G16" t="s">
        <v>5</v>
      </c>
      <c r="H16" t="s">
        <v>4</v>
      </c>
      <c r="I16" t="s">
        <v>1995</v>
      </c>
      <c r="J16" t="s">
        <v>2156</v>
      </c>
      <c r="K16" t="s">
        <v>2155</v>
      </c>
      <c r="L16" t="s">
        <v>222</v>
      </c>
      <c r="M16" t="s">
        <v>221</v>
      </c>
      <c r="N16">
        <v>7</v>
      </c>
      <c r="O16" t="s">
        <v>2154</v>
      </c>
      <c r="P16" t="s">
        <v>2153</v>
      </c>
      <c r="Q16" t="s">
        <v>2152</v>
      </c>
      <c r="R16" s="7">
        <v>34304</v>
      </c>
      <c r="S16" s="8">
        <f t="shared" si="0"/>
        <v>1993</v>
      </c>
      <c r="T16" s="8">
        <v>1993</v>
      </c>
      <c r="U16" s="8">
        <f t="shared" si="1"/>
        <v>29</v>
      </c>
      <c r="V16" s="7">
        <v>1993</v>
      </c>
      <c r="W16" t="s">
        <v>1474</v>
      </c>
      <c r="X16" s="2">
        <v>1.1819999999999999</v>
      </c>
      <c r="Y16" s="6">
        <f t="shared" si="2"/>
        <v>3.1552814927524625E-2</v>
      </c>
      <c r="AA16">
        <v>36951</v>
      </c>
      <c r="AB16">
        <v>27030</v>
      </c>
      <c r="AD16" t="s">
        <v>2</v>
      </c>
      <c r="AE16">
        <v>62</v>
      </c>
      <c r="AF16">
        <v>11</v>
      </c>
      <c r="AH16" t="s">
        <v>2151</v>
      </c>
      <c r="AI16" t="s">
        <v>2150</v>
      </c>
      <c r="AK16" t="s">
        <v>2149</v>
      </c>
      <c r="AL16">
        <v>74</v>
      </c>
      <c r="AM16" s="5">
        <f t="shared" si="3"/>
        <v>2.5517241379310347</v>
      </c>
      <c r="AN16" s="4">
        <f t="shared" si="4"/>
        <v>3.8647847602136082E-3</v>
      </c>
      <c r="AO16" s="3"/>
      <c r="AP16">
        <v>0</v>
      </c>
      <c r="AR16" t="s">
        <v>1</v>
      </c>
      <c r="AT16" s="2">
        <v>3.7909999999999999</v>
      </c>
      <c r="AU16" s="1">
        <f t="shared" si="5"/>
        <v>2.3246405877331315</v>
      </c>
      <c r="AV16" s="1">
        <f t="shared" si="6"/>
        <v>1.7708799843869119</v>
      </c>
      <c r="AW16" s="1">
        <f t="shared" si="7"/>
        <v>1.2171193810406913</v>
      </c>
    </row>
    <row r="17" spans="1:49" x14ac:dyDescent="0.2">
      <c r="A17">
        <v>15</v>
      </c>
      <c r="B17" t="s">
        <v>2148</v>
      </c>
      <c r="C17" t="s">
        <v>2147</v>
      </c>
      <c r="F17" t="s">
        <v>2146</v>
      </c>
      <c r="G17" t="s">
        <v>5</v>
      </c>
      <c r="H17" t="s">
        <v>4</v>
      </c>
      <c r="I17" t="s">
        <v>2145</v>
      </c>
      <c r="J17" t="s">
        <v>2144</v>
      </c>
      <c r="K17" t="s">
        <v>2143</v>
      </c>
      <c r="L17" t="s">
        <v>2142</v>
      </c>
      <c r="M17" t="s">
        <v>1086</v>
      </c>
      <c r="N17">
        <v>5</v>
      </c>
      <c r="O17" t="s">
        <v>2141</v>
      </c>
      <c r="P17" t="s">
        <v>2140</v>
      </c>
      <c r="Q17" t="s">
        <v>2139</v>
      </c>
      <c r="R17" s="7">
        <v>34304</v>
      </c>
      <c r="S17" s="8">
        <f t="shared" si="0"/>
        <v>1993</v>
      </c>
      <c r="T17" s="8">
        <v>1993</v>
      </c>
      <c r="U17" s="8">
        <f t="shared" si="1"/>
        <v>29</v>
      </c>
      <c r="V17" s="7">
        <v>1993</v>
      </c>
      <c r="W17" t="s">
        <v>1987</v>
      </c>
      <c r="X17" s="2">
        <v>0.69899999999999995</v>
      </c>
      <c r="Y17" s="6">
        <f t="shared" si="2"/>
        <v>1.8659405782013295E-2</v>
      </c>
      <c r="AA17">
        <v>218979</v>
      </c>
      <c r="AB17">
        <v>28132</v>
      </c>
      <c r="AD17" t="s">
        <v>2</v>
      </c>
      <c r="AE17">
        <v>74</v>
      </c>
      <c r="AF17">
        <v>4</v>
      </c>
      <c r="AH17" t="s">
        <v>2138</v>
      </c>
      <c r="AI17" t="s">
        <v>2137</v>
      </c>
      <c r="AK17" t="s">
        <v>2136</v>
      </c>
      <c r="AL17">
        <v>10</v>
      </c>
      <c r="AM17" s="5">
        <f t="shared" si="3"/>
        <v>0.34482758620689657</v>
      </c>
      <c r="AN17" s="4">
        <f t="shared" si="4"/>
        <v>5.2226821083967677E-4</v>
      </c>
      <c r="AO17" s="3"/>
      <c r="AP17">
        <v>0</v>
      </c>
      <c r="AR17" t="s">
        <v>1</v>
      </c>
      <c r="AT17" s="2">
        <v>2.5459999999999998</v>
      </c>
      <c r="AU17" s="1">
        <f t="shared" si="5"/>
        <v>1.3218264510661208</v>
      </c>
      <c r="AV17" s="1">
        <f t="shared" si="6"/>
        <v>0.95908369964264861</v>
      </c>
      <c r="AW17" s="1">
        <f t="shared" si="7"/>
        <v>0.59634094821917616</v>
      </c>
    </row>
    <row r="18" spans="1:49" x14ac:dyDescent="0.2">
      <c r="A18">
        <v>16</v>
      </c>
      <c r="B18" t="s">
        <v>2135</v>
      </c>
      <c r="C18" t="s">
        <v>2134</v>
      </c>
      <c r="F18" t="s">
        <v>2133</v>
      </c>
      <c r="G18" t="s">
        <v>5</v>
      </c>
      <c r="H18" t="s">
        <v>4</v>
      </c>
      <c r="I18" t="s">
        <v>2132</v>
      </c>
      <c r="J18">
        <v>60008435</v>
      </c>
      <c r="K18" t="s">
        <v>136</v>
      </c>
      <c r="L18" t="s">
        <v>135</v>
      </c>
      <c r="M18" t="s">
        <v>13</v>
      </c>
      <c r="N18">
        <v>4</v>
      </c>
      <c r="O18" t="s">
        <v>2131</v>
      </c>
      <c r="P18" t="s">
        <v>2130</v>
      </c>
      <c r="Q18" t="s">
        <v>1045</v>
      </c>
      <c r="R18" s="7">
        <v>34304</v>
      </c>
      <c r="S18" s="8">
        <f t="shared" si="0"/>
        <v>1993</v>
      </c>
      <c r="T18" s="8">
        <v>1993</v>
      </c>
      <c r="U18" s="8">
        <f t="shared" si="1"/>
        <v>29</v>
      </c>
      <c r="V18" s="7">
        <v>1993</v>
      </c>
      <c r="W18" t="s">
        <v>1474</v>
      </c>
      <c r="X18" s="2">
        <v>1.1819999999999999</v>
      </c>
      <c r="Y18" s="6">
        <f t="shared" si="2"/>
        <v>3.1552814927524625E-2</v>
      </c>
      <c r="AA18">
        <v>36951</v>
      </c>
      <c r="AB18">
        <v>27030</v>
      </c>
      <c r="AD18" t="s">
        <v>2</v>
      </c>
      <c r="AE18">
        <v>62</v>
      </c>
      <c r="AF18">
        <v>13</v>
      </c>
      <c r="AH18" t="s">
        <v>182</v>
      </c>
      <c r="AI18" t="s">
        <v>2129</v>
      </c>
      <c r="AK18" t="s">
        <v>2128</v>
      </c>
      <c r="AL18">
        <v>46</v>
      </c>
      <c r="AM18" s="5">
        <f t="shared" si="3"/>
        <v>1.5862068965517242</v>
      </c>
      <c r="AN18" s="4">
        <f t="shared" si="4"/>
        <v>2.402433769862513E-3</v>
      </c>
      <c r="AO18" s="3"/>
      <c r="AP18">
        <v>0</v>
      </c>
      <c r="AR18" t="s">
        <v>1</v>
      </c>
      <c r="AT18" s="2">
        <v>3.7909999999999999</v>
      </c>
      <c r="AU18" s="1">
        <f t="shared" si="5"/>
        <v>2.2807700580225987</v>
      </c>
      <c r="AV18" s="1">
        <f t="shared" si="6"/>
        <v>1.697762434869357</v>
      </c>
      <c r="AW18" s="1">
        <f t="shared" si="7"/>
        <v>1.1147548117161148</v>
      </c>
    </row>
    <row r="19" spans="1:49" x14ac:dyDescent="0.2">
      <c r="A19">
        <v>17</v>
      </c>
      <c r="B19" t="s">
        <v>2127</v>
      </c>
      <c r="C19" t="s">
        <v>2126</v>
      </c>
      <c r="F19" t="s">
        <v>2125</v>
      </c>
      <c r="G19" t="s">
        <v>5</v>
      </c>
      <c r="H19" t="s">
        <v>4</v>
      </c>
      <c r="I19" t="s">
        <v>2124</v>
      </c>
      <c r="J19">
        <v>60013901</v>
      </c>
      <c r="K19" t="s">
        <v>1633</v>
      </c>
      <c r="L19" t="s">
        <v>38</v>
      </c>
      <c r="M19" t="s">
        <v>3</v>
      </c>
      <c r="N19">
        <v>16</v>
      </c>
      <c r="O19" t="s">
        <v>2123</v>
      </c>
      <c r="P19" t="s">
        <v>2122</v>
      </c>
      <c r="Q19" t="s">
        <v>2121</v>
      </c>
      <c r="R19" s="7">
        <v>34304</v>
      </c>
      <c r="S19" s="8">
        <f t="shared" si="0"/>
        <v>1993</v>
      </c>
      <c r="T19" s="8">
        <v>1993</v>
      </c>
      <c r="U19" s="8">
        <f t="shared" si="1"/>
        <v>29</v>
      </c>
      <c r="V19" s="7">
        <v>1993</v>
      </c>
      <c r="W19" t="s">
        <v>1461</v>
      </c>
      <c r="X19" s="2">
        <v>1.3280000000000001</v>
      </c>
      <c r="Y19" s="6">
        <f t="shared" si="2"/>
        <v>3.5450201542937994E-2</v>
      </c>
      <c r="AA19">
        <v>7413335</v>
      </c>
      <c r="AB19">
        <v>29251</v>
      </c>
      <c r="AD19" t="s">
        <v>2</v>
      </c>
      <c r="AE19">
        <v>35</v>
      </c>
      <c r="AF19" t="s">
        <v>2085</v>
      </c>
      <c r="AG19">
        <v>4</v>
      </c>
      <c r="AI19" t="s">
        <v>2120</v>
      </c>
      <c r="AK19" t="s">
        <v>2119</v>
      </c>
      <c r="AL19">
        <v>22</v>
      </c>
      <c r="AM19" s="5">
        <f t="shared" si="3"/>
        <v>0.75862068965517238</v>
      </c>
      <c r="AN19" s="4">
        <f t="shared" si="4"/>
        <v>1.1489900638472887E-3</v>
      </c>
      <c r="AO19" s="3"/>
      <c r="AP19">
        <v>0</v>
      </c>
      <c r="AR19" t="s">
        <v>1</v>
      </c>
      <c r="AT19" s="2">
        <v>2.4580000000000002</v>
      </c>
      <c r="AU19" s="1">
        <f t="shared" si="5"/>
        <v>2.5159838099210781</v>
      </c>
      <c r="AV19" s="1">
        <f t="shared" si="6"/>
        <v>1.8299595803392643</v>
      </c>
      <c r="AW19" s="1">
        <f t="shared" si="7"/>
        <v>1.1439353507574501</v>
      </c>
    </row>
    <row r="20" spans="1:49" x14ac:dyDescent="0.2">
      <c r="A20">
        <v>18</v>
      </c>
      <c r="B20" t="s">
        <v>2118</v>
      </c>
      <c r="C20" t="s">
        <v>2117</v>
      </c>
      <c r="F20" t="s">
        <v>2116</v>
      </c>
      <c r="G20" t="s">
        <v>5</v>
      </c>
      <c r="H20" t="s">
        <v>4</v>
      </c>
      <c r="I20" t="s">
        <v>2115</v>
      </c>
      <c r="J20">
        <v>60004643</v>
      </c>
      <c r="K20" t="s">
        <v>2114</v>
      </c>
      <c r="L20" t="s">
        <v>175</v>
      </c>
      <c r="M20" t="s">
        <v>28</v>
      </c>
      <c r="N20">
        <v>1</v>
      </c>
      <c r="O20" t="s">
        <v>2113</v>
      </c>
      <c r="P20">
        <v>7101635601</v>
      </c>
      <c r="Q20">
        <v>60004643</v>
      </c>
      <c r="R20" s="7">
        <v>34304</v>
      </c>
      <c r="S20" s="8">
        <f t="shared" si="0"/>
        <v>1993</v>
      </c>
      <c r="T20" s="8">
        <v>1993</v>
      </c>
      <c r="U20" s="8">
        <f t="shared" si="1"/>
        <v>29</v>
      </c>
      <c r="V20" s="7">
        <v>1993</v>
      </c>
      <c r="W20" t="s">
        <v>1461</v>
      </c>
      <c r="X20" s="2">
        <v>1.3280000000000001</v>
      </c>
      <c r="Y20" s="6">
        <f t="shared" si="2"/>
        <v>3.5450201542937994E-2</v>
      </c>
      <c r="AA20">
        <v>7413335</v>
      </c>
      <c r="AB20">
        <v>29251</v>
      </c>
      <c r="AD20" t="s">
        <v>2</v>
      </c>
      <c r="AE20">
        <v>35</v>
      </c>
      <c r="AF20" t="s">
        <v>2112</v>
      </c>
      <c r="AG20">
        <v>19</v>
      </c>
      <c r="AI20" t="s">
        <v>2111</v>
      </c>
      <c r="AK20" t="s">
        <v>2110</v>
      </c>
      <c r="AL20">
        <v>32</v>
      </c>
      <c r="AM20" s="5">
        <f t="shared" si="3"/>
        <v>1.103448275862069</v>
      </c>
      <c r="AN20" s="4">
        <f t="shared" si="4"/>
        <v>1.6712582746869656E-3</v>
      </c>
      <c r="AO20" s="3"/>
      <c r="AP20">
        <v>0</v>
      </c>
      <c r="AR20" t="s">
        <v>1</v>
      </c>
      <c r="AT20" s="2">
        <v>2.4580000000000002</v>
      </c>
      <c r="AU20" s="1">
        <f t="shared" si="5"/>
        <v>2.5316518562462682</v>
      </c>
      <c r="AV20" s="1">
        <f t="shared" si="6"/>
        <v>1.8560729908812479</v>
      </c>
      <c r="AW20" s="1">
        <f t="shared" si="7"/>
        <v>1.1804941255162273</v>
      </c>
    </row>
    <row r="21" spans="1:49" x14ac:dyDescent="0.2">
      <c r="A21">
        <v>19</v>
      </c>
      <c r="B21" t="s">
        <v>2109</v>
      </c>
      <c r="C21" t="s">
        <v>2108</v>
      </c>
      <c r="F21" t="s">
        <v>2107</v>
      </c>
      <c r="G21" t="s">
        <v>5</v>
      </c>
      <c r="H21" t="s">
        <v>4</v>
      </c>
      <c r="I21" t="s">
        <v>2106</v>
      </c>
      <c r="J21">
        <v>60025104</v>
      </c>
      <c r="K21" t="s">
        <v>1577</v>
      </c>
      <c r="M21" t="s">
        <v>28</v>
      </c>
      <c r="N21">
        <v>3</v>
      </c>
      <c r="O21" t="s">
        <v>2105</v>
      </c>
      <c r="P21" t="s">
        <v>2104</v>
      </c>
      <c r="Q21" t="s">
        <v>2103</v>
      </c>
      <c r="R21" s="7">
        <v>34304</v>
      </c>
      <c r="S21" s="8">
        <f t="shared" si="0"/>
        <v>1993</v>
      </c>
      <c r="T21" s="8">
        <v>1993</v>
      </c>
      <c r="U21" s="8">
        <f t="shared" si="1"/>
        <v>29</v>
      </c>
      <c r="V21" s="7">
        <v>1993</v>
      </c>
      <c r="W21" t="s">
        <v>1461</v>
      </c>
      <c r="X21" s="2">
        <v>1.3280000000000001</v>
      </c>
      <c r="Y21" s="6">
        <f t="shared" si="2"/>
        <v>3.5450201542937994E-2</v>
      </c>
      <c r="AA21">
        <v>7413335</v>
      </c>
      <c r="AB21">
        <v>29251</v>
      </c>
      <c r="AD21" t="s">
        <v>2</v>
      </c>
      <c r="AE21">
        <v>35</v>
      </c>
      <c r="AF21" t="s">
        <v>2085</v>
      </c>
      <c r="AG21">
        <v>3</v>
      </c>
      <c r="AI21" t="s">
        <v>2102</v>
      </c>
      <c r="AK21" t="s">
        <v>2101</v>
      </c>
      <c r="AL21">
        <v>33</v>
      </c>
      <c r="AM21" s="5">
        <f t="shared" si="3"/>
        <v>1.1379310344827587</v>
      </c>
      <c r="AN21" s="4">
        <f t="shared" si="4"/>
        <v>1.7234850957709331E-3</v>
      </c>
      <c r="AO21" s="3"/>
      <c r="AP21">
        <v>0</v>
      </c>
      <c r="AR21" t="s">
        <v>1</v>
      </c>
      <c r="AT21" s="2">
        <v>2.4580000000000002</v>
      </c>
      <c r="AU21" s="1">
        <f t="shared" si="5"/>
        <v>2.5332186608787874</v>
      </c>
      <c r="AV21" s="1">
        <f t="shared" si="6"/>
        <v>1.8586843319354465</v>
      </c>
      <c r="AW21" s="1">
        <f t="shared" si="7"/>
        <v>1.184150002992105</v>
      </c>
    </row>
    <row r="22" spans="1:49" x14ac:dyDescent="0.2">
      <c r="A22">
        <v>20</v>
      </c>
      <c r="B22" t="s">
        <v>2100</v>
      </c>
      <c r="C22" t="s">
        <v>2099</v>
      </c>
      <c r="F22" t="s">
        <v>2098</v>
      </c>
      <c r="G22" t="s">
        <v>5</v>
      </c>
      <c r="H22" t="s">
        <v>4</v>
      </c>
      <c r="I22" t="s">
        <v>127</v>
      </c>
      <c r="J22" t="s">
        <v>126</v>
      </c>
      <c r="K22" t="s">
        <v>125</v>
      </c>
      <c r="L22" t="s">
        <v>124</v>
      </c>
      <c r="M22" t="s">
        <v>9</v>
      </c>
      <c r="N22">
        <v>7</v>
      </c>
      <c r="O22" t="s">
        <v>2097</v>
      </c>
      <c r="P22" t="s">
        <v>2096</v>
      </c>
      <c r="Q22" t="s">
        <v>2095</v>
      </c>
      <c r="R22" s="7">
        <v>34304</v>
      </c>
      <c r="S22" s="8">
        <f t="shared" si="0"/>
        <v>1993</v>
      </c>
      <c r="T22" s="8">
        <v>1993</v>
      </c>
      <c r="U22" s="8">
        <f t="shared" si="1"/>
        <v>29</v>
      </c>
      <c r="V22" s="7">
        <v>1993</v>
      </c>
      <c r="W22" t="s">
        <v>1474</v>
      </c>
      <c r="X22" s="2">
        <v>1.1819999999999999</v>
      </c>
      <c r="Y22" s="6">
        <f t="shared" si="2"/>
        <v>3.1552814927524625E-2</v>
      </c>
      <c r="AA22">
        <v>36951</v>
      </c>
      <c r="AB22">
        <v>27030</v>
      </c>
      <c r="AD22" t="s">
        <v>2</v>
      </c>
      <c r="AE22">
        <v>63</v>
      </c>
      <c r="AF22">
        <v>2</v>
      </c>
      <c r="AH22" t="s">
        <v>2094</v>
      </c>
      <c r="AI22" t="s">
        <v>2093</v>
      </c>
      <c r="AK22" t="s">
        <v>2092</v>
      </c>
      <c r="AL22">
        <v>7</v>
      </c>
      <c r="AM22" s="5">
        <f t="shared" si="3"/>
        <v>0.2413793103448276</v>
      </c>
      <c r="AN22" s="4">
        <f t="shared" si="4"/>
        <v>3.655877475877737E-4</v>
      </c>
      <c r="AO22" s="3"/>
      <c r="AP22">
        <v>0</v>
      </c>
      <c r="AR22" t="s">
        <v>1</v>
      </c>
      <c r="AT22" s="2">
        <v>3.7909999999999999</v>
      </c>
      <c r="AU22" s="1">
        <f t="shared" si="5"/>
        <v>2.2196646773543565</v>
      </c>
      <c r="AV22" s="1">
        <f t="shared" si="6"/>
        <v>1.5959201337556201</v>
      </c>
      <c r="AW22" s="1">
        <f t="shared" si="7"/>
        <v>0.97217559015688282</v>
      </c>
    </row>
    <row r="23" spans="1:49" x14ac:dyDescent="0.2">
      <c r="A23">
        <v>21</v>
      </c>
      <c r="B23" t="s">
        <v>2091</v>
      </c>
      <c r="C23" t="s">
        <v>2090</v>
      </c>
      <c r="F23" t="s">
        <v>2089</v>
      </c>
      <c r="G23" t="s">
        <v>5</v>
      </c>
      <c r="H23" t="s">
        <v>4</v>
      </c>
      <c r="I23" t="s">
        <v>2088</v>
      </c>
      <c r="J23">
        <v>60026838</v>
      </c>
      <c r="K23" t="s">
        <v>2087</v>
      </c>
      <c r="L23" t="s">
        <v>228</v>
      </c>
      <c r="M23" t="s">
        <v>8</v>
      </c>
      <c r="N23">
        <v>1</v>
      </c>
      <c r="O23" t="s">
        <v>2086</v>
      </c>
      <c r="P23">
        <v>7005473290</v>
      </c>
      <c r="Q23">
        <v>60026838</v>
      </c>
      <c r="R23" s="7">
        <v>34304</v>
      </c>
      <c r="S23" s="8">
        <f t="shared" si="0"/>
        <v>1993</v>
      </c>
      <c r="T23" s="8">
        <v>1993</v>
      </c>
      <c r="U23" s="8">
        <f t="shared" si="1"/>
        <v>29</v>
      </c>
      <c r="V23" s="7">
        <v>1993</v>
      </c>
      <c r="W23" t="s">
        <v>1461</v>
      </c>
      <c r="X23" s="2">
        <v>1.3280000000000001</v>
      </c>
      <c r="Y23" s="6">
        <f t="shared" si="2"/>
        <v>3.5450201542937994E-2</v>
      </c>
      <c r="AA23">
        <v>7413335</v>
      </c>
      <c r="AB23">
        <v>29251</v>
      </c>
      <c r="AD23" t="s">
        <v>2</v>
      </c>
      <c r="AE23">
        <v>35</v>
      </c>
      <c r="AF23" t="s">
        <v>2085</v>
      </c>
      <c r="AG23">
        <v>9</v>
      </c>
      <c r="AI23" t="s">
        <v>2084</v>
      </c>
      <c r="AK23" t="s">
        <v>2083</v>
      </c>
      <c r="AL23">
        <v>9</v>
      </c>
      <c r="AM23" s="5">
        <f t="shared" si="3"/>
        <v>0.31034482758620691</v>
      </c>
      <c r="AN23" s="4">
        <f t="shared" si="4"/>
        <v>4.7004138975570908E-4</v>
      </c>
      <c r="AO23" s="3"/>
      <c r="AP23">
        <v>0</v>
      </c>
      <c r="AR23" t="s">
        <v>1</v>
      </c>
      <c r="AT23" s="2">
        <v>2.4580000000000002</v>
      </c>
      <c r="AU23" s="1">
        <f t="shared" si="5"/>
        <v>2.4956153496983307</v>
      </c>
      <c r="AV23" s="1">
        <f t="shared" si="6"/>
        <v>1.7960121466346852</v>
      </c>
      <c r="AW23" s="1">
        <f t="shared" si="7"/>
        <v>1.0964089435710394</v>
      </c>
    </row>
    <row r="24" spans="1:49" x14ac:dyDescent="0.2">
      <c r="A24">
        <v>22</v>
      </c>
      <c r="B24" t="s">
        <v>2082</v>
      </c>
      <c r="C24" t="s">
        <v>2081</v>
      </c>
      <c r="F24" t="s">
        <v>2080</v>
      </c>
      <c r="G24" t="s">
        <v>5</v>
      </c>
      <c r="H24" t="s">
        <v>4</v>
      </c>
      <c r="I24" t="s">
        <v>176</v>
      </c>
      <c r="J24" t="s">
        <v>2079</v>
      </c>
      <c r="K24" t="s">
        <v>2078</v>
      </c>
      <c r="L24" t="s">
        <v>2077</v>
      </c>
      <c r="M24" t="s">
        <v>18</v>
      </c>
      <c r="N24">
        <v>4</v>
      </c>
      <c r="O24" t="s">
        <v>2076</v>
      </c>
      <c r="P24" t="s">
        <v>2075</v>
      </c>
      <c r="Q24" t="s">
        <v>2074</v>
      </c>
      <c r="R24" s="7">
        <v>34304</v>
      </c>
      <c r="S24" s="8">
        <f t="shared" si="0"/>
        <v>1993</v>
      </c>
      <c r="T24" s="8">
        <v>1993</v>
      </c>
      <c r="U24" s="8">
        <f t="shared" si="1"/>
        <v>29</v>
      </c>
      <c r="V24" s="7">
        <v>1993</v>
      </c>
      <c r="W24" t="s">
        <v>1474</v>
      </c>
      <c r="X24" s="2">
        <v>1.1819999999999999</v>
      </c>
      <c r="Y24" s="6">
        <f t="shared" si="2"/>
        <v>3.1552814927524625E-2</v>
      </c>
      <c r="AA24">
        <v>36951</v>
      </c>
      <c r="AB24">
        <v>27030</v>
      </c>
      <c r="AD24" t="s">
        <v>2</v>
      </c>
      <c r="AE24">
        <v>62</v>
      </c>
      <c r="AF24">
        <v>22</v>
      </c>
      <c r="AH24" t="s">
        <v>2073</v>
      </c>
      <c r="AI24" t="s">
        <v>2072</v>
      </c>
      <c r="AK24" t="s">
        <v>2071</v>
      </c>
      <c r="AL24">
        <v>13</v>
      </c>
      <c r="AM24" s="5">
        <f t="shared" si="3"/>
        <v>0.44827586206896552</v>
      </c>
      <c r="AN24" s="4">
        <f t="shared" si="4"/>
        <v>6.7894867409157972E-4</v>
      </c>
      <c r="AO24" s="3"/>
      <c r="AP24">
        <v>0</v>
      </c>
      <c r="AR24" t="s">
        <v>1</v>
      </c>
      <c r="AT24" s="2">
        <v>3.7909999999999999</v>
      </c>
      <c r="AU24" s="1">
        <f t="shared" si="5"/>
        <v>2.229065505149471</v>
      </c>
      <c r="AV24" s="1">
        <f t="shared" si="6"/>
        <v>1.6115881800808103</v>
      </c>
      <c r="AW24" s="1">
        <f t="shared" si="7"/>
        <v>0.99411085501214935</v>
      </c>
    </row>
    <row r="25" spans="1:49" x14ac:dyDescent="0.2">
      <c r="A25">
        <v>23</v>
      </c>
      <c r="B25" t="s">
        <v>2070</v>
      </c>
      <c r="C25" t="s">
        <v>2069</v>
      </c>
      <c r="F25" t="s">
        <v>2068</v>
      </c>
      <c r="G25" t="s">
        <v>5</v>
      </c>
      <c r="H25" t="s">
        <v>4</v>
      </c>
      <c r="I25" t="s">
        <v>2067</v>
      </c>
      <c r="J25">
        <v>60069247</v>
      </c>
      <c r="K25" t="s">
        <v>2066</v>
      </c>
      <c r="L25" t="s">
        <v>2065</v>
      </c>
      <c r="M25" t="s">
        <v>31</v>
      </c>
      <c r="N25">
        <v>3</v>
      </c>
      <c r="O25" t="s">
        <v>2064</v>
      </c>
      <c r="P25" t="s">
        <v>2063</v>
      </c>
      <c r="Q25" t="s">
        <v>2062</v>
      </c>
      <c r="R25" s="7">
        <v>34304</v>
      </c>
      <c r="S25" s="8">
        <f t="shared" si="0"/>
        <v>1993</v>
      </c>
      <c r="T25" s="8">
        <v>1993</v>
      </c>
      <c r="U25" s="8">
        <f t="shared" si="1"/>
        <v>29</v>
      </c>
      <c r="V25" s="7">
        <v>34304</v>
      </c>
      <c r="W25" t="s">
        <v>2061</v>
      </c>
      <c r="X25" s="2">
        <v>0.20599999999999999</v>
      </c>
      <c r="Y25" s="6">
        <f t="shared" si="2"/>
        <v>5.4990523477750197E-3</v>
      </c>
      <c r="AA25">
        <v>9379347</v>
      </c>
      <c r="AB25">
        <v>27021</v>
      </c>
      <c r="AC25">
        <v>16137507</v>
      </c>
      <c r="AD25" t="s">
        <v>2</v>
      </c>
      <c r="AE25">
        <v>5</v>
      </c>
      <c r="AF25" s="9">
        <v>44289</v>
      </c>
      <c r="AH25" t="s">
        <v>2060</v>
      </c>
      <c r="AI25" t="s">
        <v>2059</v>
      </c>
      <c r="AK25" t="s">
        <v>2058</v>
      </c>
      <c r="AL25">
        <v>21</v>
      </c>
      <c r="AM25" s="5">
        <f t="shared" si="3"/>
        <v>0.72413793103448276</v>
      </c>
      <c r="AN25" s="4">
        <f t="shared" si="4"/>
        <v>1.0967632427633211E-3</v>
      </c>
      <c r="AO25" s="3"/>
      <c r="AP25">
        <v>0</v>
      </c>
      <c r="AR25" t="s">
        <v>1</v>
      </c>
      <c r="AT25" s="2">
        <v>0.83099999999999996</v>
      </c>
      <c r="AU25" s="1">
        <f t="shared" si="5"/>
        <v>0.41783656162715094</v>
      </c>
      <c r="AV25" s="1">
        <f t="shared" si="6"/>
        <v>0.32979077952691704</v>
      </c>
      <c r="AW25" s="1">
        <f t="shared" si="7"/>
        <v>0.24174499742668307</v>
      </c>
    </row>
    <row r="26" spans="1:49" x14ac:dyDescent="0.2">
      <c r="A26">
        <v>24</v>
      </c>
      <c r="B26" t="s">
        <v>2057</v>
      </c>
      <c r="C26" t="s">
        <v>2056</v>
      </c>
      <c r="F26" t="s">
        <v>2055</v>
      </c>
      <c r="G26" t="s">
        <v>5</v>
      </c>
      <c r="H26" t="s">
        <v>4</v>
      </c>
      <c r="I26" t="s">
        <v>2054</v>
      </c>
      <c r="J26">
        <v>60108318</v>
      </c>
      <c r="K26" t="s">
        <v>104</v>
      </c>
      <c r="L26" t="s">
        <v>59</v>
      </c>
      <c r="M26" t="s">
        <v>3</v>
      </c>
      <c r="N26">
        <v>2</v>
      </c>
      <c r="O26" t="s">
        <v>2053</v>
      </c>
      <c r="P26" t="s">
        <v>2052</v>
      </c>
      <c r="Q26" t="s">
        <v>103</v>
      </c>
      <c r="R26" s="7">
        <v>34304</v>
      </c>
      <c r="S26" s="8">
        <f t="shared" si="0"/>
        <v>1993</v>
      </c>
      <c r="T26" s="8">
        <v>1993</v>
      </c>
      <c r="U26" s="8">
        <f t="shared" si="1"/>
        <v>29</v>
      </c>
      <c r="V26" s="7">
        <v>1993</v>
      </c>
      <c r="W26" t="s">
        <v>1474</v>
      </c>
      <c r="X26" s="2">
        <v>1.1819999999999999</v>
      </c>
      <c r="Y26" s="6">
        <f t="shared" si="2"/>
        <v>3.1552814927524625E-2</v>
      </c>
      <c r="AA26">
        <v>36951</v>
      </c>
      <c r="AB26">
        <v>27030</v>
      </c>
      <c r="AD26" t="s">
        <v>2</v>
      </c>
      <c r="AE26">
        <v>62</v>
      </c>
      <c r="AF26">
        <v>11</v>
      </c>
      <c r="AH26" t="s">
        <v>2051</v>
      </c>
      <c r="AI26" t="s">
        <v>2050</v>
      </c>
      <c r="AK26" t="s">
        <v>2049</v>
      </c>
      <c r="AL26">
        <v>4</v>
      </c>
      <c r="AM26" s="5">
        <f t="shared" si="3"/>
        <v>0.13793103448275862</v>
      </c>
      <c r="AN26" s="4">
        <f t="shared" si="4"/>
        <v>2.089072843358707E-4</v>
      </c>
      <c r="AO26" s="3"/>
      <c r="AP26">
        <v>0</v>
      </c>
      <c r="AR26" t="s">
        <v>1</v>
      </c>
      <c r="AT26" s="2">
        <v>3.7909999999999999</v>
      </c>
      <c r="AU26" s="1">
        <f t="shared" si="5"/>
        <v>2.2149642634567996</v>
      </c>
      <c r="AV26" s="1">
        <f t="shared" si="6"/>
        <v>1.5880861105930246</v>
      </c>
      <c r="AW26" s="1">
        <f t="shared" si="7"/>
        <v>0.96120795772924972</v>
      </c>
    </row>
    <row r="27" spans="1:49" x14ac:dyDescent="0.2">
      <c r="A27">
        <v>25</v>
      </c>
      <c r="B27" t="s">
        <v>2048</v>
      </c>
      <c r="C27" t="s">
        <v>2047</v>
      </c>
      <c r="F27" t="s">
        <v>2046</v>
      </c>
      <c r="G27" t="s">
        <v>5</v>
      </c>
      <c r="H27" t="s">
        <v>4</v>
      </c>
      <c r="I27" t="s">
        <v>2045</v>
      </c>
      <c r="J27" t="s">
        <v>2044</v>
      </c>
      <c r="K27" t="s">
        <v>2043</v>
      </c>
      <c r="L27" t="s">
        <v>2042</v>
      </c>
      <c r="M27" t="s">
        <v>2041</v>
      </c>
      <c r="N27">
        <v>3</v>
      </c>
      <c r="O27" t="s">
        <v>2040</v>
      </c>
      <c r="P27" t="s">
        <v>2039</v>
      </c>
      <c r="Q27" t="s">
        <v>2038</v>
      </c>
      <c r="R27" s="7">
        <v>34304</v>
      </c>
      <c r="S27" s="8">
        <f t="shared" si="0"/>
        <v>1993</v>
      </c>
      <c r="T27" s="8">
        <v>1993</v>
      </c>
      <c r="U27" s="8">
        <f t="shared" si="1"/>
        <v>29</v>
      </c>
      <c r="V27" s="7">
        <v>1993</v>
      </c>
      <c r="W27" t="s">
        <v>1987</v>
      </c>
      <c r="X27" s="2">
        <v>0.69899999999999995</v>
      </c>
      <c r="Y27" s="6">
        <f t="shared" si="2"/>
        <v>1.8659405782013295E-2</v>
      </c>
      <c r="AA27">
        <v>218979</v>
      </c>
      <c r="AB27">
        <v>28132</v>
      </c>
      <c r="AD27" t="s">
        <v>2</v>
      </c>
      <c r="AE27">
        <v>74</v>
      </c>
      <c r="AF27">
        <v>4</v>
      </c>
      <c r="AH27" t="s">
        <v>2037</v>
      </c>
      <c r="AI27" t="s">
        <v>2036</v>
      </c>
      <c r="AK27" t="s">
        <v>2035</v>
      </c>
      <c r="AL27">
        <v>4</v>
      </c>
      <c r="AM27" s="5">
        <f t="shared" si="3"/>
        <v>0.13793103448275862</v>
      </c>
      <c r="AN27" s="4">
        <f t="shared" si="4"/>
        <v>2.089072843358707E-4</v>
      </c>
      <c r="AO27" s="3"/>
      <c r="AP27">
        <v>0</v>
      </c>
      <c r="AR27" t="s">
        <v>1</v>
      </c>
      <c r="AT27" s="2">
        <v>2.5459999999999998</v>
      </c>
      <c r="AU27" s="1">
        <f t="shared" si="5"/>
        <v>1.3124256232710065</v>
      </c>
      <c r="AV27" s="1">
        <f t="shared" si="6"/>
        <v>0.94341565331745836</v>
      </c>
      <c r="AW27" s="1">
        <f t="shared" si="7"/>
        <v>0.57440568336390974</v>
      </c>
    </row>
    <row r="28" spans="1:49" x14ac:dyDescent="0.2">
      <c r="A28">
        <v>26</v>
      </c>
      <c r="B28" t="s">
        <v>2034</v>
      </c>
      <c r="C28" t="s">
        <v>2033</v>
      </c>
      <c r="F28" t="s">
        <v>2032</v>
      </c>
      <c r="G28" t="s">
        <v>5</v>
      </c>
      <c r="H28" t="s">
        <v>4</v>
      </c>
      <c r="I28" t="s">
        <v>2031</v>
      </c>
      <c r="J28">
        <v>60005455</v>
      </c>
      <c r="K28" t="s">
        <v>2030</v>
      </c>
      <c r="L28" t="s">
        <v>2029</v>
      </c>
      <c r="M28" t="s">
        <v>3</v>
      </c>
      <c r="N28">
        <v>1</v>
      </c>
      <c r="O28" t="s">
        <v>2028</v>
      </c>
      <c r="P28">
        <v>7006332147</v>
      </c>
      <c r="Q28">
        <v>60005455</v>
      </c>
      <c r="R28" s="7">
        <v>34304</v>
      </c>
      <c r="S28" s="8">
        <f t="shared" si="0"/>
        <v>1993</v>
      </c>
      <c r="T28" s="8">
        <v>1993</v>
      </c>
      <c r="U28" s="8">
        <f t="shared" si="1"/>
        <v>29</v>
      </c>
      <c r="V28" s="7">
        <v>1993</v>
      </c>
      <c r="W28" t="s">
        <v>1474</v>
      </c>
      <c r="X28" s="2">
        <v>1.1819999999999999</v>
      </c>
      <c r="Y28" s="6">
        <f t="shared" si="2"/>
        <v>3.1552814927524625E-2</v>
      </c>
      <c r="AA28">
        <v>36951</v>
      </c>
      <c r="AB28">
        <v>27030</v>
      </c>
      <c r="AD28" t="s">
        <v>2</v>
      </c>
      <c r="AE28">
        <v>62</v>
      </c>
      <c r="AF28">
        <v>17</v>
      </c>
      <c r="AH28" t="s">
        <v>2027</v>
      </c>
      <c r="AI28" t="s">
        <v>2026</v>
      </c>
      <c r="AK28" t="s">
        <v>2025</v>
      </c>
      <c r="AL28">
        <v>215</v>
      </c>
      <c r="AM28" s="5">
        <f t="shared" si="3"/>
        <v>7.4137931034482758</v>
      </c>
      <c r="AN28" s="4">
        <f t="shared" si="4"/>
        <v>1.1228766533053049E-2</v>
      </c>
      <c r="AO28" s="3"/>
      <c r="AP28">
        <v>0</v>
      </c>
      <c r="AR28" t="s">
        <v>1</v>
      </c>
      <c r="AT28" s="2">
        <v>3.7909999999999999</v>
      </c>
      <c r="AU28" s="1">
        <f t="shared" si="5"/>
        <v>2.545560040918315</v>
      </c>
      <c r="AV28" s="1">
        <f t="shared" si="6"/>
        <v>2.1390790730288836</v>
      </c>
      <c r="AW28" s="1">
        <f t="shared" si="7"/>
        <v>1.7325981051394521</v>
      </c>
    </row>
    <row r="29" spans="1:49" x14ac:dyDescent="0.2">
      <c r="A29">
        <v>27</v>
      </c>
      <c r="B29" t="s">
        <v>2024</v>
      </c>
      <c r="C29" t="s">
        <v>2023</v>
      </c>
      <c r="F29" t="s">
        <v>2022</v>
      </c>
      <c r="G29" t="s">
        <v>5</v>
      </c>
      <c r="H29" t="s">
        <v>4</v>
      </c>
      <c r="I29" t="s">
        <v>2021</v>
      </c>
      <c r="J29">
        <v>60023053</v>
      </c>
      <c r="K29" t="s">
        <v>106</v>
      </c>
      <c r="L29" t="s">
        <v>105</v>
      </c>
      <c r="M29" t="s">
        <v>3</v>
      </c>
      <c r="N29">
        <v>4</v>
      </c>
      <c r="O29" t="s">
        <v>2020</v>
      </c>
      <c r="P29" t="s">
        <v>2019</v>
      </c>
      <c r="Q29" t="s">
        <v>2018</v>
      </c>
      <c r="R29" s="7">
        <v>34304</v>
      </c>
      <c r="S29" s="8">
        <f t="shared" si="0"/>
        <v>1993</v>
      </c>
      <c r="T29" s="8">
        <v>1993</v>
      </c>
      <c r="U29" s="8">
        <f t="shared" si="1"/>
        <v>29</v>
      </c>
      <c r="V29" s="7">
        <v>1993</v>
      </c>
      <c r="W29" t="s">
        <v>1474</v>
      </c>
      <c r="X29" s="2">
        <v>1.1819999999999999</v>
      </c>
      <c r="Y29" s="6">
        <f t="shared" si="2"/>
        <v>3.1552814927524625E-2</v>
      </c>
      <c r="AA29">
        <v>36951</v>
      </c>
      <c r="AB29">
        <v>27030</v>
      </c>
      <c r="AD29" t="s">
        <v>2</v>
      </c>
      <c r="AE29">
        <v>63</v>
      </c>
      <c r="AF29">
        <v>14</v>
      </c>
      <c r="AH29" t="s">
        <v>2017</v>
      </c>
      <c r="AI29" t="s">
        <v>2016</v>
      </c>
      <c r="AK29" t="s">
        <v>2015</v>
      </c>
      <c r="AL29">
        <v>48</v>
      </c>
      <c r="AM29" s="5">
        <f t="shared" si="3"/>
        <v>1.6551724137931034</v>
      </c>
      <c r="AN29" s="4">
        <f t="shared" si="4"/>
        <v>2.5068874120304481E-3</v>
      </c>
      <c r="AO29" s="3"/>
      <c r="AP29">
        <v>0</v>
      </c>
      <c r="AR29" t="s">
        <v>1</v>
      </c>
      <c r="AT29" s="2">
        <v>3.7909999999999999</v>
      </c>
      <c r="AU29" s="1">
        <f t="shared" si="5"/>
        <v>2.2839036672876367</v>
      </c>
      <c r="AV29" s="1">
        <f t="shared" si="6"/>
        <v>1.7029851169777537</v>
      </c>
      <c r="AW29" s="1">
        <f t="shared" si="7"/>
        <v>1.1220665666678702</v>
      </c>
    </row>
    <row r="30" spans="1:49" x14ac:dyDescent="0.2">
      <c r="A30">
        <v>28</v>
      </c>
      <c r="B30" t="s">
        <v>2014</v>
      </c>
      <c r="C30" t="s">
        <v>2013</v>
      </c>
      <c r="F30" t="s">
        <v>2012</v>
      </c>
      <c r="G30" t="s">
        <v>5</v>
      </c>
      <c r="H30" t="s">
        <v>4</v>
      </c>
      <c r="I30" t="s">
        <v>2011</v>
      </c>
      <c r="J30">
        <v>60074650</v>
      </c>
      <c r="K30" t="s">
        <v>2010</v>
      </c>
      <c r="L30" t="s">
        <v>70</v>
      </c>
      <c r="M30" t="s">
        <v>3</v>
      </c>
      <c r="N30">
        <v>4</v>
      </c>
      <c r="O30" t="s">
        <v>2009</v>
      </c>
      <c r="P30" t="s">
        <v>2008</v>
      </c>
      <c r="Q30" t="s">
        <v>2007</v>
      </c>
      <c r="R30" s="7">
        <v>34304</v>
      </c>
      <c r="S30" s="8">
        <f t="shared" si="0"/>
        <v>1993</v>
      </c>
      <c r="T30" s="8">
        <v>1993</v>
      </c>
      <c r="U30" s="8">
        <f t="shared" si="1"/>
        <v>29</v>
      </c>
      <c r="V30" s="7">
        <v>1993</v>
      </c>
      <c r="W30" t="s">
        <v>1474</v>
      </c>
      <c r="X30" s="2">
        <v>1.1819999999999999</v>
      </c>
      <c r="Y30" s="6">
        <f t="shared" si="2"/>
        <v>3.1552814927524625E-2</v>
      </c>
      <c r="AA30">
        <v>36951</v>
      </c>
      <c r="AB30">
        <v>27030</v>
      </c>
      <c r="AD30" t="s">
        <v>2</v>
      </c>
      <c r="AE30">
        <v>62</v>
      </c>
      <c r="AF30">
        <v>1</v>
      </c>
      <c r="AH30" t="s">
        <v>1805</v>
      </c>
      <c r="AI30" t="s">
        <v>2006</v>
      </c>
      <c r="AK30" t="s">
        <v>2005</v>
      </c>
      <c r="AL30">
        <v>34</v>
      </c>
      <c r="AM30" s="5">
        <f t="shared" si="3"/>
        <v>1.1724137931034482</v>
      </c>
      <c r="AN30" s="4">
        <f t="shared" si="4"/>
        <v>1.7757119168549007E-3</v>
      </c>
      <c r="AO30" s="3"/>
      <c r="AP30">
        <v>0</v>
      </c>
      <c r="AR30" t="s">
        <v>1</v>
      </c>
      <c r="AT30" s="2">
        <v>3.7909999999999999</v>
      </c>
      <c r="AU30" s="1">
        <f t="shared" si="5"/>
        <v>2.2619684024323705</v>
      </c>
      <c r="AV30" s="1">
        <f t="shared" si="6"/>
        <v>1.6664263422189765</v>
      </c>
      <c r="AW30" s="1">
        <f t="shared" si="7"/>
        <v>1.0708842820055817</v>
      </c>
    </row>
    <row r="31" spans="1:49" x14ac:dyDescent="0.2">
      <c r="A31">
        <v>29</v>
      </c>
      <c r="B31" t="s">
        <v>2004</v>
      </c>
      <c r="F31" t="s">
        <v>2003</v>
      </c>
      <c r="G31" t="s">
        <v>5</v>
      </c>
      <c r="H31" t="s">
        <v>4</v>
      </c>
      <c r="I31" t="s">
        <v>2002</v>
      </c>
      <c r="N31">
        <v>1</v>
      </c>
      <c r="O31" t="s">
        <v>2001</v>
      </c>
      <c r="P31">
        <v>7006136167</v>
      </c>
      <c r="R31" s="7">
        <v>34304</v>
      </c>
      <c r="S31" s="8">
        <f t="shared" si="0"/>
        <v>1993</v>
      </c>
      <c r="T31" s="8">
        <v>1993</v>
      </c>
      <c r="U31" s="8">
        <f t="shared" si="1"/>
        <v>29</v>
      </c>
      <c r="V31" s="7">
        <v>34304</v>
      </c>
      <c r="W31" t="s">
        <v>80</v>
      </c>
      <c r="X31" s="2">
        <v>0.14099999999999999</v>
      </c>
      <c r="Y31" s="6">
        <f t="shared" si="2"/>
        <v>3.7639144710498915E-3</v>
      </c>
      <c r="AA31">
        <v>402508</v>
      </c>
      <c r="AB31">
        <v>20868</v>
      </c>
      <c r="AD31" t="s">
        <v>2</v>
      </c>
      <c r="AE31">
        <v>48</v>
      </c>
      <c r="AF31">
        <v>12</v>
      </c>
      <c r="AH31" t="s">
        <v>243</v>
      </c>
      <c r="AI31" t="s">
        <v>2000</v>
      </c>
      <c r="AK31" t="s">
        <v>1999</v>
      </c>
      <c r="AL31">
        <v>0</v>
      </c>
      <c r="AM31" s="5">
        <f t="shared" si="3"/>
        <v>0</v>
      </c>
      <c r="AN31" s="4">
        <f t="shared" si="4"/>
        <v>0</v>
      </c>
      <c r="AO31" s="3"/>
      <c r="AP31">
        <v>0</v>
      </c>
      <c r="AR31" t="s">
        <v>1</v>
      </c>
      <c r="AT31" s="2" t="s">
        <v>0</v>
      </c>
      <c r="AU31" s="1">
        <f t="shared" si="5"/>
        <v>0.26347401297349238</v>
      </c>
      <c r="AV31" s="1">
        <f t="shared" si="6"/>
        <v>0.18819572355249459</v>
      </c>
      <c r="AW31" s="1">
        <f t="shared" si="7"/>
        <v>0.11291743413149673</v>
      </c>
    </row>
    <row r="32" spans="1:49" x14ac:dyDescent="0.2">
      <c r="A32">
        <v>30</v>
      </c>
      <c r="B32" t="s">
        <v>1998</v>
      </c>
      <c r="C32" t="s">
        <v>1997</v>
      </c>
      <c r="F32" t="s">
        <v>1996</v>
      </c>
      <c r="G32" t="s">
        <v>5</v>
      </c>
      <c r="H32" t="s">
        <v>4</v>
      </c>
      <c r="I32" t="s">
        <v>1995</v>
      </c>
      <c r="J32" t="s">
        <v>1994</v>
      </c>
      <c r="K32" t="s">
        <v>1993</v>
      </c>
      <c r="L32" t="s">
        <v>1992</v>
      </c>
      <c r="M32" t="s">
        <v>1991</v>
      </c>
      <c r="N32">
        <v>6</v>
      </c>
      <c r="O32" t="s">
        <v>1990</v>
      </c>
      <c r="P32" t="s">
        <v>1989</v>
      </c>
      <c r="Q32" t="s">
        <v>1988</v>
      </c>
      <c r="R32" s="7">
        <v>34304</v>
      </c>
      <c r="S32" s="8">
        <f t="shared" si="0"/>
        <v>1993</v>
      </c>
      <c r="T32" s="8">
        <v>1993</v>
      </c>
      <c r="U32" s="8">
        <f t="shared" si="1"/>
        <v>29</v>
      </c>
      <c r="V32" s="7">
        <v>1993</v>
      </c>
      <c r="W32" t="s">
        <v>1987</v>
      </c>
      <c r="X32" s="2">
        <v>0.69899999999999995</v>
      </c>
      <c r="Y32" s="6">
        <f t="shared" si="2"/>
        <v>1.8659405782013295E-2</v>
      </c>
      <c r="AA32">
        <v>218979</v>
      </c>
      <c r="AB32">
        <v>28132</v>
      </c>
      <c r="AD32" t="s">
        <v>2</v>
      </c>
      <c r="AE32">
        <v>74</v>
      </c>
      <c r="AF32">
        <v>11</v>
      </c>
      <c r="AH32" t="s">
        <v>1986</v>
      </c>
      <c r="AI32" t="s">
        <v>1985</v>
      </c>
      <c r="AK32" t="s">
        <v>1984</v>
      </c>
      <c r="AL32">
        <v>13</v>
      </c>
      <c r="AM32" s="5">
        <f t="shared" si="3"/>
        <v>0.44827586206896552</v>
      </c>
      <c r="AN32" s="4">
        <f t="shared" si="4"/>
        <v>6.7894867409157972E-4</v>
      </c>
      <c r="AO32" s="3"/>
      <c r="AP32">
        <v>0</v>
      </c>
      <c r="AR32" t="s">
        <v>1</v>
      </c>
      <c r="AT32" s="2">
        <v>2.5459999999999998</v>
      </c>
      <c r="AU32" s="1">
        <f t="shared" si="5"/>
        <v>1.3265268649636779</v>
      </c>
      <c r="AV32" s="1">
        <f t="shared" si="6"/>
        <v>0.96691772280524368</v>
      </c>
      <c r="AW32" s="1">
        <f t="shared" si="7"/>
        <v>0.60730858064680948</v>
      </c>
    </row>
    <row r="33" spans="1:49" x14ac:dyDescent="0.2">
      <c r="A33">
        <v>31</v>
      </c>
      <c r="B33" t="s">
        <v>1983</v>
      </c>
      <c r="F33" t="s">
        <v>1982</v>
      </c>
      <c r="G33" t="s">
        <v>5</v>
      </c>
      <c r="H33" t="s">
        <v>4</v>
      </c>
      <c r="I33" t="s">
        <v>1981</v>
      </c>
      <c r="J33">
        <v>60077453</v>
      </c>
      <c r="K33" t="s">
        <v>1980</v>
      </c>
      <c r="L33" t="s">
        <v>49</v>
      </c>
      <c r="M33" t="s">
        <v>3</v>
      </c>
      <c r="N33">
        <v>1</v>
      </c>
      <c r="O33" t="s">
        <v>1979</v>
      </c>
      <c r="P33">
        <v>7102744426</v>
      </c>
      <c r="Q33">
        <v>60077453</v>
      </c>
      <c r="R33" s="7">
        <v>34304</v>
      </c>
      <c r="S33" s="8">
        <f t="shared" si="0"/>
        <v>1993</v>
      </c>
      <c r="T33" s="8">
        <v>1993</v>
      </c>
      <c r="U33" s="8">
        <f t="shared" si="1"/>
        <v>29</v>
      </c>
      <c r="V33" s="7">
        <v>1993</v>
      </c>
      <c r="W33" t="s">
        <v>1693</v>
      </c>
      <c r="X33" s="2" t="s">
        <v>0</v>
      </c>
      <c r="Y33" s="6" t="e">
        <f t="shared" si="2"/>
        <v>#VALUE!</v>
      </c>
      <c r="AA33">
        <v>9248625</v>
      </c>
      <c r="AB33">
        <v>12897</v>
      </c>
      <c r="AD33" t="s">
        <v>2</v>
      </c>
      <c r="AE33">
        <v>11</v>
      </c>
      <c r="AF33">
        <v>3</v>
      </c>
      <c r="AH33" t="s">
        <v>1978</v>
      </c>
      <c r="AI33" t="s">
        <v>1977</v>
      </c>
      <c r="AK33" t="s">
        <v>1976</v>
      </c>
      <c r="AL33">
        <v>3</v>
      </c>
      <c r="AM33" s="5">
        <f t="shared" si="3"/>
        <v>0.10344827586206896</v>
      </c>
      <c r="AN33" s="4">
        <f t="shared" si="4"/>
        <v>1.5668046325190301E-4</v>
      </c>
      <c r="AO33" s="3"/>
      <c r="AP33">
        <v>0</v>
      </c>
      <c r="AR33" t="s">
        <v>1</v>
      </c>
      <c r="AT33" s="2" t="s">
        <v>0</v>
      </c>
      <c r="AU33" s="1" t="e">
        <f t="shared" si="5"/>
        <v>#VALUE!</v>
      </c>
      <c r="AV33" s="1" t="e">
        <f t="shared" si="6"/>
        <v>#VALUE!</v>
      </c>
      <c r="AW33" s="1" t="e">
        <f t="shared" si="7"/>
        <v>#VALUE!</v>
      </c>
    </row>
    <row r="34" spans="1:49" x14ac:dyDescent="0.2">
      <c r="A34">
        <v>32</v>
      </c>
      <c r="B34" t="s">
        <v>1975</v>
      </c>
      <c r="C34" t="s">
        <v>1974</v>
      </c>
      <c r="F34" t="s">
        <v>1973</v>
      </c>
      <c r="G34" t="s">
        <v>5</v>
      </c>
      <c r="H34" t="s">
        <v>4</v>
      </c>
      <c r="I34" t="s">
        <v>1972</v>
      </c>
      <c r="J34">
        <v>60009037</v>
      </c>
      <c r="K34" t="s">
        <v>42</v>
      </c>
      <c r="L34" t="s">
        <v>41</v>
      </c>
      <c r="M34" t="s">
        <v>3</v>
      </c>
      <c r="N34">
        <v>3</v>
      </c>
      <c r="O34" t="s">
        <v>1971</v>
      </c>
      <c r="P34" t="s">
        <v>1970</v>
      </c>
      <c r="Q34" t="s">
        <v>1969</v>
      </c>
      <c r="R34" s="7">
        <v>34304</v>
      </c>
      <c r="S34" s="8">
        <f t="shared" si="0"/>
        <v>1993</v>
      </c>
      <c r="T34" s="8">
        <v>1993</v>
      </c>
      <c r="U34" s="8">
        <f t="shared" si="1"/>
        <v>29</v>
      </c>
      <c r="V34" s="7">
        <v>34304</v>
      </c>
      <c r="W34" t="s">
        <v>109</v>
      </c>
      <c r="X34" s="2">
        <v>0.61499999999999999</v>
      </c>
      <c r="Y34" s="6">
        <f t="shared" si="2"/>
        <v>1.6417073756706976E-2</v>
      </c>
      <c r="AA34">
        <v>1959271</v>
      </c>
      <c r="AB34">
        <v>12141</v>
      </c>
      <c r="AC34">
        <v>15729559</v>
      </c>
      <c r="AD34" t="s">
        <v>2</v>
      </c>
      <c r="AE34">
        <v>14</v>
      </c>
      <c r="AF34">
        <v>12</v>
      </c>
      <c r="AH34" t="s">
        <v>1968</v>
      </c>
      <c r="AI34" t="s">
        <v>1967</v>
      </c>
      <c r="AK34" t="s">
        <v>1966</v>
      </c>
      <c r="AL34">
        <v>0</v>
      </c>
      <c r="AM34" s="5">
        <f t="shared" si="3"/>
        <v>0</v>
      </c>
      <c r="AN34" s="4">
        <f t="shared" si="4"/>
        <v>0</v>
      </c>
      <c r="AO34" s="3"/>
      <c r="AP34">
        <v>0</v>
      </c>
      <c r="AR34" t="s">
        <v>1</v>
      </c>
      <c r="AT34" s="2" t="s">
        <v>0</v>
      </c>
      <c r="AU34" s="1">
        <f t="shared" si="5"/>
        <v>1.1491951629694881</v>
      </c>
      <c r="AV34" s="1">
        <f t="shared" si="6"/>
        <v>0.82085368783534873</v>
      </c>
      <c r="AW34" s="1">
        <f t="shared" si="7"/>
        <v>0.49251221270120926</v>
      </c>
    </row>
    <row r="35" spans="1:49" x14ac:dyDescent="0.2">
      <c r="A35">
        <v>33</v>
      </c>
      <c r="B35" t="s">
        <v>1965</v>
      </c>
      <c r="F35" t="s">
        <v>1964</v>
      </c>
      <c r="G35" t="s">
        <v>5</v>
      </c>
      <c r="H35" t="s">
        <v>4</v>
      </c>
      <c r="I35" t="s">
        <v>1963</v>
      </c>
      <c r="J35">
        <v>60092258</v>
      </c>
      <c r="K35" t="s">
        <v>193</v>
      </c>
      <c r="L35" t="s">
        <v>78</v>
      </c>
      <c r="M35" t="s">
        <v>13</v>
      </c>
      <c r="N35">
        <v>2</v>
      </c>
      <c r="O35" t="s">
        <v>1962</v>
      </c>
      <c r="P35" t="s">
        <v>1961</v>
      </c>
      <c r="Q35" t="s">
        <v>1960</v>
      </c>
      <c r="R35" s="7">
        <v>34304</v>
      </c>
      <c r="S35" s="8">
        <f t="shared" si="0"/>
        <v>1993</v>
      </c>
      <c r="T35" s="8">
        <v>1993</v>
      </c>
      <c r="U35" s="8">
        <f t="shared" si="1"/>
        <v>29</v>
      </c>
      <c r="V35" s="7">
        <v>1993</v>
      </c>
      <c r="W35" t="s">
        <v>1693</v>
      </c>
      <c r="X35" s="2" t="s">
        <v>0</v>
      </c>
      <c r="Y35" s="6" t="e">
        <f t="shared" si="2"/>
        <v>#VALUE!</v>
      </c>
      <c r="AA35">
        <v>9248625</v>
      </c>
      <c r="AB35">
        <v>12897</v>
      </c>
      <c r="AD35" t="s">
        <v>2</v>
      </c>
      <c r="AE35">
        <v>11</v>
      </c>
      <c r="AF35">
        <v>3</v>
      </c>
      <c r="AH35" t="s">
        <v>1959</v>
      </c>
      <c r="AI35" t="s">
        <v>1958</v>
      </c>
      <c r="AK35" t="s">
        <v>1957</v>
      </c>
      <c r="AL35">
        <v>7</v>
      </c>
      <c r="AM35" s="5">
        <f t="shared" si="3"/>
        <v>0.2413793103448276</v>
      </c>
      <c r="AN35" s="4">
        <f t="shared" si="4"/>
        <v>3.655877475877737E-4</v>
      </c>
      <c r="AO35" s="3"/>
      <c r="AP35">
        <v>0</v>
      </c>
      <c r="AR35" t="s">
        <v>1</v>
      </c>
      <c r="AT35" s="2" t="s">
        <v>0</v>
      </c>
      <c r="AU35" s="1" t="e">
        <f t="shared" si="5"/>
        <v>#VALUE!</v>
      </c>
      <c r="AV35" s="1" t="e">
        <f t="shared" si="6"/>
        <v>#VALUE!</v>
      </c>
      <c r="AW35" s="1" t="e">
        <f t="shared" si="7"/>
        <v>#VALUE!</v>
      </c>
    </row>
    <row r="36" spans="1:49" x14ac:dyDescent="0.2">
      <c r="A36">
        <v>34</v>
      </c>
      <c r="B36" t="s">
        <v>1956</v>
      </c>
      <c r="F36" t="s">
        <v>1955</v>
      </c>
      <c r="G36" t="s">
        <v>5</v>
      </c>
      <c r="H36" t="s">
        <v>4</v>
      </c>
      <c r="I36" t="s">
        <v>1954</v>
      </c>
      <c r="J36">
        <v>60008435</v>
      </c>
      <c r="K36" t="s">
        <v>136</v>
      </c>
      <c r="L36" t="s">
        <v>135</v>
      </c>
      <c r="M36" t="s">
        <v>13</v>
      </c>
      <c r="N36">
        <v>4</v>
      </c>
      <c r="O36" t="s">
        <v>1953</v>
      </c>
      <c r="P36" t="s">
        <v>1952</v>
      </c>
      <c r="Q36" t="s">
        <v>1045</v>
      </c>
      <c r="R36" s="7">
        <v>34304</v>
      </c>
      <c r="S36" s="8">
        <f t="shared" si="0"/>
        <v>1993</v>
      </c>
      <c r="T36" s="8">
        <v>1993</v>
      </c>
      <c r="U36" s="8">
        <f t="shared" si="1"/>
        <v>29</v>
      </c>
      <c r="V36" s="7">
        <v>34304</v>
      </c>
      <c r="W36" t="s">
        <v>76</v>
      </c>
      <c r="X36" s="2">
        <v>0.21099999999999999</v>
      </c>
      <c r="Y36" s="6">
        <f t="shared" si="2"/>
        <v>5.6325244921384904E-3</v>
      </c>
      <c r="AA36">
        <v>9168516</v>
      </c>
      <c r="AB36">
        <v>18936</v>
      </c>
      <c r="AD36" t="s">
        <v>2</v>
      </c>
      <c r="AE36" t="s">
        <v>75</v>
      </c>
      <c r="AF36">
        <v>12</v>
      </c>
      <c r="AH36" t="s">
        <v>1951</v>
      </c>
      <c r="AI36" t="s">
        <v>1950</v>
      </c>
      <c r="AK36" t="s">
        <v>1949</v>
      </c>
      <c r="AL36">
        <v>16</v>
      </c>
      <c r="AM36" s="5">
        <f t="shared" si="3"/>
        <v>0.55172413793103448</v>
      </c>
      <c r="AN36" s="4">
        <f t="shared" si="4"/>
        <v>8.3562913734348278E-4</v>
      </c>
      <c r="AO36" s="3"/>
      <c r="AP36">
        <v>0</v>
      </c>
      <c r="AR36" t="s">
        <v>1</v>
      </c>
      <c r="AT36" s="2">
        <v>0.52500000000000002</v>
      </c>
      <c r="AU36" s="1">
        <f t="shared" si="5"/>
        <v>0.41934558856999876</v>
      </c>
      <c r="AV36" s="1">
        <f t="shared" si="6"/>
        <v>0.32340768147409865</v>
      </c>
      <c r="AW36" s="1">
        <f t="shared" si="7"/>
        <v>0.22746977437819849</v>
      </c>
    </row>
    <row r="37" spans="1:49" x14ac:dyDescent="0.2">
      <c r="A37">
        <v>35</v>
      </c>
      <c r="B37" t="s">
        <v>1948</v>
      </c>
      <c r="F37" t="s">
        <v>1947</v>
      </c>
      <c r="G37" t="s">
        <v>5</v>
      </c>
      <c r="H37" t="s">
        <v>4</v>
      </c>
      <c r="I37" t="s">
        <v>1946</v>
      </c>
      <c r="J37">
        <v>60025555</v>
      </c>
      <c r="K37" t="s">
        <v>81</v>
      </c>
      <c r="L37" t="s">
        <v>14</v>
      </c>
      <c r="M37" t="s">
        <v>13</v>
      </c>
      <c r="N37">
        <v>4</v>
      </c>
      <c r="O37" t="s">
        <v>1945</v>
      </c>
      <c r="P37" t="s">
        <v>1944</v>
      </c>
      <c r="Q37" t="s">
        <v>178</v>
      </c>
      <c r="R37" s="7">
        <v>34304</v>
      </c>
      <c r="S37" s="8">
        <f t="shared" si="0"/>
        <v>1993</v>
      </c>
      <c r="T37" s="8">
        <v>1993</v>
      </c>
      <c r="U37" s="8">
        <f t="shared" si="1"/>
        <v>29</v>
      </c>
      <c r="V37" s="7">
        <v>1993</v>
      </c>
      <c r="W37" t="s">
        <v>1909</v>
      </c>
      <c r="X37" s="2" t="s">
        <v>0</v>
      </c>
      <c r="Y37" s="6" t="e">
        <f t="shared" si="2"/>
        <v>#VALUE!</v>
      </c>
      <c r="AA37">
        <v>9152326</v>
      </c>
      <c r="AB37">
        <v>21390</v>
      </c>
      <c r="AD37" t="s">
        <v>2</v>
      </c>
      <c r="AE37">
        <v>42</v>
      </c>
      <c r="AF37">
        <v>6</v>
      </c>
      <c r="AH37" t="s">
        <v>1943</v>
      </c>
      <c r="AI37" t="s">
        <v>1942</v>
      </c>
      <c r="AK37" t="s">
        <v>1941</v>
      </c>
      <c r="AL37">
        <v>0</v>
      </c>
      <c r="AM37" s="5">
        <f t="shared" si="3"/>
        <v>0</v>
      </c>
      <c r="AN37" s="4">
        <f t="shared" si="4"/>
        <v>0</v>
      </c>
      <c r="AO37" s="3"/>
      <c r="AP37">
        <v>0</v>
      </c>
      <c r="AR37" t="s">
        <v>1</v>
      </c>
      <c r="AT37" s="2" t="s">
        <v>0</v>
      </c>
      <c r="AU37" s="1" t="e">
        <f t="shared" si="5"/>
        <v>#VALUE!</v>
      </c>
      <c r="AV37" s="1" t="e">
        <f t="shared" si="6"/>
        <v>#VALUE!</v>
      </c>
      <c r="AW37" s="1" t="e">
        <f t="shared" si="7"/>
        <v>#VALUE!</v>
      </c>
    </row>
    <row r="38" spans="1:49" x14ac:dyDescent="0.2">
      <c r="A38">
        <v>36</v>
      </c>
      <c r="B38" t="s">
        <v>1940</v>
      </c>
      <c r="C38" t="s">
        <v>1939</v>
      </c>
      <c r="F38" t="s">
        <v>1938</v>
      </c>
      <c r="G38" t="s">
        <v>5</v>
      </c>
      <c r="H38" t="s">
        <v>4</v>
      </c>
      <c r="I38" t="s">
        <v>1937</v>
      </c>
      <c r="J38">
        <v>60031581</v>
      </c>
      <c r="K38" t="s">
        <v>183</v>
      </c>
      <c r="L38" t="s">
        <v>41</v>
      </c>
      <c r="M38" t="s">
        <v>3</v>
      </c>
      <c r="N38">
        <v>3</v>
      </c>
      <c r="O38" t="s">
        <v>1936</v>
      </c>
      <c r="P38" t="s">
        <v>1935</v>
      </c>
      <c r="Q38" t="s">
        <v>846</v>
      </c>
      <c r="R38" s="7">
        <v>34304</v>
      </c>
      <c r="S38" s="8">
        <f t="shared" si="0"/>
        <v>1993</v>
      </c>
      <c r="T38" s="8">
        <v>1993</v>
      </c>
      <c r="U38" s="8">
        <f t="shared" si="1"/>
        <v>29</v>
      </c>
      <c r="V38" s="7">
        <v>34304</v>
      </c>
      <c r="W38" t="s">
        <v>61</v>
      </c>
      <c r="X38" s="2">
        <v>0.94</v>
      </c>
      <c r="Y38" s="6">
        <f t="shared" si="2"/>
        <v>2.5092763140332611E-2</v>
      </c>
      <c r="AA38">
        <v>10518207</v>
      </c>
      <c r="AB38">
        <v>63372</v>
      </c>
      <c r="AD38" t="s">
        <v>2</v>
      </c>
      <c r="AE38">
        <v>3</v>
      </c>
      <c r="AF38">
        <v>12</v>
      </c>
      <c r="AH38" t="s">
        <v>1934</v>
      </c>
      <c r="AI38" t="s">
        <v>1933</v>
      </c>
      <c r="AK38" t="s">
        <v>1932</v>
      </c>
      <c r="AL38">
        <v>11</v>
      </c>
      <c r="AM38" s="5">
        <f t="shared" si="3"/>
        <v>0.37931034482758619</v>
      </c>
      <c r="AN38" s="4">
        <f t="shared" si="4"/>
        <v>5.7449503192364435E-4</v>
      </c>
      <c r="AO38" s="3"/>
      <c r="AP38">
        <v>0</v>
      </c>
      <c r="AQ38" t="s">
        <v>40</v>
      </c>
      <c r="AR38" t="s">
        <v>1</v>
      </c>
      <c r="AS38" t="s">
        <v>39</v>
      </c>
      <c r="AT38" s="2" t="s">
        <v>0</v>
      </c>
      <c r="AU38" s="1">
        <f t="shared" si="5"/>
        <v>1.7737282707809918</v>
      </c>
      <c r="AV38" s="1">
        <f t="shared" si="6"/>
        <v>1.2833629086128129</v>
      </c>
      <c r="AW38" s="1">
        <f t="shared" si="7"/>
        <v>0.79299754644463349</v>
      </c>
    </row>
    <row r="39" spans="1:49" x14ac:dyDescent="0.2">
      <c r="A39">
        <v>37</v>
      </c>
      <c r="B39" t="s">
        <v>1931</v>
      </c>
      <c r="F39" t="s">
        <v>1930</v>
      </c>
      <c r="G39" t="s">
        <v>5</v>
      </c>
      <c r="H39" t="s">
        <v>4</v>
      </c>
      <c r="I39" t="s">
        <v>1929</v>
      </c>
      <c r="J39">
        <v>101245684</v>
      </c>
      <c r="K39" t="s">
        <v>1928</v>
      </c>
      <c r="L39" t="s">
        <v>14</v>
      </c>
      <c r="M39" t="s">
        <v>13</v>
      </c>
      <c r="N39">
        <v>3</v>
      </c>
      <c r="O39" t="s">
        <v>1927</v>
      </c>
      <c r="P39" t="s">
        <v>1926</v>
      </c>
      <c r="Q39" t="s">
        <v>1925</v>
      </c>
      <c r="R39" s="7">
        <v>34304</v>
      </c>
      <c r="S39" s="8">
        <f t="shared" si="0"/>
        <v>1993</v>
      </c>
      <c r="T39" s="8">
        <v>1993</v>
      </c>
      <c r="U39" s="8">
        <f t="shared" si="1"/>
        <v>29</v>
      </c>
      <c r="V39" s="7">
        <v>34304</v>
      </c>
      <c r="W39" t="s">
        <v>76</v>
      </c>
      <c r="X39" s="2">
        <v>0.21099999999999999</v>
      </c>
      <c r="Y39" s="6">
        <f t="shared" si="2"/>
        <v>5.6325244921384904E-3</v>
      </c>
      <c r="AA39">
        <v>9168516</v>
      </c>
      <c r="AB39">
        <v>18936</v>
      </c>
      <c r="AD39" t="s">
        <v>2</v>
      </c>
      <c r="AE39" t="s">
        <v>75</v>
      </c>
      <c r="AF39">
        <v>12</v>
      </c>
      <c r="AH39" t="s">
        <v>1924</v>
      </c>
      <c r="AI39" t="s">
        <v>1923</v>
      </c>
      <c r="AK39" t="s">
        <v>1922</v>
      </c>
      <c r="AL39">
        <v>11</v>
      </c>
      <c r="AM39" s="5">
        <f t="shared" si="3"/>
        <v>0.37931034482758619</v>
      </c>
      <c r="AN39" s="4">
        <f t="shared" si="4"/>
        <v>5.7449503192364435E-4</v>
      </c>
      <c r="AO39" s="3"/>
      <c r="AP39">
        <v>0</v>
      </c>
      <c r="AR39" t="s">
        <v>1</v>
      </c>
      <c r="AT39" s="2">
        <v>0.52500000000000002</v>
      </c>
      <c r="AU39" s="1">
        <f t="shared" si="5"/>
        <v>0.41151156540740363</v>
      </c>
      <c r="AV39" s="1">
        <f t="shared" si="6"/>
        <v>0.31035097620310675</v>
      </c>
      <c r="AW39" s="1">
        <f t="shared" si="7"/>
        <v>0.20919038699880982</v>
      </c>
    </row>
    <row r="40" spans="1:49" x14ac:dyDescent="0.2">
      <c r="A40">
        <v>38</v>
      </c>
      <c r="B40" t="s">
        <v>1921</v>
      </c>
      <c r="F40" t="s">
        <v>1920</v>
      </c>
      <c r="G40" t="s">
        <v>5</v>
      </c>
      <c r="H40" t="s">
        <v>4</v>
      </c>
      <c r="I40" t="s">
        <v>1919</v>
      </c>
      <c r="J40">
        <v>100404983</v>
      </c>
      <c r="K40" t="s">
        <v>721</v>
      </c>
      <c r="N40">
        <v>1</v>
      </c>
      <c r="O40" t="s">
        <v>1918</v>
      </c>
      <c r="P40">
        <v>6602588589</v>
      </c>
      <c r="Q40">
        <v>100404983</v>
      </c>
      <c r="R40" s="7">
        <v>34304</v>
      </c>
      <c r="S40" s="8">
        <f t="shared" si="0"/>
        <v>1993</v>
      </c>
      <c r="T40" s="8">
        <v>1993</v>
      </c>
      <c r="U40" s="8">
        <f t="shared" si="1"/>
        <v>29</v>
      </c>
      <c r="V40" s="7">
        <v>34304</v>
      </c>
      <c r="W40" t="s">
        <v>719</v>
      </c>
      <c r="X40" s="2" t="s">
        <v>0</v>
      </c>
      <c r="Y40" s="6" t="e">
        <f t="shared" si="2"/>
        <v>#VALUE!</v>
      </c>
      <c r="AA40">
        <v>354279</v>
      </c>
      <c r="AB40">
        <v>39821</v>
      </c>
      <c r="AD40" t="s">
        <v>2</v>
      </c>
      <c r="AE40">
        <v>25</v>
      </c>
      <c r="AF40">
        <v>4</v>
      </c>
      <c r="AH40" t="s">
        <v>1917</v>
      </c>
      <c r="AI40" t="s">
        <v>1916</v>
      </c>
      <c r="AK40" t="s">
        <v>1915</v>
      </c>
      <c r="AL40">
        <v>0</v>
      </c>
      <c r="AM40" s="5">
        <f t="shared" si="3"/>
        <v>0</v>
      </c>
      <c r="AN40" s="4">
        <f t="shared" si="4"/>
        <v>0</v>
      </c>
      <c r="AO40" s="3"/>
      <c r="AP40">
        <v>0</v>
      </c>
      <c r="AR40" t="s">
        <v>1</v>
      </c>
      <c r="AT40" s="2" t="s">
        <v>0</v>
      </c>
      <c r="AU40" s="1" t="e">
        <f t="shared" si="5"/>
        <v>#VALUE!</v>
      </c>
      <c r="AV40" s="1" t="e">
        <f t="shared" si="6"/>
        <v>#VALUE!</v>
      </c>
      <c r="AW40" s="1" t="e">
        <f t="shared" si="7"/>
        <v>#VALUE!</v>
      </c>
    </row>
    <row r="41" spans="1:49" x14ac:dyDescent="0.2">
      <c r="A41">
        <v>39</v>
      </c>
      <c r="B41" t="s">
        <v>1914</v>
      </c>
      <c r="F41" t="s">
        <v>1913</v>
      </c>
      <c r="G41" t="s">
        <v>5</v>
      </c>
      <c r="H41" t="s">
        <v>4</v>
      </c>
      <c r="I41" t="s">
        <v>1912</v>
      </c>
      <c r="J41">
        <v>60025555</v>
      </c>
      <c r="K41" t="s">
        <v>81</v>
      </c>
      <c r="L41" t="s">
        <v>14</v>
      </c>
      <c r="M41" t="s">
        <v>13</v>
      </c>
      <c r="N41">
        <v>2</v>
      </c>
      <c r="O41" t="s">
        <v>1911</v>
      </c>
      <c r="P41" t="s">
        <v>1910</v>
      </c>
      <c r="Q41" t="s">
        <v>99</v>
      </c>
      <c r="R41" s="7">
        <v>34304</v>
      </c>
      <c r="S41" s="8">
        <f t="shared" si="0"/>
        <v>1993</v>
      </c>
      <c r="T41" s="8">
        <v>1993</v>
      </c>
      <c r="U41" s="8">
        <f t="shared" si="1"/>
        <v>29</v>
      </c>
      <c r="V41" s="7">
        <v>1993</v>
      </c>
      <c r="W41" t="s">
        <v>1909</v>
      </c>
      <c r="X41" s="2" t="s">
        <v>0</v>
      </c>
      <c r="Y41" s="6" t="e">
        <f t="shared" si="2"/>
        <v>#VALUE!</v>
      </c>
      <c r="AA41">
        <v>9152326</v>
      </c>
      <c r="AB41">
        <v>21390</v>
      </c>
      <c r="AD41" t="s">
        <v>2</v>
      </c>
      <c r="AE41">
        <v>42</v>
      </c>
      <c r="AF41">
        <v>9</v>
      </c>
      <c r="AH41" t="s">
        <v>1908</v>
      </c>
      <c r="AI41" t="s">
        <v>1907</v>
      </c>
      <c r="AK41" t="s">
        <v>1906</v>
      </c>
      <c r="AL41">
        <v>0</v>
      </c>
      <c r="AM41" s="5">
        <f t="shared" si="3"/>
        <v>0</v>
      </c>
      <c r="AN41" s="4">
        <f t="shared" si="4"/>
        <v>0</v>
      </c>
      <c r="AO41" s="3"/>
      <c r="AP41">
        <v>0</v>
      </c>
      <c r="AR41" t="s">
        <v>1</v>
      </c>
      <c r="AT41" s="2" t="s">
        <v>0</v>
      </c>
      <c r="AU41" s="1" t="e">
        <f t="shared" si="5"/>
        <v>#VALUE!</v>
      </c>
      <c r="AV41" s="1" t="e">
        <f t="shared" si="6"/>
        <v>#VALUE!</v>
      </c>
      <c r="AW41" s="1" t="e">
        <f t="shared" si="7"/>
        <v>#VALUE!</v>
      </c>
    </row>
    <row r="42" spans="1:49" x14ac:dyDescent="0.2">
      <c r="A42">
        <v>40</v>
      </c>
      <c r="B42" t="s">
        <v>1905</v>
      </c>
      <c r="F42" t="s">
        <v>1904</v>
      </c>
      <c r="G42" t="s">
        <v>5</v>
      </c>
      <c r="H42" t="s">
        <v>4</v>
      </c>
      <c r="I42" t="s">
        <v>1903</v>
      </c>
      <c r="J42">
        <v>60014652</v>
      </c>
      <c r="K42" t="s">
        <v>74</v>
      </c>
      <c r="L42" t="s">
        <v>73</v>
      </c>
      <c r="M42" t="s">
        <v>13</v>
      </c>
      <c r="N42">
        <v>2</v>
      </c>
      <c r="O42" t="s">
        <v>1902</v>
      </c>
      <c r="P42" t="s">
        <v>1901</v>
      </c>
      <c r="Q42" t="s">
        <v>1900</v>
      </c>
      <c r="R42" s="7">
        <v>34304</v>
      </c>
      <c r="S42" s="8">
        <f t="shared" si="0"/>
        <v>1993</v>
      </c>
      <c r="T42" s="8">
        <v>1993</v>
      </c>
      <c r="U42" s="8">
        <f t="shared" si="1"/>
        <v>29</v>
      </c>
      <c r="V42" s="7">
        <v>34304</v>
      </c>
      <c r="W42" t="s">
        <v>76</v>
      </c>
      <c r="X42" s="2">
        <v>0.21099999999999999</v>
      </c>
      <c r="Y42" s="6">
        <f t="shared" si="2"/>
        <v>5.6325244921384904E-3</v>
      </c>
      <c r="AA42">
        <v>9168516</v>
      </c>
      <c r="AB42">
        <v>18936</v>
      </c>
      <c r="AD42" t="s">
        <v>2</v>
      </c>
      <c r="AE42" t="s">
        <v>75</v>
      </c>
      <c r="AF42">
        <v>12</v>
      </c>
      <c r="AH42" t="s">
        <v>1899</v>
      </c>
      <c r="AI42" t="s">
        <v>1898</v>
      </c>
      <c r="AK42" t="s">
        <v>1897</v>
      </c>
      <c r="AL42">
        <v>7</v>
      </c>
      <c r="AM42" s="5">
        <f t="shared" si="3"/>
        <v>0.2413793103448276</v>
      </c>
      <c r="AN42" s="4">
        <f t="shared" si="4"/>
        <v>3.655877475877737E-4</v>
      </c>
      <c r="AO42" s="3"/>
      <c r="AP42">
        <v>0</v>
      </c>
      <c r="AR42" t="s">
        <v>1</v>
      </c>
      <c r="AT42" s="2">
        <v>0.52500000000000002</v>
      </c>
      <c r="AU42" s="1">
        <f t="shared" si="5"/>
        <v>0.40524434687732747</v>
      </c>
      <c r="AV42" s="1">
        <f t="shared" si="6"/>
        <v>0.29990561198631321</v>
      </c>
      <c r="AW42" s="1">
        <f t="shared" si="7"/>
        <v>0.19456687709529888</v>
      </c>
    </row>
    <row r="43" spans="1:49" x14ac:dyDescent="0.2">
      <c r="A43">
        <v>41</v>
      </c>
      <c r="B43" t="s">
        <v>1896</v>
      </c>
      <c r="F43" t="s">
        <v>1895</v>
      </c>
      <c r="G43" t="s">
        <v>5</v>
      </c>
      <c r="H43" t="s">
        <v>4</v>
      </c>
      <c r="I43" t="s">
        <v>1894</v>
      </c>
      <c r="J43">
        <v>60032325</v>
      </c>
      <c r="K43" t="s">
        <v>79</v>
      </c>
      <c r="L43" t="s">
        <v>78</v>
      </c>
      <c r="M43" t="s">
        <v>13</v>
      </c>
      <c r="N43">
        <v>1</v>
      </c>
      <c r="O43" t="s">
        <v>1893</v>
      </c>
      <c r="P43">
        <v>7005147454</v>
      </c>
      <c r="Q43">
        <v>60032325</v>
      </c>
      <c r="R43" s="7">
        <v>34304</v>
      </c>
      <c r="S43" s="8">
        <f t="shared" si="0"/>
        <v>1993</v>
      </c>
      <c r="T43" s="8">
        <v>1993</v>
      </c>
      <c r="U43" s="8">
        <f t="shared" si="1"/>
        <v>29</v>
      </c>
      <c r="V43" s="7">
        <v>34304</v>
      </c>
      <c r="W43" t="s">
        <v>76</v>
      </c>
      <c r="X43" s="2">
        <v>0.21099999999999999</v>
      </c>
      <c r="Y43" s="6">
        <f t="shared" si="2"/>
        <v>5.6325244921384904E-3</v>
      </c>
      <c r="AA43">
        <v>9168516</v>
      </c>
      <c r="AB43">
        <v>18936</v>
      </c>
      <c r="AD43" t="s">
        <v>2</v>
      </c>
      <c r="AE43" t="s">
        <v>75</v>
      </c>
      <c r="AF43">
        <v>12</v>
      </c>
      <c r="AH43" t="s">
        <v>1892</v>
      </c>
      <c r="AI43" t="s">
        <v>1891</v>
      </c>
      <c r="AK43" t="s">
        <v>1890</v>
      </c>
      <c r="AL43">
        <v>3</v>
      </c>
      <c r="AM43" s="5">
        <f t="shared" si="3"/>
        <v>0.10344827586206896</v>
      </c>
      <c r="AN43" s="4">
        <f t="shared" si="4"/>
        <v>1.5668046325190301E-4</v>
      </c>
      <c r="AO43" s="3"/>
      <c r="AP43">
        <v>0</v>
      </c>
      <c r="AR43" t="s">
        <v>1</v>
      </c>
      <c r="AT43" s="2">
        <v>0.52500000000000002</v>
      </c>
      <c r="AU43" s="1">
        <f t="shared" si="5"/>
        <v>0.39897712834725141</v>
      </c>
      <c r="AV43" s="1">
        <f t="shared" si="6"/>
        <v>0.28946024776951967</v>
      </c>
      <c r="AW43" s="1">
        <f t="shared" si="7"/>
        <v>0.17994336719178791</v>
      </c>
    </row>
    <row r="44" spans="1:49" x14ac:dyDescent="0.2">
      <c r="A44">
        <v>42</v>
      </c>
      <c r="B44" t="s">
        <v>1889</v>
      </c>
      <c r="F44" t="s">
        <v>1888</v>
      </c>
      <c r="G44" t="s">
        <v>5</v>
      </c>
      <c r="H44" t="s">
        <v>4</v>
      </c>
      <c r="I44" t="s">
        <v>1887</v>
      </c>
      <c r="J44">
        <v>60026638</v>
      </c>
      <c r="K44" t="s">
        <v>198</v>
      </c>
      <c r="L44" t="s">
        <v>153</v>
      </c>
      <c r="M44" t="s">
        <v>152</v>
      </c>
      <c r="N44">
        <v>1</v>
      </c>
      <c r="O44" t="s">
        <v>1886</v>
      </c>
      <c r="P44">
        <v>6602771454</v>
      </c>
      <c r="Q44">
        <v>60026638</v>
      </c>
      <c r="R44" s="7">
        <v>34304</v>
      </c>
      <c r="S44" s="8">
        <f t="shared" si="0"/>
        <v>1993</v>
      </c>
      <c r="T44" s="8">
        <v>1993</v>
      </c>
      <c r="U44" s="8">
        <f t="shared" si="1"/>
        <v>29</v>
      </c>
      <c r="V44" s="7">
        <v>1993</v>
      </c>
      <c r="W44" t="s">
        <v>1825</v>
      </c>
      <c r="X44" s="2" t="s">
        <v>0</v>
      </c>
      <c r="Y44" s="6" t="e">
        <f t="shared" si="2"/>
        <v>#VALUE!</v>
      </c>
      <c r="AA44">
        <v>134252</v>
      </c>
      <c r="AB44">
        <v>32198</v>
      </c>
      <c r="AD44" t="s">
        <v>2</v>
      </c>
      <c r="AF44" t="s">
        <v>1824</v>
      </c>
      <c r="AH44" t="s">
        <v>1885</v>
      </c>
      <c r="AI44" t="s">
        <v>1884</v>
      </c>
      <c r="AK44" t="s">
        <v>1883</v>
      </c>
      <c r="AL44">
        <v>1</v>
      </c>
      <c r="AM44" s="5">
        <f t="shared" si="3"/>
        <v>3.4482758620689655E-2</v>
      </c>
      <c r="AN44" s="4">
        <f t="shared" si="4"/>
        <v>5.2226821083967674E-5</v>
      </c>
      <c r="AO44" s="3"/>
      <c r="AP44">
        <v>0</v>
      </c>
      <c r="AR44" t="s">
        <v>1</v>
      </c>
      <c r="AT44" s="2" t="s">
        <v>0</v>
      </c>
      <c r="AU44" s="1" t="e">
        <f t="shared" si="5"/>
        <v>#VALUE!</v>
      </c>
      <c r="AV44" s="1" t="e">
        <f t="shared" si="6"/>
        <v>#VALUE!</v>
      </c>
      <c r="AW44" s="1" t="e">
        <f t="shared" si="7"/>
        <v>#VALUE!</v>
      </c>
    </row>
    <row r="45" spans="1:49" x14ac:dyDescent="0.2">
      <c r="A45">
        <v>43</v>
      </c>
      <c r="B45" t="s">
        <v>1882</v>
      </c>
      <c r="F45" t="s">
        <v>1881</v>
      </c>
      <c r="G45" t="s">
        <v>5</v>
      </c>
      <c r="H45" t="s">
        <v>4</v>
      </c>
      <c r="I45" t="s">
        <v>1880</v>
      </c>
      <c r="J45">
        <v>60032325</v>
      </c>
      <c r="K45" t="s">
        <v>79</v>
      </c>
      <c r="L45" t="s">
        <v>78</v>
      </c>
      <c r="M45" t="s">
        <v>13</v>
      </c>
      <c r="N45">
        <v>3</v>
      </c>
      <c r="O45" t="s">
        <v>1879</v>
      </c>
      <c r="P45" t="s">
        <v>1878</v>
      </c>
      <c r="Q45" t="s">
        <v>77</v>
      </c>
      <c r="R45" s="7">
        <v>34304</v>
      </c>
      <c r="S45" s="8">
        <f t="shared" si="0"/>
        <v>1993</v>
      </c>
      <c r="T45" s="8">
        <v>1993</v>
      </c>
      <c r="U45" s="8">
        <f t="shared" si="1"/>
        <v>29</v>
      </c>
      <c r="V45" s="7">
        <v>34304</v>
      </c>
      <c r="W45" t="s">
        <v>76</v>
      </c>
      <c r="X45" s="2">
        <v>0.21099999999999999</v>
      </c>
      <c r="Y45" s="6">
        <f t="shared" si="2"/>
        <v>5.6325244921384904E-3</v>
      </c>
      <c r="AA45">
        <v>9168516</v>
      </c>
      <c r="AB45">
        <v>18936</v>
      </c>
      <c r="AD45" t="s">
        <v>2</v>
      </c>
      <c r="AE45" t="s">
        <v>75</v>
      </c>
      <c r="AF45">
        <v>12</v>
      </c>
      <c r="AH45" t="s">
        <v>1877</v>
      </c>
      <c r="AI45" t="s">
        <v>1876</v>
      </c>
      <c r="AK45" t="s">
        <v>1875</v>
      </c>
      <c r="AL45">
        <v>18</v>
      </c>
      <c r="AM45" s="5">
        <f t="shared" si="3"/>
        <v>0.62068965517241381</v>
      </c>
      <c r="AN45" s="4">
        <f t="shared" si="4"/>
        <v>9.4008277951141816E-4</v>
      </c>
      <c r="AO45" s="3"/>
      <c r="AP45">
        <v>0</v>
      </c>
      <c r="AR45" t="s">
        <v>1</v>
      </c>
      <c r="AT45" s="2">
        <v>0.52500000000000002</v>
      </c>
      <c r="AU45" s="1">
        <f t="shared" si="5"/>
        <v>0.42247919783503679</v>
      </c>
      <c r="AV45" s="1">
        <f t="shared" si="6"/>
        <v>0.32863036358249542</v>
      </c>
      <c r="AW45" s="1">
        <f t="shared" si="7"/>
        <v>0.23478152932995397</v>
      </c>
    </row>
    <row r="46" spans="1:49" x14ac:dyDescent="0.2">
      <c r="A46">
        <v>44</v>
      </c>
      <c r="B46" t="s">
        <v>1874</v>
      </c>
      <c r="F46" t="s">
        <v>1873</v>
      </c>
      <c r="G46" t="s">
        <v>5</v>
      </c>
      <c r="H46" t="s">
        <v>4</v>
      </c>
      <c r="I46" t="s">
        <v>1872</v>
      </c>
      <c r="J46">
        <v>60014652</v>
      </c>
      <c r="K46" t="s">
        <v>74</v>
      </c>
      <c r="L46" t="s">
        <v>73</v>
      </c>
      <c r="M46" t="s">
        <v>13</v>
      </c>
      <c r="N46">
        <v>4</v>
      </c>
      <c r="O46" t="s">
        <v>1871</v>
      </c>
      <c r="P46" t="s">
        <v>1870</v>
      </c>
      <c r="Q46" t="s">
        <v>188</v>
      </c>
      <c r="R46" s="7">
        <v>34304</v>
      </c>
      <c r="S46" s="8">
        <f t="shared" si="0"/>
        <v>1993</v>
      </c>
      <c r="T46" s="8">
        <v>1993</v>
      </c>
      <c r="U46" s="8">
        <f t="shared" si="1"/>
        <v>29</v>
      </c>
      <c r="V46" s="7">
        <v>34304</v>
      </c>
      <c r="W46" t="s">
        <v>76</v>
      </c>
      <c r="X46" s="2">
        <v>0.21099999999999999</v>
      </c>
      <c r="Y46" s="6">
        <f t="shared" si="2"/>
        <v>5.6325244921384904E-3</v>
      </c>
      <c r="AA46">
        <v>9168516</v>
      </c>
      <c r="AB46">
        <v>18936</v>
      </c>
      <c r="AD46" t="s">
        <v>2</v>
      </c>
      <c r="AE46" t="s">
        <v>75</v>
      </c>
      <c r="AF46">
        <v>12</v>
      </c>
      <c r="AH46" t="s">
        <v>1869</v>
      </c>
      <c r="AI46" t="s">
        <v>1868</v>
      </c>
      <c r="AK46" t="s">
        <v>1867</v>
      </c>
      <c r="AL46">
        <v>7</v>
      </c>
      <c r="AM46" s="5">
        <f t="shared" si="3"/>
        <v>0.2413793103448276</v>
      </c>
      <c r="AN46" s="4">
        <f t="shared" si="4"/>
        <v>3.655877475877737E-4</v>
      </c>
      <c r="AO46" s="3"/>
      <c r="AP46">
        <v>0</v>
      </c>
      <c r="AR46" t="s">
        <v>1</v>
      </c>
      <c r="AT46" s="2">
        <v>0.52500000000000002</v>
      </c>
      <c r="AU46" s="1">
        <f t="shared" si="5"/>
        <v>0.40524434687732747</v>
      </c>
      <c r="AV46" s="1">
        <f t="shared" si="6"/>
        <v>0.29990561198631321</v>
      </c>
      <c r="AW46" s="1">
        <f t="shared" si="7"/>
        <v>0.19456687709529888</v>
      </c>
    </row>
    <row r="47" spans="1:49" x14ac:dyDescent="0.2">
      <c r="A47">
        <v>45</v>
      </c>
      <c r="B47" t="s">
        <v>1866</v>
      </c>
      <c r="F47" t="s">
        <v>1865</v>
      </c>
      <c r="G47" t="s">
        <v>5</v>
      </c>
      <c r="H47" t="s">
        <v>4</v>
      </c>
      <c r="I47" t="s">
        <v>206</v>
      </c>
      <c r="J47">
        <v>60019909</v>
      </c>
      <c r="K47" t="s">
        <v>205</v>
      </c>
      <c r="L47" t="s">
        <v>177</v>
      </c>
      <c r="M47" t="s">
        <v>3</v>
      </c>
      <c r="N47">
        <v>1</v>
      </c>
      <c r="O47" t="s">
        <v>1864</v>
      </c>
      <c r="P47">
        <v>57203229560</v>
      </c>
      <c r="Q47">
        <v>60019909</v>
      </c>
      <c r="R47" s="7">
        <v>34304</v>
      </c>
      <c r="S47" s="8">
        <f t="shared" si="0"/>
        <v>1993</v>
      </c>
      <c r="T47" s="8">
        <v>1993</v>
      </c>
      <c r="U47" s="8">
        <f t="shared" si="1"/>
        <v>29</v>
      </c>
      <c r="V47" s="7">
        <v>34304</v>
      </c>
      <c r="W47" t="s">
        <v>51</v>
      </c>
      <c r="X47" s="2">
        <v>1.6519999999999999</v>
      </c>
      <c r="Y47" s="6">
        <f t="shared" si="2"/>
        <v>4.409919649769093E-2</v>
      </c>
      <c r="AA47" t="s">
        <v>50</v>
      </c>
      <c r="AB47">
        <v>17337</v>
      </c>
      <c r="AD47" t="s">
        <v>2</v>
      </c>
      <c r="AE47">
        <v>41</v>
      </c>
      <c r="AF47">
        <v>12</v>
      </c>
      <c r="AH47" t="s">
        <v>1863</v>
      </c>
      <c r="AI47" t="s">
        <v>1862</v>
      </c>
      <c r="AK47" t="s">
        <v>1861</v>
      </c>
      <c r="AL47">
        <v>1</v>
      </c>
      <c r="AM47" s="5">
        <f t="shared" si="3"/>
        <v>3.4482758620689655E-2</v>
      </c>
      <c r="AN47" s="4">
        <f t="shared" si="4"/>
        <v>5.2226821083967674E-5</v>
      </c>
      <c r="AO47" s="3"/>
      <c r="AP47">
        <v>0</v>
      </c>
      <c r="AR47" t="s">
        <v>1</v>
      </c>
      <c r="AT47" s="2" t="s">
        <v>0</v>
      </c>
      <c r="AU47" s="1">
        <f t="shared" si="5"/>
        <v>3.0885105594708842</v>
      </c>
      <c r="AV47" s="1">
        <f t="shared" si="6"/>
        <v>2.2075711659387447</v>
      </c>
      <c r="AW47" s="1">
        <f t="shared" si="7"/>
        <v>1.3266317724066055</v>
      </c>
    </row>
    <row r="48" spans="1:49" x14ac:dyDescent="0.2">
      <c r="A48">
        <v>46</v>
      </c>
      <c r="B48" t="s">
        <v>1860</v>
      </c>
      <c r="F48" t="s">
        <v>1859</v>
      </c>
      <c r="G48" t="s">
        <v>5</v>
      </c>
      <c r="H48" t="s">
        <v>4</v>
      </c>
      <c r="I48" t="s">
        <v>1858</v>
      </c>
      <c r="J48">
        <v>60101699</v>
      </c>
      <c r="K48" t="s">
        <v>122</v>
      </c>
      <c r="L48" t="s">
        <v>14</v>
      </c>
      <c r="M48" t="s">
        <v>13</v>
      </c>
      <c r="N48">
        <v>7</v>
      </c>
      <c r="O48" t="s">
        <v>1857</v>
      </c>
      <c r="P48" t="s">
        <v>1856</v>
      </c>
      <c r="Q48" t="s">
        <v>1855</v>
      </c>
      <c r="R48" s="7">
        <v>34304</v>
      </c>
      <c r="S48" s="8">
        <f t="shared" si="0"/>
        <v>1993</v>
      </c>
      <c r="T48" s="8">
        <v>1993</v>
      </c>
      <c r="U48" s="8">
        <f t="shared" si="1"/>
        <v>29</v>
      </c>
      <c r="V48" s="7">
        <v>34304</v>
      </c>
      <c r="W48" t="s">
        <v>76</v>
      </c>
      <c r="X48" s="2">
        <v>0.21099999999999999</v>
      </c>
      <c r="Y48" s="6">
        <f t="shared" si="2"/>
        <v>5.6325244921384904E-3</v>
      </c>
      <c r="AA48">
        <v>9168516</v>
      </c>
      <c r="AB48">
        <v>18936</v>
      </c>
      <c r="AD48" t="s">
        <v>2</v>
      </c>
      <c r="AE48" t="s">
        <v>75</v>
      </c>
      <c r="AF48">
        <v>12</v>
      </c>
      <c r="AH48" t="s">
        <v>1854</v>
      </c>
      <c r="AI48" t="s">
        <v>1853</v>
      </c>
      <c r="AK48" t="s">
        <v>1852</v>
      </c>
      <c r="AL48">
        <v>6</v>
      </c>
      <c r="AM48" s="5">
        <f t="shared" si="3"/>
        <v>0.20689655172413793</v>
      </c>
      <c r="AN48" s="4">
        <f t="shared" si="4"/>
        <v>3.1336092650380602E-4</v>
      </c>
      <c r="AO48" s="3"/>
      <c r="AP48">
        <v>0</v>
      </c>
      <c r="AR48" t="s">
        <v>1</v>
      </c>
      <c r="AT48" s="2">
        <v>0.52500000000000002</v>
      </c>
      <c r="AU48" s="1">
        <f t="shared" si="5"/>
        <v>0.40367754224480845</v>
      </c>
      <c r="AV48" s="1">
        <f t="shared" si="6"/>
        <v>0.29729427093211486</v>
      </c>
      <c r="AW48" s="1">
        <f t="shared" si="7"/>
        <v>0.19091099961942112</v>
      </c>
    </row>
    <row r="49" spans="1:49" x14ac:dyDescent="0.2">
      <c r="A49">
        <v>47</v>
      </c>
      <c r="B49" t="s">
        <v>1851</v>
      </c>
      <c r="F49" t="s">
        <v>1850</v>
      </c>
      <c r="G49" t="s">
        <v>5</v>
      </c>
      <c r="H49" t="s">
        <v>4</v>
      </c>
      <c r="I49" t="s">
        <v>1849</v>
      </c>
      <c r="J49">
        <v>100640985</v>
      </c>
      <c r="K49" t="s">
        <v>1848</v>
      </c>
      <c r="L49" t="s">
        <v>1847</v>
      </c>
      <c r="M49" t="s">
        <v>3</v>
      </c>
      <c r="N49">
        <v>2</v>
      </c>
      <c r="O49" t="s">
        <v>1846</v>
      </c>
      <c r="P49" t="s">
        <v>1845</v>
      </c>
      <c r="Q49" t="s">
        <v>1844</v>
      </c>
      <c r="R49" s="7">
        <v>34304</v>
      </c>
      <c r="S49" s="8">
        <f t="shared" si="0"/>
        <v>1993</v>
      </c>
      <c r="T49" s="8">
        <v>1993</v>
      </c>
      <c r="U49" s="8">
        <f t="shared" si="1"/>
        <v>29</v>
      </c>
      <c r="V49" s="7">
        <v>34304</v>
      </c>
      <c r="W49" t="s">
        <v>1743</v>
      </c>
      <c r="X49" s="2">
        <v>0.10100000000000001</v>
      </c>
      <c r="Y49" s="6">
        <f t="shared" si="2"/>
        <v>2.6961373161421215E-3</v>
      </c>
      <c r="AA49">
        <v>7452993</v>
      </c>
      <c r="AB49">
        <v>18563</v>
      </c>
      <c r="AD49" t="s">
        <v>2</v>
      </c>
      <c r="AE49">
        <v>32</v>
      </c>
      <c r="AF49">
        <v>12</v>
      </c>
      <c r="AI49" t="s">
        <v>1843</v>
      </c>
      <c r="AK49" t="s">
        <v>1842</v>
      </c>
      <c r="AL49">
        <v>0</v>
      </c>
      <c r="AM49" s="5">
        <f t="shared" si="3"/>
        <v>0</v>
      </c>
      <c r="AN49" s="4">
        <f t="shared" si="4"/>
        <v>0</v>
      </c>
      <c r="AO49" s="3"/>
      <c r="AP49">
        <v>0</v>
      </c>
      <c r="AR49" t="s">
        <v>1</v>
      </c>
      <c r="AT49" s="2" t="s">
        <v>0</v>
      </c>
      <c r="AU49" s="1">
        <f t="shared" si="5"/>
        <v>0.18872961212994849</v>
      </c>
      <c r="AV49" s="1">
        <f t="shared" si="6"/>
        <v>0.13480686580710607</v>
      </c>
      <c r="AW49" s="1">
        <f t="shared" si="7"/>
        <v>8.0884119484263647E-2</v>
      </c>
    </row>
    <row r="50" spans="1:49" x14ac:dyDescent="0.2">
      <c r="A50">
        <v>48</v>
      </c>
      <c r="B50" t="s">
        <v>1841</v>
      </c>
      <c r="F50" t="s">
        <v>1840</v>
      </c>
      <c r="G50" t="s">
        <v>5</v>
      </c>
      <c r="H50" t="s">
        <v>4</v>
      </c>
      <c r="I50" t="s">
        <v>1839</v>
      </c>
      <c r="J50">
        <v>101393977</v>
      </c>
      <c r="K50" t="s">
        <v>1838</v>
      </c>
      <c r="L50" t="s">
        <v>1837</v>
      </c>
      <c r="M50" t="s">
        <v>3</v>
      </c>
      <c r="N50">
        <v>2</v>
      </c>
      <c r="O50" t="s">
        <v>1836</v>
      </c>
      <c r="P50" t="s">
        <v>1835</v>
      </c>
      <c r="Q50" t="s">
        <v>1834</v>
      </c>
      <c r="R50" s="7">
        <v>34304</v>
      </c>
      <c r="S50" s="8">
        <f t="shared" si="0"/>
        <v>1993</v>
      </c>
      <c r="T50" s="8">
        <v>1993</v>
      </c>
      <c r="U50" s="8">
        <f t="shared" si="1"/>
        <v>29</v>
      </c>
      <c r="V50" s="7">
        <v>34304</v>
      </c>
      <c r="W50" t="s">
        <v>1743</v>
      </c>
      <c r="X50" s="2">
        <v>0.10100000000000001</v>
      </c>
      <c r="Y50" s="6">
        <f t="shared" si="2"/>
        <v>2.6961373161421215E-3</v>
      </c>
      <c r="AA50">
        <v>7452993</v>
      </c>
      <c r="AB50">
        <v>18563</v>
      </c>
      <c r="AD50" t="s">
        <v>2</v>
      </c>
      <c r="AE50">
        <v>32</v>
      </c>
      <c r="AF50">
        <v>12</v>
      </c>
      <c r="AI50" t="s">
        <v>1833</v>
      </c>
      <c r="AK50" t="s">
        <v>1832</v>
      </c>
      <c r="AL50">
        <v>0</v>
      </c>
      <c r="AM50" s="5">
        <f t="shared" si="3"/>
        <v>0</v>
      </c>
      <c r="AN50" s="4">
        <f t="shared" si="4"/>
        <v>0</v>
      </c>
      <c r="AO50" s="3"/>
      <c r="AP50">
        <v>0</v>
      </c>
      <c r="AR50" t="s">
        <v>1</v>
      </c>
      <c r="AT50" s="2" t="s">
        <v>0</v>
      </c>
      <c r="AU50" s="1">
        <f t="shared" si="5"/>
        <v>0.18872961212994849</v>
      </c>
      <c r="AV50" s="1">
        <f t="shared" si="6"/>
        <v>0.13480686580710607</v>
      </c>
      <c r="AW50" s="1">
        <f t="shared" si="7"/>
        <v>8.0884119484263647E-2</v>
      </c>
    </row>
    <row r="51" spans="1:49" x14ac:dyDescent="0.2">
      <c r="A51">
        <v>49</v>
      </c>
      <c r="B51" t="s">
        <v>1831</v>
      </c>
      <c r="F51" t="s">
        <v>1830</v>
      </c>
      <c r="G51" t="s">
        <v>5</v>
      </c>
      <c r="H51" t="s">
        <v>4</v>
      </c>
      <c r="I51" t="s">
        <v>1829</v>
      </c>
      <c r="J51">
        <v>60026638</v>
      </c>
      <c r="K51" t="s">
        <v>198</v>
      </c>
      <c r="L51" t="s">
        <v>153</v>
      </c>
      <c r="M51" t="s">
        <v>152</v>
      </c>
      <c r="N51">
        <v>4</v>
      </c>
      <c r="O51" t="s">
        <v>1828</v>
      </c>
      <c r="P51" t="s">
        <v>1827</v>
      </c>
      <c r="Q51" t="s">
        <v>1826</v>
      </c>
      <c r="R51" s="7">
        <v>34304</v>
      </c>
      <c r="S51" s="8">
        <f t="shared" si="0"/>
        <v>1993</v>
      </c>
      <c r="T51" s="8">
        <v>1993</v>
      </c>
      <c r="U51" s="8">
        <f t="shared" si="1"/>
        <v>29</v>
      </c>
      <c r="V51" s="7">
        <v>1993</v>
      </c>
      <c r="W51" t="s">
        <v>1825</v>
      </c>
      <c r="X51" s="2" t="s">
        <v>0</v>
      </c>
      <c r="Y51" s="6" t="e">
        <f t="shared" si="2"/>
        <v>#VALUE!</v>
      </c>
      <c r="AA51">
        <v>134252</v>
      </c>
      <c r="AB51">
        <v>32198</v>
      </c>
      <c r="AD51" t="s">
        <v>2</v>
      </c>
      <c r="AF51" t="s">
        <v>1824</v>
      </c>
      <c r="AH51" t="s">
        <v>1823</v>
      </c>
      <c r="AI51" t="s">
        <v>1822</v>
      </c>
      <c r="AK51" t="s">
        <v>1821</v>
      </c>
      <c r="AL51">
        <v>4</v>
      </c>
      <c r="AM51" s="5">
        <f t="shared" si="3"/>
        <v>0.13793103448275862</v>
      </c>
      <c r="AN51" s="4">
        <f t="shared" si="4"/>
        <v>2.089072843358707E-4</v>
      </c>
      <c r="AO51" s="3"/>
      <c r="AP51">
        <v>0</v>
      </c>
      <c r="AR51" t="s">
        <v>1</v>
      </c>
      <c r="AT51" s="2" t="s">
        <v>0</v>
      </c>
      <c r="AU51" s="1" t="e">
        <f t="shared" si="5"/>
        <v>#VALUE!</v>
      </c>
      <c r="AV51" s="1" t="e">
        <f t="shared" si="6"/>
        <v>#VALUE!</v>
      </c>
      <c r="AW51" s="1" t="e">
        <f t="shared" si="7"/>
        <v>#VALUE!</v>
      </c>
    </row>
    <row r="52" spans="1:49" x14ac:dyDescent="0.2">
      <c r="A52">
        <v>50</v>
      </c>
      <c r="B52" t="s">
        <v>1820</v>
      </c>
      <c r="F52" t="s">
        <v>1819</v>
      </c>
      <c r="G52" t="s">
        <v>5</v>
      </c>
      <c r="H52" t="s">
        <v>4</v>
      </c>
      <c r="I52" t="s">
        <v>1818</v>
      </c>
      <c r="J52">
        <v>60008107</v>
      </c>
      <c r="K52" t="s">
        <v>320</v>
      </c>
      <c r="L52" t="s">
        <v>319</v>
      </c>
      <c r="M52" t="s">
        <v>13</v>
      </c>
      <c r="N52">
        <v>4</v>
      </c>
      <c r="O52" t="s">
        <v>1817</v>
      </c>
      <c r="P52" t="s">
        <v>1816</v>
      </c>
      <c r="Q52" t="s">
        <v>1815</v>
      </c>
      <c r="R52" s="7">
        <v>34304</v>
      </c>
      <c r="S52" s="8">
        <f t="shared" si="0"/>
        <v>1993</v>
      </c>
      <c r="T52" s="8">
        <v>1993</v>
      </c>
      <c r="U52" s="8">
        <f t="shared" si="1"/>
        <v>29</v>
      </c>
      <c r="V52" s="7">
        <v>34304</v>
      </c>
      <c r="W52" t="s">
        <v>76</v>
      </c>
      <c r="X52" s="2">
        <v>0.21099999999999999</v>
      </c>
      <c r="Y52" s="6">
        <f t="shared" si="2"/>
        <v>5.6325244921384904E-3</v>
      </c>
      <c r="AA52">
        <v>9168516</v>
      </c>
      <c r="AB52">
        <v>18936</v>
      </c>
      <c r="AD52" t="s">
        <v>2</v>
      </c>
      <c r="AE52" t="s">
        <v>75</v>
      </c>
      <c r="AF52">
        <v>12</v>
      </c>
      <c r="AH52" t="s">
        <v>1814</v>
      </c>
      <c r="AI52" t="s">
        <v>1813</v>
      </c>
      <c r="AK52" t="s">
        <v>1812</v>
      </c>
      <c r="AL52">
        <v>2</v>
      </c>
      <c r="AM52" s="5">
        <f t="shared" si="3"/>
        <v>6.8965517241379309E-2</v>
      </c>
      <c r="AN52" s="4">
        <f t="shared" si="4"/>
        <v>1.0445364216793535E-4</v>
      </c>
      <c r="AO52" s="3"/>
      <c r="AP52">
        <v>0</v>
      </c>
      <c r="AR52" t="s">
        <v>1</v>
      </c>
      <c r="AT52" s="2">
        <v>0.52500000000000002</v>
      </c>
      <c r="AU52" s="1">
        <f t="shared" si="5"/>
        <v>0.39741032371473234</v>
      </c>
      <c r="AV52" s="1">
        <f t="shared" si="6"/>
        <v>0.28684890671532126</v>
      </c>
      <c r="AW52" s="1">
        <f t="shared" si="7"/>
        <v>0.17628748971591018</v>
      </c>
    </row>
    <row r="53" spans="1:49" x14ac:dyDescent="0.2">
      <c r="A53">
        <v>51</v>
      </c>
      <c r="B53" t="s">
        <v>1811</v>
      </c>
      <c r="F53" t="s">
        <v>1810</v>
      </c>
      <c r="G53" t="s">
        <v>5</v>
      </c>
      <c r="H53" t="s">
        <v>4</v>
      </c>
      <c r="I53" t="s">
        <v>1809</v>
      </c>
      <c r="J53">
        <v>60115555</v>
      </c>
      <c r="K53" t="s">
        <v>1808</v>
      </c>
      <c r="L53" t="s">
        <v>54</v>
      </c>
      <c r="M53" t="s">
        <v>3</v>
      </c>
      <c r="N53">
        <v>1</v>
      </c>
      <c r="O53" t="s">
        <v>1807</v>
      </c>
      <c r="P53">
        <v>7004157353</v>
      </c>
      <c r="Q53">
        <v>60115555</v>
      </c>
      <c r="R53" s="7">
        <v>34304</v>
      </c>
      <c r="S53" s="8">
        <f t="shared" si="0"/>
        <v>1993</v>
      </c>
      <c r="T53" s="8">
        <v>1993</v>
      </c>
      <c r="U53" s="8">
        <f t="shared" si="1"/>
        <v>29</v>
      </c>
      <c r="V53" s="7">
        <v>34304</v>
      </c>
      <c r="W53" t="s">
        <v>1806</v>
      </c>
      <c r="X53" s="2">
        <v>0.17499999999999999</v>
      </c>
      <c r="Y53" s="6">
        <f t="shared" si="2"/>
        <v>4.6715250527214966E-3</v>
      </c>
      <c r="AA53">
        <v>1628178</v>
      </c>
      <c r="AB53">
        <v>26858</v>
      </c>
      <c r="AD53" t="s">
        <v>2</v>
      </c>
      <c r="AE53">
        <v>63</v>
      </c>
      <c r="AF53">
        <v>12</v>
      </c>
      <c r="AH53" t="s">
        <v>1805</v>
      </c>
      <c r="AI53" t="s">
        <v>1804</v>
      </c>
      <c r="AK53" t="s">
        <v>1803</v>
      </c>
      <c r="AL53">
        <v>2</v>
      </c>
      <c r="AM53" s="5">
        <f t="shared" si="3"/>
        <v>6.8965517241379309E-2</v>
      </c>
      <c r="AN53" s="4">
        <f t="shared" si="4"/>
        <v>1.0445364216793535E-4</v>
      </c>
      <c r="AO53" s="3"/>
      <c r="AP53">
        <v>0</v>
      </c>
      <c r="AR53" t="s">
        <v>1</v>
      </c>
      <c r="AT53" s="2" t="s">
        <v>0</v>
      </c>
      <c r="AU53" s="1">
        <f t="shared" si="5"/>
        <v>0.33014036295554283</v>
      </c>
      <c r="AV53" s="1">
        <f t="shared" si="6"/>
        <v>0.23879893474447159</v>
      </c>
      <c r="AW53" s="1">
        <f t="shared" si="7"/>
        <v>0.14745750653340034</v>
      </c>
    </row>
    <row r="54" spans="1:49" x14ac:dyDescent="0.2">
      <c r="A54">
        <v>52</v>
      </c>
      <c r="B54" t="s">
        <v>1802</v>
      </c>
      <c r="F54" t="s">
        <v>1801</v>
      </c>
      <c r="G54" t="s">
        <v>5</v>
      </c>
      <c r="H54" t="s">
        <v>4</v>
      </c>
      <c r="I54" t="s">
        <v>1800</v>
      </c>
      <c r="N54">
        <v>1</v>
      </c>
      <c r="O54" t="s">
        <v>1799</v>
      </c>
      <c r="P54">
        <v>55230323100</v>
      </c>
      <c r="R54" s="7">
        <v>34304</v>
      </c>
      <c r="S54" s="8">
        <f t="shared" si="0"/>
        <v>1993</v>
      </c>
      <c r="T54" s="8">
        <v>1993</v>
      </c>
      <c r="U54" s="8">
        <f t="shared" si="1"/>
        <v>29</v>
      </c>
      <c r="V54" s="7">
        <v>1993</v>
      </c>
      <c r="W54" t="s">
        <v>1693</v>
      </c>
      <c r="X54" s="2" t="s">
        <v>0</v>
      </c>
      <c r="Y54" s="6" t="e">
        <f t="shared" si="2"/>
        <v>#VALUE!</v>
      </c>
      <c r="AA54">
        <v>9248625</v>
      </c>
      <c r="AB54">
        <v>12897</v>
      </c>
      <c r="AD54" t="s">
        <v>2</v>
      </c>
      <c r="AE54">
        <v>11</v>
      </c>
      <c r="AF54">
        <v>3</v>
      </c>
      <c r="AH54" t="s">
        <v>1798</v>
      </c>
      <c r="AI54" t="s">
        <v>1797</v>
      </c>
      <c r="AK54" t="s">
        <v>1796</v>
      </c>
      <c r="AL54">
        <v>0</v>
      </c>
      <c r="AM54" s="5">
        <f t="shared" si="3"/>
        <v>0</v>
      </c>
      <c r="AN54" s="4">
        <f t="shared" si="4"/>
        <v>0</v>
      </c>
      <c r="AO54" s="3"/>
      <c r="AP54">
        <v>0</v>
      </c>
      <c r="AR54" t="s">
        <v>1</v>
      </c>
      <c r="AT54" s="2" t="s">
        <v>0</v>
      </c>
      <c r="AU54" s="1" t="e">
        <f t="shared" si="5"/>
        <v>#VALUE!</v>
      </c>
      <c r="AV54" s="1" t="e">
        <f t="shared" si="6"/>
        <v>#VALUE!</v>
      </c>
      <c r="AW54" s="1" t="e">
        <f t="shared" si="7"/>
        <v>#VALUE!</v>
      </c>
    </row>
    <row r="55" spans="1:49" x14ac:dyDescent="0.2">
      <c r="A55">
        <v>53</v>
      </c>
      <c r="B55" t="s">
        <v>1795</v>
      </c>
      <c r="F55" t="s">
        <v>1794</v>
      </c>
      <c r="G55" t="s">
        <v>5</v>
      </c>
      <c r="H55" t="s">
        <v>4</v>
      </c>
      <c r="I55" t="s">
        <v>1793</v>
      </c>
      <c r="J55">
        <v>60024784</v>
      </c>
      <c r="K55" t="s">
        <v>1792</v>
      </c>
      <c r="L55" t="s">
        <v>1791</v>
      </c>
      <c r="M55" t="s">
        <v>13</v>
      </c>
      <c r="N55">
        <v>6</v>
      </c>
      <c r="O55" t="s">
        <v>1790</v>
      </c>
      <c r="P55" t="s">
        <v>1789</v>
      </c>
      <c r="Q55" t="s">
        <v>1788</v>
      </c>
      <c r="R55" s="7">
        <v>34304</v>
      </c>
      <c r="S55" s="8">
        <f t="shared" si="0"/>
        <v>1993</v>
      </c>
      <c r="T55" s="8">
        <v>1993</v>
      </c>
      <c r="U55" s="8">
        <f t="shared" si="1"/>
        <v>29</v>
      </c>
      <c r="V55" s="7">
        <v>34304</v>
      </c>
      <c r="W55" t="s">
        <v>76</v>
      </c>
      <c r="X55" s="2">
        <v>0.21099999999999999</v>
      </c>
      <c r="Y55" s="6">
        <f t="shared" si="2"/>
        <v>5.6325244921384904E-3</v>
      </c>
      <c r="AA55">
        <v>9168516</v>
      </c>
      <c r="AB55">
        <v>18936</v>
      </c>
      <c r="AD55" t="s">
        <v>2</v>
      </c>
      <c r="AE55" t="s">
        <v>75</v>
      </c>
      <c r="AF55">
        <v>12</v>
      </c>
      <c r="AH55" t="s">
        <v>1787</v>
      </c>
      <c r="AI55" t="s">
        <v>1786</v>
      </c>
      <c r="AK55" t="s">
        <v>1785</v>
      </c>
      <c r="AL55">
        <v>7</v>
      </c>
      <c r="AM55" s="5">
        <f t="shared" si="3"/>
        <v>0.2413793103448276</v>
      </c>
      <c r="AN55" s="4">
        <f t="shared" si="4"/>
        <v>3.655877475877737E-4</v>
      </c>
      <c r="AO55" s="3"/>
      <c r="AP55">
        <v>0</v>
      </c>
      <c r="AR55" t="s">
        <v>1</v>
      </c>
      <c r="AT55" s="2">
        <v>0.52500000000000002</v>
      </c>
      <c r="AU55" s="1">
        <f t="shared" si="5"/>
        <v>0.40524434687732747</v>
      </c>
      <c r="AV55" s="1">
        <f t="shared" si="6"/>
        <v>0.29990561198631321</v>
      </c>
      <c r="AW55" s="1">
        <f t="shared" si="7"/>
        <v>0.19456687709529888</v>
      </c>
    </row>
    <row r="56" spans="1:49" x14ac:dyDescent="0.2">
      <c r="A56">
        <v>54</v>
      </c>
      <c r="B56" t="s">
        <v>1784</v>
      </c>
      <c r="F56" t="s">
        <v>1783</v>
      </c>
      <c r="G56" t="s">
        <v>5</v>
      </c>
      <c r="H56" t="s">
        <v>4</v>
      </c>
      <c r="I56" t="s">
        <v>1782</v>
      </c>
      <c r="J56">
        <v>60030553</v>
      </c>
      <c r="K56" t="s">
        <v>26</v>
      </c>
      <c r="L56" t="s">
        <v>25</v>
      </c>
      <c r="M56" t="s">
        <v>24</v>
      </c>
      <c r="N56">
        <v>3</v>
      </c>
      <c r="O56" t="s">
        <v>1781</v>
      </c>
      <c r="P56" t="s">
        <v>1780</v>
      </c>
      <c r="Q56" t="s">
        <v>108</v>
      </c>
      <c r="R56" s="7">
        <v>34304</v>
      </c>
      <c r="S56" s="8">
        <f t="shared" si="0"/>
        <v>1993</v>
      </c>
      <c r="T56" s="8">
        <v>1993</v>
      </c>
      <c r="U56" s="8">
        <f t="shared" si="1"/>
        <v>29</v>
      </c>
      <c r="V56" s="7">
        <v>34304</v>
      </c>
      <c r="W56" t="s">
        <v>76</v>
      </c>
      <c r="X56" s="2">
        <v>0.21099999999999999</v>
      </c>
      <c r="Y56" s="6">
        <f t="shared" si="2"/>
        <v>5.6325244921384904E-3</v>
      </c>
      <c r="AA56">
        <v>9168516</v>
      </c>
      <c r="AB56">
        <v>18936</v>
      </c>
      <c r="AD56" t="s">
        <v>2</v>
      </c>
      <c r="AE56" t="s">
        <v>75</v>
      </c>
      <c r="AF56">
        <v>12</v>
      </c>
      <c r="AH56" t="s">
        <v>1779</v>
      </c>
      <c r="AI56" t="s">
        <v>1778</v>
      </c>
      <c r="AK56" t="s">
        <v>1777</v>
      </c>
      <c r="AL56">
        <v>0</v>
      </c>
      <c r="AM56" s="5">
        <f t="shared" si="3"/>
        <v>0</v>
      </c>
      <c r="AN56" s="4">
        <f t="shared" si="4"/>
        <v>0</v>
      </c>
      <c r="AO56" s="3"/>
      <c r="AP56">
        <v>0</v>
      </c>
      <c r="AR56" t="s">
        <v>1</v>
      </c>
      <c r="AT56" s="2">
        <v>0.52500000000000002</v>
      </c>
      <c r="AU56" s="1">
        <f t="shared" si="5"/>
        <v>0.39427671444969431</v>
      </c>
      <c r="AV56" s="1">
        <f t="shared" si="6"/>
        <v>0.28162622460692455</v>
      </c>
      <c r="AW56" s="1">
        <f t="shared" si="7"/>
        <v>0.1689757347641547</v>
      </c>
    </row>
    <row r="57" spans="1:49" x14ac:dyDescent="0.2">
      <c r="A57">
        <v>55</v>
      </c>
      <c r="B57" t="s">
        <v>1776</v>
      </c>
      <c r="F57" t="s">
        <v>1775</v>
      </c>
      <c r="G57" t="s">
        <v>5</v>
      </c>
      <c r="H57" t="s">
        <v>4</v>
      </c>
      <c r="I57" t="s">
        <v>1774</v>
      </c>
      <c r="J57">
        <v>60008435</v>
      </c>
      <c r="K57" t="s">
        <v>136</v>
      </c>
      <c r="L57" t="s">
        <v>135</v>
      </c>
      <c r="M57" t="s">
        <v>13</v>
      </c>
      <c r="N57">
        <v>4</v>
      </c>
      <c r="O57" t="s">
        <v>1773</v>
      </c>
      <c r="P57" t="s">
        <v>1772</v>
      </c>
      <c r="Q57" t="s">
        <v>1045</v>
      </c>
      <c r="R57" s="7">
        <v>34304</v>
      </c>
      <c r="S57" s="8">
        <f t="shared" si="0"/>
        <v>1993</v>
      </c>
      <c r="T57" s="8">
        <v>1993</v>
      </c>
      <c r="U57" s="8">
        <f t="shared" si="1"/>
        <v>29</v>
      </c>
      <c r="V57" s="7">
        <v>34304</v>
      </c>
      <c r="W57" t="s">
        <v>76</v>
      </c>
      <c r="X57" s="2">
        <v>0.21099999999999999</v>
      </c>
      <c r="Y57" s="6">
        <f t="shared" si="2"/>
        <v>5.6325244921384904E-3</v>
      </c>
      <c r="AA57">
        <v>9168516</v>
      </c>
      <c r="AB57">
        <v>18936</v>
      </c>
      <c r="AD57" t="s">
        <v>2</v>
      </c>
      <c r="AE57" t="s">
        <v>75</v>
      </c>
      <c r="AF57">
        <v>12</v>
      </c>
      <c r="AH57" t="s">
        <v>1771</v>
      </c>
      <c r="AI57" t="s">
        <v>1770</v>
      </c>
      <c r="AK57" t="s">
        <v>1769</v>
      </c>
      <c r="AL57">
        <v>3</v>
      </c>
      <c r="AM57" s="5">
        <f t="shared" si="3"/>
        <v>0.10344827586206896</v>
      </c>
      <c r="AN57" s="4">
        <f t="shared" si="4"/>
        <v>1.5668046325190301E-4</v>
      </c>
      <c r="AO57" s="3"/>
      <c r="AP57">
        <v>0</v>
      </c>
      <c r="AR57" t="s">
        <v>1</v>
      </c>
      <c r="AT57" s="2">
        <v>0.52500000000000002</v>
      </c>
      <c r="AU57" s="1">
        <f t="shared" si="5"/>
        <v>0.39897712834725141</v>
      </c>
      <c r="AV57" s="1">
        <f t="shared" si="6"/>
        <v>0.28946024776951967</v>
      </c>
      <c r="AW57" s="1">
        <f t="shared" si="7"/>
        <v>0.17994336719178791</v>
      </c>
    </row>
    <row r="58" spans="1:49" x14ac:dyDescent="0.2">
      <c r="A58">
        <v>56</v>
      </c>
      <c r="B58" t="s">
        <v>1768</v>
      </c>
      <c r="F58" t="s">
        <v>1767</v>
      </c>
      <c r="G58" t="s">
        <v>5</v>
      </c>
      <c r="H58" t="s">
        <v>4</v>
      </c>
      <c r="I58" t="s">
        <v>1766</v>
      </c>
      <c r="J58">
        <v>60018735</v>
      </c>
      <c r="K58" t="s">
        <v>107</v>
      </c>
      <c r="L58" t="s">
        <v>14</v>
      </c>
      <c r="M58" t="s">
        <v>13</v>
      </c>
      <c r="N58">
        <v>2</v>
      </c>
      <c r="O58" t="s">
        <v>1765</v>
      </c>
      <c r="P58" t="s">
        <v>1764</v>
      </c>
      <c r="Q58" t="s">
        <v>1763</v>
      </c>
      <c r="R58" s="7">
        <v>34304</v>
      </c>
      <c r="S58" s="8">
        <f t="shared" si="0"/>
        <v>1993</v>
      </c>
      <c r="T58" s="8">
        <v>1993</v>
      </c>
      <c r="U58" s="8">
        <f t="shared" si="1"/>
        <v>29</v>
      </c>
      <c r="V58" s="7">
        <v>34304</v>
      </c>
      <c r="W58" t="s">
        <v>76</v>
      </c>
      <c r="X58" s="2">
        <v>0.21099999999999999</v>
      </c>
      <c r="Y58" s="6">
        <f t="shared" si="2"/>
        <v>5.6325244921384904E-3</v>
      </c>
      <c r="AA58">
        <v>9168516</v>
      </c>
      <c r="AB58">
        <v>18936</v>
      </c>
      <c r="AD58" t="s">
        <v>2</v>
      </c>
      <c r="AE58" t="s">
        <v>75</v>
      </c>
      <c r="AF58">
        <v>12</v>
      </c>
      <c r="AH58" t="s">
        <v>1762</v>
      </c>
      <c r="AI58" t="s">
        <v>1761</v>
      </c>
      <c r="AK58" t="s">
        <v>1760</v>
      </c>
      <c r="AL58">
        <v>2</v>
      </c>
      <c r="AM58" s="5">
        <f t="shared" si="3"/>
        <v>6.8965517241379309E-2</v>
      </c>
      <c r="AN58" s="4">
        <f t="shared" si="4"/>
        <v>1.0445364216793535E-4</v>
      </c>
      <c r="AO58" s="3"/>
      <c r="AP58">
        <v>0</v>
      </c>
      <c r="AR58" t="s">
        <v>1</v>
      </c>
      <c r="AT58" s="2">
        <v>0.52500000000000002</v>
      </c>
      <c r="AU58" s="1">
        <f t="shared" si="5"/>
        <v>0.39741032371473234</v>
      </c>
      <c r="AV58" s="1">
        <f t="shared" si="6"/>
        <v>0.28684890671532126</v>
      </c>
      <c r="AW58" s="1">
        <f t="shared" si="7"/>
        <v>0.17628748971591018</v>
      </c>
    </row>
    <row r="59" spans="1:49" x14ac:dyDescent="0.2">
      <c r="A59">
        <v>57</v>
      </c>
      <c r="B59" t="s">
        <v>1759</v>
      </c>
      <c r="F59" t="s">
        <v>1758</v>
      </c>
      <c r="G59" t="s">
        <v>5</v>
      </c>
      <c r="H59" t="s">
        <v>4</v>
      </c>
      <c r="I59" t="s">
        <v>1757</v>
      </c>
      <c r="J59">
        <v>100404983</v>
      </c>
      <c r="K59" t="s">
        <v>721</v>
      </c>
      <c r="N59">
        <v>2</v>
      </c>
      <c r="O59" t="s">
        <v>1756</v>
      </c>
      <c r="P59" t="s">
        <v>1755</v>
      </c>
      <c r="Q59" t="s">
        <v>1754</v>
      </c>
      <c r="R59" s="7">
        <v>34304</v>
      </c>
      <c r="S59" s="8">
        <f t="shared" si="0"/>
        <v>1993</v>
      </c>
      <c r="T59" s="8">
        <v>1993</v>
      </c>
      <c r="U59" s="8">
        <f t="shared" si="1"/>
        <v>29</v>
      </c>
      <c r="V59" s="7">
        <v>34304</v>
      </c>
      <c r="W59" t="s">
        <v>719</v>
      </c>
      <c r="X59" s="2" t="s">
        <v>0</v>
      </c>
      <c r="Y59" s="6" t="e">
        <f t="shared" si="2"/>
        <v>#VALUE!</v>
      </c>
      <c r="AA59">
        <v>354279</v>
      </c>
      <c r="AB59">
        <v>39821</v>
      </c>
      <c r="AD59" t="s">
        <v>2</v>
      </c>
      <c r="AE59">
        <v>25</v>
      </c>
      <c r="AF59">
        <v>4</v>
      </c>
      <c r="AH59" t="s">
        <v>1753</v>
      </c>
      <c r="AI59" t="s">
        <v>1752</v>
      </c>
      <c r="AK59" t="s">
        <v>1751</v>
      </c>
      <c r="AL59">
        <v>2</v>
      </c>
      <c r="AM59" s="5">
        <f t="shared" si="3"/>
        <v>6.8965517241379309E-2</v>
      </c>
      <c r="AN59" s="4">
        <f t="shared" si="4"/>
        <v>1.0445364216793535E-4</v>
      </c>
      <c r="AO59" s="3"/>
      <c r="AP59">
        <v>0</v>
      </c>
      <c r="AR59" t="s">
        <v>1</v>
      </c>
      <c r="AT59" s="2" t="s">
        <v>0</v>
      </c>
      <c r="AU59" s="1" t="e">
        <f t="shared" si="5"/>
        <v>#VALUE!</v>
      </c>
      <c r="AV59" s="1" t="e">
        <f t="shared" si="6"/>
        <v>#VALUE!</v>
      </c>
      <c r="AW59" s="1" t="e">
        <f t="shared" si="7"/>
        <v>#VALUE!</v>
      </c>
    </row>
    <row r="60" spans="1:49" x14ac:dyDescent="0.2">
      <c r="A60">
        <v>58</v>
      </c>
      <c r="B60" t="s">
        <v>1750</v>
      </c>
      <c r="F60" t="s">
        <v>1749</v>
      </c>
      <c r="G60" t="s">
        <v>5</v>
      </c>
      <c r="H60" t="s">
        <v>4</v>
      </c>
      <c r="I60" t="s">
        <v>1748</v>
      </c>
      <c r="J60">
        <v>60020536</v>
      </c>
      <c r="K60" t="s">
        <v>1747</v>
      </c>
      <c r="L60" t="s">
        <v>186</v>
      </c>
      <c r="M60" t="s">
        <v>3</v>
      </c>
      <c r="N60">
        <v>4</v>
      </c>
      <c r="O60" t="s">
        <v>1746</v>
      </c>
      <c r="P60" t="s">
        <v>1745</v>
      </c>
      <c r="Q60" t="s">
        <v>1744</v>
      </c>
      <c r="R60" s="7">
        <v>34304</v>
      </c>
      <c r="S60" s="8">
        <f t="shared" si="0"/>
        <v>1993</v>
      </c>
      <c r="T60" s="8">
        <v>1993</v>
      </c>
      <c r="U60" s="8">
        <f t="shared" si="1"/>
        <v>29</v>
      </c>
      <c r="V60" s="7">
        <v>34304</v>
      </c>
      <c r="W60" t="s">
        <v>1743</v>
      </c>
      <c r="X60" s="2">
        <v>0.10100000000000001</v>
      </c>
      <c r="Y60" s="6">
        <f t="shared" si="2"/>
        <v>2.6961373161421215E-3</v>
      </c>
      <c r="AA60">
        <v>7452993</v>
      </c>
      <c r="AB60">
        <v>18563</v>
      </c>
      <c r="AD60" t="s">
        <v>2</v>
      </c>
      <c r="AE60">
        <v>32</v>
      </c>
      <c r="AF60">
        <v>12</v>
      </c>
      <c r="AI60" t="s">
        <v>1742</v>
      </c>
      <c r="AK60" t="s">
        <v>1741</v>
      </c>
      <c r="AL60">
        <v>0</v>
      </c>
      <c r="AM60" s="5">
        <f t="shared" si="3"/>
        <v>0</v>
      </c>
      <c r="AN60" s="4">
        <f t="shared" si="4"/>
        <v>0</v>
      </c>
      <c r="AO60" s="3"/>
      <c r="AP60">
        <v>0</v>
      </c>
      <c r="AR60" t="s">
        <v>1</v>
      </c>
      <c r="AT60" s="2" t="s">
        <v>0</v>
      </c>
      <c r="AU60" s="1">
        <f t="shared" si="5"/>
        <v>0.18872961212994849</v>
      </c>
      <c r="AV60" s="1">
        <f t="shared" si="6"/>
        <v>0.13480686580710607</v>
      </c>
      <c r="AW60" s="1">
        <f t="shared" si="7"/>
        <v>8.0884119484263647E-2</v>
      </c>
    </row>
    <row r="61" spans="1:49" x14ac:dyDescent="0.2">
      <c r="A61">
        <v>59</v>
      </c>
      <c r="B61" t="s">
        <v>1740</v>
      </c>
      <c r="F61" t="s">
        <v>1739</v>
      </c>
      <c r="G61" t="s">
        <v>5</v>
      </c>
      <c r="H61" t="s">
        <v>4</v>
      </c>
      <c r="I61" t="s">
        <v>1738</v>
      </c>
      <c r="J61">
        <v>60008435</v>
      </c>
      <c r="K61" t="s">
        <v>136</v>
      </c>
      <c r="L61" t="s">
        <v>135</v>
      </c>
      <c r="M61" t="s">
        <v>13</v>
      </c>
      <c r="N61">
        <v>4</v>
      </c>
      <c r="O61" t="s">
        <v>1737</v>
      </c>
      <c r="P61" t="s">
        <v>1736</v>
      </c>
      <c r="Q61" t="s">
        <v>1045</v>
      </c>
      <c r="R61" s="7">
        <v>34304</v>
      </c>
      <c r="S61" s="8">
        <f t="shared" si="0"/>
        <v>1993</v>
      </c>
      <c r="T61" s="8">
        <v>1993</v>
      </c>
      <c r="U61" s="8">
        <f t="shared" si="1"/>
        <v>29</v>
      </c>
      <c r="V61" s="7">
        <v>34304</v>
      </c>
      <c r="W61" t="s">
        <v>76</v>
      </c>
      <c r="X61" s="2">
        <v>0.21099999999999999</v>
      </c>
      <c r="Y61" s="6">
        <f t="shared" si="2"/>
        <v>5.6325244921384904E-3</v>
      </c>
      <c r="AA61">
        <v>9168516</v>
      </c>
      <c r="AB61">
        <v>18936</v>
      </c>
      <c r="AD61" t="s">
        <v>2</v>
      </c>
      <c r="AE61" t="s">
        <v>75</v>
      </c>
      <c r="AF61">
        <v>12</v>
      </c>
      <c r="AH61" t="s">
        <v>1735</v>
      </c>
      <c r="AI61" t="s">
        <v>1734</v>
      </c>
      <c r="AK61" t="s">
        <v>1733</v>
      </c>
      <c r="AL61">
        <v>4</v>
      </c>
      <c r="AM61" s="5">
        <f t="shared" si="3"/>
        <v>0.13793103448275862</v>
      </c>
      <c r="AN61" s="4">
        <f t="shared" si="4"/>
        <v>2.089072843358707E-4</v>
      </c>
      <c r="AO61" s="3"/>
      <c r="AP61">
        <v>0</v>
      </c>
      <c r="AR61" t="s">
        <v>1</v>
      </c>
      <c r="AT61" s="2">
        <v>0.52500000000000002</v>
      </c>
      <c r="AU61" s="1">
        <f t="shared" si="5"/>
        <v>0.40054393297977042</v>
      </c>
      <c r="AV61" s="1">
        <f t="shared" si="6"/>
        <v>0.29207158882371803</v>
      </c>
      <c r="AW61" s="1">
        <f t="shared" si="7"/>
        <v>0.18359924466766567</v>
      </c>
    </row>
    <row r="62" spans="1:49" x14ac:dyDescent="0.2">
      <c r="A62">
        <v>60</v>
      </c>
      <c r="B62" t="s">
        <v>1732</v>
      </c>
      <c r="C62" t="s">
        <v>1731</v>
      </c>
      <c r="F62" t="s">
        <v>1730</v>
      </c>
      <c r="G62" t="s">
        <v>5</v>
      </c>
      <c r="H62" t="s">
        <v>4</v>
      </c>
      <c r="I62" t="s">
        <v>174</v>
      </c>
      <c r="J62">
        <v>60031004</v>
      </c>
      <c r="K62" t="s">
        <v>115</v>
      </c>
      <c r="L62" t="s">
        <v>53</v>
      </c>
      <c r="M62" t="s">
        <v>52</v>
      </c>
      <c r="N62">
        <v>1</v>
      </c>
      <c r="O62" t="s">
        <v>1729</v>
      </c>
      <c r="P62">
        <v>35478779700</v>
      </c>
      <c r="Q62">
        <v>60031004</v>
      </c>
      <c r="R62" s="7">
        <v>34304</v>
      </c>
      <c r="S62" s="8">
        <f t="shared" si="0"/>
        <v>1993</v>
      </c>
      <c r="T62" s="8">
        <v>1993</v>
      </c>
      <c r="U62" s="8">
        <f t="shared" si="1"/>
        <v>29</v>
      </c>
      <c r="V62" s="7">
        <v>34304</v>
      </c>
      <c r="W62" t="s">
        <v>61</v>
      </c>
      <c r="X62" s="2">
        <v>0.94</v>
      </c>
      <c r="Y62" s="6">
        <f t="shared" si="2"/>
        <v>2.5092763140332611E-2</v>
      </c>
      <c r="AA62">
        <v>10518207</v>
      </c>
      <c r="AB62">
        <v>63372</v>
      </c>
      <c r="AD62" t="s">
        <v>2</v>
      </c>
      <c r="AE62">
        <v>3</v>
      </c>
      <c r="AF62">
        <v>12</v>
      </c>
      <c r="AH62" t="s">
        <v>1728</v>
      </c>
      <c r="AI62" t="s">
        <v>1727</v>
      </c>
      <c r="AK62" t="s">
        <v>1726</v>
      </c>
      <c r="AL62">
        <v>4</v>
      </c>
      <c r="AM62" s="5">
        <f t="shared" si="3"/>
        <v>0.13793103448275862</v>
      </c>
      <c r="AN62" s="4">
        <f t="shared" si="4"/>
        <v>2.089072843358707E-4</v>
      </c>
      <c r="AO62" s="3"/>
      <c r="AP62">
        <v>0</v>
      </c>
      <c r="AR62" t="s">
        <v>1</v>
      </c>
      <c r="AT62" s="2" t="s">
        <v>0</v>
      </c>
      <c r="AU62" s="1">
        <f t="shared" si="5"/>
        <v>1.7627606383533587</v>
      </c>
      <c r="AV62" s="1">
        <f t="shared" si="6"/>
        <v>1.2650835212334242</v>
      </c>
      <c r="AW62" s="1">
        <f t="shared" si="7"/>
        <v>0.76740640411348926</v>
      </c>
    </row>
    <row r="63" spans="1:49" x14ac:dyDescent="0.2">
      <c r="A63">
        <v>61</v>
      </c>
      <c r="B63" t="s">
        <v>1725</v>
      </c>
      <c r="F63" t="s">
        <v>1724</v>
      </c>
      <c r="G63" t="s">
        <v>5</v>
      </c>
      <c r="H63" t="s">
        <v>4</v>
      </c>
      <c r="I63" t="s">
        <v>1723</v>
      </c>
      <c r="J63">
        <v>117241439</v>
      </c>
      <c r="K63" t="s">
        <v>113</v>
      </c>
      <c r="L63" t="s">
        <v>14</v>
      </c>
      <c r="M63" t="s">
        <v>13</v>
      </c>
      <c r="N63">
        <v>6</v>
      </c>
      <c r="O63" t="s">
        <v>1722</v>
      </c>
      <c r="P63" t="s">
        <v>1721</v>
      </c>
      <c r="Q63" t="s">
        <v>1720</v>
      </c>
      <c r="R63" s="7">
        <v>34304</v>
      </c>
      <c r="S63" s="8">
        <f t="shared" si="0"/>
        <v>1993</v>
      </c>
      <c r="T63" s="8">
        <v>1993</v>
      </c>
      <c r="U63" s="8">
        <f t="shared" si="1"/>
        <v>29</v>
      </c>
      <c r="V63" s="7">
        <v>1993</v>
      </c>
      <c r="W63" t="s">
        <v>1693</v>
      </c>
      <c r="X63" s="2" t="s">
        <v>0</v>
      </c>
      <c r="Y63" s="6" t="e">
        <f t="shared" si="2"/>
        <v>#VALUE!</v>
      </c>
      <c r="AA63">
        <v>9248625</v>
      </c>
      <c r="AB63">
        <v>12897</v>
      </c>
      <c r="AD63" t="s">
        <v>2</v>
      </c>
      <c r="AE63">
        <v>11</v>
      </c>
      <c r="AF63">
        <v>4</v>
      </c>
      <c r="AH63" t="s">
        <v>226</v>
      </c>
      <c r="AI63" t="s">
        <v>1719</v>
      </c>
      <c r="AK63" t="s">
        <v>1718</v>
      </c>
      <c r="AL63">
        <v>2</v>
      </c>
      <c r="AM63" s="5">
        <f t="shared" si="3"/>
        <v>6.8965517241379309E-2</v>
      </c>
      <c r="AN63" s="4">
        <f t="shared" si="4"/>
        <v>1.0445364216793535E-4</v>
      </c>
      <c r="AO63" s="3"/>
      <c r="AP63">
        <v>0</v>
      </c>
      <c r="AR63" t="s">
        <v>1</v>
      </c>
      <c r="AT63" s="2" t="s">
        <v>0</v>
      </c>
      <c r="AU63" s="1" t="e">
        <f t="shared" si="5"/>
        <v>#VALUE!</v>
      </c>
      <c r="AV63" s="1" t="e">
        <f t="shared" si="6"/>
        <v>#VALUE!</v>
      </c>
      <c r="AW63" s="1" t="e">
        <f t="shared" si="7"/>
        <v>#VALUE!</v>
      </c>
    </row>
    <row r="64" spans="1:49" x14ac:dyDescent="0.2">
      <c r="A64">
        <v>62</v>
      </c>
      <c r="B64" t="s">
        <v>1717</v>
      </c>
      <c r="F64" t="s">
        <v>1716</v>
      </c>
      <c r="G64" t="s">
        <v>5</v>
      </c>
      <c r="H64" t="s">
        <v>4</v>
      </c>
      <c r="I64" t="s">
        <v>1715</v>
      </c>
      <c r="J64">
        <v>60025209</v>
      </c>
      <c r="K64" t="s">
        <v>1586</v>
      </c>
      <c r="L64" t="s">
        <v>85</v>
      </c>
      <c r="M64" t="s">
        <v>3</v>
      </c>
      <c r="N64">
        <v>1</v>
      </c>
      <c r="O64" t="s">
        <v>1714</v>
      </c>
      <c r="P64">
        <v>7003358208</v>
      </c>
      <c r="Q64">
        <v>60025209</v>
      </c>
      <c r="R64" s="7">
        <v>34304</v>
      </c>
      <c r="S64" s="8">
        <f t="shared" si="0"/>
        <v>1993</v>
      </c>
      <c r="T64" s="8">
        <v>1993</v>
      </c>
      <c r="U64" s="8">
        <f t="shared" si="1"/>
        <v>29</v>
      </c>
      <c r="V64" s="7">
        <v>1993</v>
      </c>
      <c r="W64" t="s">
        <v>1693</v>
      </c>
      <c r="X64" s="2" t="s">
        <v>0</v>
      </c>
      <c r="Y64" s="6" t="e">
        <f t="shared" si="2"/>
        <v>#VALUE!</v>
      </c>
      <c r="AA64">
        <v>9248625</v>
      </c>
      <c r="AB64">
        <v>12897</v>
      </c>
      <c r="AD64" t="s">
        <v>2</v>
      </c>
      <c r="AE64">
        <v>11</v>
      </c>
      <c r="AF64">
        <v>4</v>
      </c>
      <c r="AH64" t="s">
        <v>1713</v>
      </c>
      <c r="AI64" t="s">
        <v>1712</v>
      </c>
      <c r="AK64" t="s">
        <v>1711</v>
      </c>
      <c r="AL64">
        <v>2</v>
      </c>
      <c r="AM64" s="5">
        <f t="shared" si="3"/>
        <v>6.8965517241379309E-2</v>
      </c>
      <c r="AN64" s="4">
        <f t="shared" si="4"/>
        <v>1.0445364216793535E-4</v>
      </c>
      <c r="AO64" s="3"/>
      <c r="AP64">
        <v>0</v>
      </c>
      <c r="AR64" t="s">
        <v>1</v>
      </c>
      <c r="AT64" s="2" t="s">
        <v>0</v>
      </c>
      <c r="AU64" s="1" t="e">
        <f t="shared" si="5"/>
        <v>#VALUE!</v>
      </c>
      <c r="AV64" s="1" t="e">
        <f t="shared" si="6"/>
        <v>#VALUE!</v>
      </c>
      <c r="AW64" s="1" t="e">
        <f t="shared" si="7"/>
        <v>#VALUE!</v>
      </c>
    </row>
    <row r="65" spans="1:49" x14ac:dyDescent="0.2">
      <c r="A65">
        <v>63</v>
      </c>
      <c r="B65" t="s">
        <v>1710</v>
      </c>
      <c r="F65" t="s">
        <v>1709</v>
      </c>
      <c r="G65" t="s">
        <v>5</v>
      </c>
      <c r="H65" t="s">
        <v>4</v>
      </c>
      <c r="I65" t="s">
        <v>1708</v>
      </c>
      <c r="J65">
        <v>60028724</v>
      </c>
      <c r="K65" t="s">
        <v>1707</v>
      </c>
      <c r="L65" t="s">
        <v>98</v>
      </c>
      <c r="M65" t="s">
        <v>97</v>
      </c>
      <c r="N65">
        <v>5</v>
      </c>
      <c r="O65" t="s">
        <v>1706</v>
      </c>
      <c r="P65" t="s">
        <v>1705</v>
      </c>
      <c r="Q65" t="s">
        <v>1704</v>
      </c>
      <c r="R65" s="7">
        <v>34304</v>
      </c>
      <c r="S65" s="8">
        <f t="shared" si="0"/>
        <v>1993</v>
      </c>
      <c r="T65" s="8">
        <v>1993</v>
      </c>
      <c r="U65" s="8">
        <f t="shared" si="1"/>
        <v>29</v>
      </c>
      <c r="V65" s="7">
        <v>1993</v>
      </c>
      <c r="W65" t="s">
        <v>1703</v>
      </c>
      <c r="X65" s="2" t="s">
        <v>0</v>
      </c>
      <c r="Y65" s="6" t="e">
        <f t="shared" si="2"/>
        <v>#VALUE!</v>
      </c>
      <c r="AA65">
        <v>8927049</v>
      </c>
      <c r="AB65">
        <v>53669</v>
      </c>
      <c r="AD65" t="s">
        <v>2</v>
      </c>
      <c r="AE65">
        <v>6</v>
      </c>
      <c r="AF65">
        <v>4</v>
      </c>
      <c r="AH65" t="s">
        <v>1702</v>
      </c>
      <c r="AI65" t="s">
        <v>1701</v>
      </c>
      <c r="AK65" t="s">
        <v>1700</v>
      </c>
      <c r="AL65">
        <v>0</v>
      </c>
      <c r="AM65" s="5">
        <f t="shared" si="3"/>
        <v>0</v>
      </c>
      <c r="AN65" s="4">
        <f t="shared" si="4"/>
        <v>0</v>
      </c>
      <c r="AO65" s="3"/>
      <c r="AP65">
        <v>0</v>
      </c>
      <c r="AR65" t="s">
        <v>1</v>
      </c>
      <c r="AT65" s="2" t="s">
        <v>0</v>
      </c>
      <c r="AU65" s="1" t="e">
        <f t="shared" si="5"/>
        <v>#VALUE!</v>
      </c>
      <c r="AV65" s="1" t="e">
        <f t="shared" si="6"/>
        <v>#VALUE!</v>
      </c>
      <c r="AW65" s="1" t="e">
        <f t="shared" si="7"/>
        <v>#VALUE!</v>
      </c>
    </row>
    <row r="66" spans="1:49" x14ac:dyDescent="0.2">
      <c r="A66">
        <v>64</v>
      </c>
      <c r="B66" t="s">
        <v>1699</v>
      </c>
      <c r="F66" t="s">
        <v>1698</v>
      </c>
      <c r="G66" t="s">
        <v>5</v>
      </c>
      <c r="H66" t="s">
        <v>4</v>
      </c>
      <c r="I66" t="s">
        <v>1697</v>
      </c>
      <c r="J66">
        <v>117241439</v>
      </c>
      <c r="K66" t="s">
        <v>113</v>
      </c>
      <c r="L66" t="s">
        <v>14</v>
      </c>
      <c r="M66" t="s">
        <v>13</v>
      </c>
      <c r="N66">
        <v>5</v>
      </c>
      <c r="O66" t="s">
        <v>1696</v>
      </c>
      <c r="P66" t="s">
        <v>1695</v>
      </c>
      <c r="Q66" t="s">
        <v>1694</v>
      </c>
      <c r="R66" s="7">
        <v>34304</v>
      </c>
      <c r="S66" s="8">
        <f t="shared" ref="S66:S129" si="8">YEAR(R66)</f>
        <v>1993</v>
      </c>
      <c r="T66" s="8">
        <v>1993</v>
      </c>
      <c r="U66" s="8">
        <f t="shared" ref="U66:U129" si="9">2022-T66</f>
        <v>29</v>
      </c>
      <c r="V66" s="7">
        <v>1993</v>
      </c>
      <c r="W66" t="s">
        <v>1693</v>
      </c>
      <c r="X66" s="2" t="s">
        <v>0</v>
      </c>
      <c r="Y66" s="6" t="e">
        <f t="shared" ref="Y66:Y129" si="10">(X66-$Z$4)/($Z$3-$Z$4)</f>
        <v>#VALUE!</v>
      </c>
      <c r="AA66">
        <v>9248625</v>
      </c>
      <c r="AB66">
        <v>12897</v>
      </c>
      <c r="AD66" t="s">
        <v>2</v>
      </c>
      <c r="AE66">
        <v>11</v>
      </c>
      <c r="AF66">
        <v>4</v>
      </c>
      <c r="AH66" t="s">
        <v>508</v>
      </c>
      <c r="AI66" t="s">
        <v>1692</v>
      </c>
      <c r="AK66" t="s">
        <v>1691</v>
      </c>
      <c r="AL66">
        <v>3</v>
      </c>
      <c r="AM66" s="5">
        <f t="shared" ref="AM66:AM129" si="11">AL66/U66</f>
        <v>0.10344827586206896</v>
      </c>
      <c r="AN66" s="4">
        <f t="shared" ref="AN66:AN129" si="12">(AM66-$AO$4)/($AO$3-$AO$4)</f>
        <v>1.5668046325190301E-4</v>
      </c>
      <c r="AO66" s="3"/>
      <c r="AP66">
        <v>0</v>
      </c>
      <c r="AR66" t="s">
        <v>1</v>
      </c>
      <c r="AT66" s="2" t="s">
        <v>0</v>
      </c>
      <c r="AU66" s="1" t="e">
        <f t="shared" ref="AU66:AU129" si="13">(Y66*0.7+AN66*0.3)*100</f>
        <v>#VALUE!</v>
      </c>
      <c r="AV66" s="1" t="e">
        <f t="shared" ref="AV66:AV129" si="14">(Y66*0.5+AN66*0.5)*100</f>
        <v>#VALUE!</v>
      </c>
      <c r="AW66" s="1" t="e">
        <f t="shared" ref="AW66:AW129" si="15">(Y66*0.3+AN66*0.7)*100</f>
        <v>#VALUE!</v>
      </c>
    </row>
    <row r="67" spans="1:49" x14ac:dyDescent="0.2">
      <c r="A67">
        <v>65</v>
      </c>
      <c r="B67" t="s">
        <v>1690</v>
      </c>
      <c r="C67" t="s">
        <v>1689</v>
      </c>
      <c r="F67" t="s">
        <v>1688</v>
      </c>
      <c r="G67" t="s">
        <v>5</v>
      </c>
      <c r="H67" t="s">
        <v>4</v>
      </c>
      <c r="I67" t="s">
        <v>1687</v>
      </c>
      <c r="J67">
        <v>60011774</v>
      </c>
      <c r="K67" t="s">
        <v>33</v>
      </c>
      <c r="L67" t="s">
        <v>32</v>
      </c>
      <c r="M67" t="s">
        <v>31</v>
      </c>
      <c r="N67">
        <v>2</v>
      </c>
      <c r="O67" t="s">
        <v>1686</v>
      </c>
      <c r="P67" t="s">
        <v>1685</v>
      </c>
      <c r="Q67" t="s">
        <v>1684</v>
      </c>
      <c r="R67" s="7">
        <v>34304</v>
      </c>
      <c r="S67" s="8">
        <f t="shared" si="8"/>
        <v>1993</v>
      </c>
      <c r="T67" s="8">
        <v>1993</v>
      </c>
      <c r="U67" s="8">
        <f t="shared" si="9"/>
        <v>29</v>
      </c>
      <c r="V67" s="7">
        <v>1993</v>
      </c>
      <c r="W67" t="s">
        <v>1683</v>
      </c>
      <c r="X67" s="2">
        <v>1.0329999999999999</v>
      </c>
      <c r="Y67" s="6">
        <f t="shared" si="10"/>
        <v>2.7575345025493178E-2</v>
      </c>
      <c r="AA67">
        <v>9532048</v>
      </c>
      <c r="AB67">
        <v>12278</v>
      </c>
      <c r="AD67" t="s">
        <v>2</v>
      </c>
      <c r="AE67">
        <v>6</v>
      </c>
      <c r="AF67">
        <v>7</v>
      </c>
      <c r="AG67">
        <v>16</v>
      </c>
      <c r="AH67" t="s">
        <v>1682</v>
      </c>
      <c r="AI67" t="s">
        <v>1681</v>
      </c>
      <c r="AK67" t="s">
        <v>1680</v>
      </c>
      <c r="AL67">
        <v>1</v>
      </c>
      <c r="AM67" s="5">
        <f t="shared" si="11"/>
        <v>3.4482758620689655E-2</v>
      </c>
      <c r="AN67" s="4">
        <f t="shared" si="12"/>
        <v>5.2226821083967674E-5</v>
      </c>
      <c r="AO67" s="3"/>
      <c r="AP67">
        <v>0</v>
      </c>
      <c r="AR67" t="s">
        <v>1</v>
      </c>
      <c r="AT67" s="2" t="s">
        <v>0</v>
      </c>
      <c r="AU67" s="1">
        <f t="shared" si="13"/>
        <v>1.9318409564170413</v>
      </c>
      <c r="AV67" s="1">
        <f t="shared" si="14"/>
        <v>1.3813785923288573</v>
      </c>
      <c r="AW67" s="1">
        <f t="shared" si="15"/>
        <v>0.83091622824067302</v>
      </c>
    </row>
    <row r="68" spans="1:49" x14ac:dyDescent="0.2">
      <c r="A68">
        <v>66</v>
      </c>
      <c r="B68" t="s">
        <v>1679</v>
      </c>
      <c r="C68" t="s">
        <v>1678</v>
      </c>
      <c r="F68" t="s">
        <v>1677</v>
      </c>
      <c r="G68" t="s">
        <v>5</v>
      </c>
      <c r="H68" t="s">
        <v>4</v>
      </c>
      <c r="I68" t="s">
        <v>1676</v>
      </c>
      <c r="J68">
        <v>60028186</v>
      </c>
      <c r="K68" t="s">
        <v>166</v>
      </c>
      <c r="L68" t="s">
        <v>165</v>
      </c>
      <c r="M68" t="s">
        <v>164</v>
      </c>
      <c r="N68">
        <v>4</v>
      </c>
      <c r="O68" t="s">
        <v>1675</v>
      </c>
      <c r="P68" t="s">
        <v>1674</v>
      </c>
      <c r="Q68" t="s">
        <v>1673</v>
      </c>
      <c r="R68" s="7">
        <v>34304</v>
      </c>
      <c r="S68" s="8">
        <f t="shared" si="8"/>
        <v>1993</v>
      </c>
      <c r="T68" s="8">
        <v>1993</v>
      </c>
      <c r="U68" s="8">
        <f t="shared" si="9"/>
        <v>29</v>
      </c>
      <c r="V68" s="7">
        <v>1993</v>
      </c>
      <c r="W68" t="s">
        <v>1573</v>
      </c>
      <c r="X68" s="2">
        <v>1.774</v>
      </c>
      <c r="Y68" s="6">
        <f t="shared" si="10"/>
        <v>4.7355916820159633E-2</v>
      </c>
      <c r="AA68">
        <v>295515</v>
      </c>
      <c r="AB68">
        <v>29066</v>
      </c>
      <c r="AD68" t="s">
        <v>2</v>
      </c>
      <c r="AE68">
        <v>33</v>
      </c>
      <c r="AF68">
        <v>6</v>
      </c>
      <c r="AG68" t="s">
        <v>1606</v>
      </c>
      <c r="AH68" t="s">
        <v>1672</v>
      </c>
      <c r="AI68" t="s">
        <v>1671</v>
      </c>
      <c r="AK68" t="s">
        <v>1670</v>
      </c>
      <c r="AL68">
        <v>5</v>
      </c>
      <c r="AM68" s="5">
        <f t="shared" si="11"/>
        <v>0.17241379310344829</v>
      </c>
      <c r="AN68" s="4">
        <f t="shared" si="12"/>
        <v>2.6113410541983838E-4</v>
      </c>
      <c r="AO68" s="3"/>
      <c r="AP68">
        <v>0</v>
      </c>
      <c r="AR68" t="s">
        <v>1</v>
      </c>
      <c r="AT68" s="2">
        <v>3.1789999999999998</v>
      </c>
      <c r="AU68" s="1">
        <f t="shared" si="13"/>
        <v>3.322748200573769</v>
      </c>
      <c r="AV68" s="1">
        <f t="shared" si="14"/>
        <v>2.3808525462789736</v>
      </c>
      <c r="AW68" s="1">
        <f t="shared" si="15"/>
        <v>1.4389568919841775</v>
      </c>
    </row>
    <row r="69" spans="1:49" x14ac:dyDescent="0.2">
      <c r="A69">
        <v>67</v>
      </c>
      <c r="B69" t="s">
        <v>1669</v>
      </c>
      <c r="C69" t="s">
        <v>1668</v>
      </c>
      <c r="F69" t="s">
        <v>1667</v>
      </c>
      <c r="G69" t="s">
        <v>5</v>
      </c>
      <c r="H69" t="s">
        <v>4</v>
      </c>
      <c r="I69" t="s">
        <v>1666</v>
      </c>
      <c r="J69">
        <v>60032179</v>
      </c>
      <c r="K69" t="s">
        <v>192</v>
      </c>
      <c r="L69" t="s">
        <v>191</v>
      </c>
      <c r="M69" t="s">
        <v>3</v>
      </c>
      <c r="N69">
        <v>4</v>
      </c>
      <c r="O69" t="s">
        <v>1665</v>
      </c>
      <c r="P69" t="s">
        <v>1664</v>
      </c>
      <c r="Q69" t="s">
        <v>1663</v>
      </c>
      <c r="R69" s="7">
        <v>34304</v>
      </c>
      <c r="S69" s="8">
        <f t="shared" si="8"/>
        <v>1993</v>
      </c>
      <c r="T69" s="8">
        <v>1993</v>
      </c>
      <c r="U69" s="8">
        <f t="shared" si="9"/>
        <v>29</v>
      </c>
      <c r="V69" s="7">
        <v>1993</v>
      </c>
      <c r="W69" t="s">
        <v>1573</v>
      </c>
      <c r="X69" s="2">
        <v>1.774</v>
      </c>
      <c r="Y69" s="6">
        <f t="shared" si="10"/>
        <v>4.7355916820159633E-2</v>
      </c>
      <c r="AA69">
        <v>295515</v>
      </c>
      <c r="AB69">
        <v>29066</v>
      </c>
      <c r="AD69" t="s">
        <v>2</v>
      </c>
      <c r="AE69">
        <v>33</v>
      </c>
      <c r="AF69">
        <v>6</v>
      </c>
      <c r="AG69" t="s">
        <v>1572</v>
      </c>
      <c r="AH69" t="s">
        <v>1662</v>
      </c>
      <c r="AI69" t="s">
        <v>1661</v>
      </c>
      <c r="AK69" t="s">
        <v>1660</v>
      </c>
      <c r="AL69">
        <v>9</v>
      </c>
      <c r="AM69" s="5">
        <f t="shared" si="11"/>
        <v>0.31034482758620691</v>
      </c>
      <c r="AN69" s="4">
        <f t="shared" si="12"/>
        <v>4.7004138975570908E-4</v>
      </c>
      <c r="AO69" s="3"/>
      <c r="AP69">
        <v>0</v>
      </c>
      <c r="AR69" t="s">
        <v>1</v>
      </c>
      <c r="AT69" s="2">
        <v>3.1789999999999998</v>
      </c>
      <c r="AU69" s="1">
        <f t="shared" si="13"/>
        <v>3.329015419103845</v>
      </c>
      <c r="AV69" s="1">
        <f t="shared" si="14"/>
        <v>2.391297910495767</v>
      </c>
      <c r="AW69" s="1">
        <f t="shared" si="15"/>
        <v>1.4535804018876886</v>
      </c>
    </row>
    <row r="70" spans="1:49" x14ac:dyDescent="0.2">
      <c r="A70">
        <v>68</v>
      </c>
      <c r="B70" t="s">
        <v>1659</v>
      </c>
      <c r="C70" t="s">
        <v>1658</v>
      </c>
      <c r="F70" t="s">
        <v>1657</v>
      </c>
      <c r="G70" t="s">
        <v>5</v>
      </c>
      <c r="H70" t="s">
        <v>4</v>
      </c>
      <c r="I70" t="s">
        <v>1656</v>
      </c>
      <c r="J70">
        <v>60013901</v>
      </c>
      <c r="K70" t="s">
        <v>1633</v>
      </c>
      <c r="L70" t="s">
        <v>38</v>
      </c>
      <c r="M70" t="s">
        <v>3</v>
      </c>
      <c r="N70">
        <v>5</v>
      </c>
      <c r="O70" t="s">
        <v>1655</v>
      </c>
      <c r="P70" t="s">
        <v>1654</v>
      </c>
      <c r="Q70" t="s">
        <v>1653</v>
      </c>
      <c r="R70" s="7">
        <v>34304</v>
      </c>
      <c r="S70" s="8">
        <f t="shared" si="8"/>
        <v>1993</v>
      </c>
      <c r="T70" s="8">
        <v>1993</v>
      </c>
      <c r="U70" s="8">
        <f t="shared" si="9"/>
        <v>29</v>
      </c>
      <c r="V70" s="7">
        <v>1993</v>
      </c>
      <c r="W70" t="s">
        <v>1573</v>
      </c>
      <c r="X70" s="2">
        <v>1.774</v>
      </c>
      <c r="Y70" s="6">
        <f t="shared" si="10"/>
        <v>4.7355916820159633E-2</v>
      </c>
      <c r="AA70">
        <v>295515</v>
      </c>
      <c r="AB70">
        <v>29066</v>
      </c>
      <c r="AD70" t="s">
        <v>2</v>
      </c>
      <c r="AE70">
        <v>33</v>
      </c>
      <c r="AF70">
        <v>5</v>
      </c>
      <c r="AG70" t="s">
        <v>1572</v>
      </c>
      <c r="AH70" t="s">
        <v>1652</v>
      </c>
      <c r="AI70" t="s">
        <v>1651</v>
      </c>
      <c r="AK70" t="s">
        <v>1650</v>
      </c>
      <c r="AL70">
        <v>29</v>
      </c>
      <c r="AM70" s="5">
        <f t="shared" si="11"/>
        <v>1</v>
      </c>
      <c r="AN70" s="4">
        <f t="shared" si="12"/>
        <v>1.5145778114350624E-3</v>
      </c>
      <c r="AO70" s="3"/>
      <c r="AP70">
        <v>0</v>
      </c>
      <c r="AR70" t="s">
        <v>1</v>
      </c>
      <c r="AT70" s="2">
        <v>3.1789999999999998</v>
      </c>
      <c r="AU70" s="1">
        <f t="shared" si="13"/>
        <v>3.3603515117542262</v>
      </c>
      <c r="AV70" s="1">
        <f t="shared" si="14"/>
        <v>2.4435247315797346</v>
      </c>
      <c r="AW70" s="1">
        <f t="shared" si="15"/>
        <v>1.5266979514052432</v>
      </c>
    </row>
    <row r="71" spans="1:49" x14ac:dyDescent="0.2">
      <c r="A71">
        <v>69</v>
      </c>
      <c r="B71" t="s">
        <v>1649</v>
      </c>
      <c r="C71" t="s">
        <v>1648</v>
      </c>
      <c r="F71" t="s">
        <v>1647</v>
      </c>
      <c r="G71" t="s">
        <v>5</v>
      </c>
      <c r="H71" t="s">
        <v>4</v>
      </c>
      <c r="I71" t="s">
        <v>1646</v>
      </c>
      <c r="J71">
        <v>60008794</v>
      </c>
      <c r="K71" t="s">
        <v>1645</v>
      </c>
      <c r="L71" t="s">
        <v>67</v>
      </c>
      <c r="M71" t="s">
        <v>66</v>
      </c>
      <c r="N71">
        <v>4</v>
      </c>
      <c r="O71" t="s">
        <v>1644</v>
      </c>
      <c r="P71" t="s">
        <v>1643</v>
      </c>
      <c r="Q71" t="s">
        <v>1642</v>
      </c>
      <c r="R71" s="7">
        <v>34304</v>
      </c>
      <c r="S71" s="8">
        <f t="shared" si="8"/>
        <v>1993</v>
      </c>
      <c r="T71" s="8">
        <v>1993</v>
      </c>
      <c r="U71" s="8">
        <f t="shared" si="9"/>
        <v>29</v>
      </c>
      <c r="V71" s="7">
        <v>1993</v>
      </c>
      <c r="W71" t="s">
        <v>1573</v>
      </c>
      <c r="X71" s="2">
        <v>1.774</v>
      </c>
      <c r="Y71" s="6">
        <f t="shared" si="10"/>
        <v>4.7355916820159633E-2</v>
      </c>
      <c r="AA71">
        <v>295515</v>
      </c>
      <c r="AB71">
        <v>29066</v>
      </c>
      <c r="AD71" t="s">
        <v>2</v>
      </c>
      <c r="AE71">
        <v>33</v>
      </c>
      <c r="AF71">
        <v>4</v>
      </c>
      <c r="AG71" t="s">
        <v>1641</v>
      </c>
      <c r="AH71" t="s">
        <v>1640</v>
      </c>
      <c r="AI71" t="s">
        <v>1639</v>
      </c>
      <c r="AK71" t="s">
        <v>1638</v>
      </c>
      <c r="AL71">
        <v>8</v>
      </c>
      <c r="AM71" s="5">
        <f t="shared" si="11"/>
        <v>0.27586206896551724</v>
      </c>
      <c r="AN71" s="4">
        <f t="shared" si="12"/>
        <v>4.1781456867174139E-4</v>
      </c>
      <c r="AO71" s="3"/>
      <c r="AP71">
        <v>0</v>
      </c>
      <c r="AR71" t="s">
        <v>1</v>
      </c>
      <c r="AT71" s="2">
        <v>3.1789999999999998</v>
      </c>
      <c r="AU71" s="1">
        <f t="shared" si="13"/>
        <v>3.3274486144713262</v>
      </c>
      <c r="AV71" s="1">
        <f t="shared" si="14"/>
        <v>2.3886865694415689</v>
      </c>
      <c r="AW71" s="1">
        <f t="shared" si="15"/>
        <v>1.4499245244118109</v>
      </c>
    </row>
    <row r="72" spans="1:49" x14ac:dyDescent="0.2">
      <c r="A72">
        <v>70</v>
      </c>
      <c r="B72" t="s">
        <v>1637</v>
      </c>
      <c r="C72" t="s">
        <v>1636</v>
      </c>
      <c r="F72" t="s">
        <v>1635</v>
      </c>
      <c r="G72" t="s">
        <v>5</v>
      </c>
      <c r="H72" t="s">
        <v>4</v>
      </c>
      <c r="I72" t="s">
        <v>1634</v>
      </c>
      <c r="J72">
        <v>60013901</v>
      </c>
      <c r="K72" t="s">
        <v>1633</v>
      </c>
      <c r="L72" t="s">
        <v>38</v>
      </c>
      <c r="M72" t="s">
        <v>3</v>
      </c>
      <c r="N72">
        <v>7</v>
      </c>
      <c r="O72" t="s">
        <v>1632</v>
      </c>
      <c r="P72" t="s">
        <v>1631</v>
      </c>
      <c r="Q72" t="s">
        <v>1630</v>
      </c>
      <c r="R72" s="7">
        <v>34304</v>
      </c>
      <c r="S72" s="8">
        <f t="shared" si="8"/>
        <v>1993</v>
      </c>
      <c r="T72" s="8">
        <v>1993</v>
      </c>
      <c r="U72" s="8">
        <f t="shared" si="9"/>
        <v>29</v>
      </c>
      <c r="V72" s="7">
        <v>1993</v>
      </c>
      <c r="W72" t="s">
        <v>1573</v>
      </c>
      <c r="X72" s="2">
        <v>1.774</v>
      </c>
      <c r="Y72" s="6">
        <f t="shared" si="10"/>
        <v>4.7355916820159633E-2</v>
      </c>
      <c r="AA72">
        <v>295515</v>
      </c>
      <c r="AB72">
        <v>29066</v>
      </c>
      <c r="AD72" t="s">
        <v>2</v>
      </c>
      <c r="AE72">
        <v>33</v>
      </c>
      <c r="AF72">
        <v>4</v>
      </c>
      <c r="AG72" t="s">
        <v>1629</v>
      </c>
      <c r="AH72" t="s">
        <v>1628</v>
      </c>
      <c r="AI72" t="s">
        <v>1627</v>
      </c>
      <c r="AK72" t="s">
        <v>1626</v>
      </c>
      <c r="AL72">
        <v>21</v>
      </c>
      <c r="AM72" s="5">
        <f t="shared" si="11"/>
        <v>0.72413793103448276</v>
      </c>
      <c r="AN72" s="4">
        <f t="shared" si="12"/>
        <v>1.0967632427633211E-3</v>
      </c>
      <c r="AO72" s="3"/>
      <c r="AP72">
        <v>0</v>
      </c>
      <c r="AR72" t="s">
        <v>1</v>
      </c>
      <c r="AT72" s="2">
        <v>3.1789999999999998</v>
      </c>
      <c r="AU72" s="1">
        <f t="shared" si="13"/>
        <v>3.3478170746940732</v>
      </c>
      <c r="AV72" s="1">
        <f t="shared" si="14"/>
        <v>2.4226340031461477</v>
      </c>
      <c r="AW72" s="1">
        <f t="shared" si="15"/>
        <v>1.4974509315982214</v>
      </c>
    </row>
    <row r="73" spans="1:49" x14ac:dyDescent="0.2">
      <c r="A73">
        <v>71</v>
      </c>
      <c r="B73" t="s">
        <v>1625</v>
      </c>
      <c r="C73" t="s">
        <v>1624</v>
      </c>
      <c r="F73" t="s">
        <v>1623</v>
      </c>
      <c r="G73" t="s">
        <v>5</v>
      </c>
      <c r="H73" t="s">
        <v>4</v>
      </c>
      <c r="I73" t="s">
        <v>1622</v>
      </c>
      <c r="J73">
        <v>60015658</v>
      </c>
      <c r="K73" t="s">
        <v>1466</v>
      </c>
      <c r="L73" t="s">
        <v>1465</v>
      </c>
      <c r="M73" t="s">
        <v>13</v>
      </c>
      <c r="N73">
        <v>10</v>
      </c>
      <c r="O73" t="s">
        <v>1621</v>
      </c>
      <c r="P73" t="s">
        <v>1620</v>
      </c>
      <c r="Q73" t="s">
        <v>1619</v>
      </c>
      <c r="R73" s="7">
        <v>34304</v>
      </c>
      <c r="S73" s="8">
        <f t="shared" si="8"/>
        <v>1993</v>
      </c>
      <c r="T73" s="8">
        <v>1993</v>
      </c>
      <c r="U73" s="8">
        <f t="shared" si="9"/>
        <v>29</v>
      </c>
      <c r="V73" s="7">
        <v>1993</v>
      </c>
      <c r="W73" t="s">
        <v>1573</v>
      </c>
      <c r="X73" s="2">
        <v>1.774</v>
      </c>
      <c r="Y73" s="6">
        <f t="shared" si="10"/>
        <v>4.7355916820159633E-2</v>
      </c>
      <c r="AA73">
        <v>295515</v>
      </c>
      <c r="AB73">
        <v>29066</v>
      </c>
      <c r="AD73" t="s">
        <v>2</v>
      </c>
      <c r="AE73">
        <v>33</v>
      </c>
      <c r="AF73">
        <v>3</v>
      </c>
      <c r="AG73" t="s">
        <v>1618</v>
      </c>
      <c r="AH73" t="s">
        <v>1106</v>
      </c>
      <c r="AI73" t="s">
        <v>1617</v>
      </c>
      <c r="AK73" t="s">
        <v>1616</v>
      </c>
      <c r="AL73">
        <v>10</v>
      </c>
      <c r="AM73" s="5">
        <f t="shared" si="11"/>
        <v>0.34482758620689657</v>
      </c>
      <c r="AN73" s="4">
        <f t="shared" si="12"/>
        <v>5.2226821083967677E-4</v>
      </c>
      <c r="AO73" s="3"/>
      <c r="AP73">
        <v>0</v>
      </c>
      <c r="AR73" t="s">
        <v>1</v>
      </c>
      <c r="AT73" s="2">
        <v>3.1789999999999998</v>
      </c>
      <c r="AU73" s="1">
        <f t="shared" si="13"/>
        <v>3.3305822237363643</v>
      </c>
      <c r="AV73" s="1">
        <f t="shared" si="14"/>
        <v>2.3939092515499656</v>
      </c>
      <c r="AW73" s="1">
        <f t="shared" si="15"/>
        <v>1.4572362793635663</v>
      </c>
    </row>
    <row r="74" spans="1:49" x14ac:dyDescent="0.2">
      <c r="A74">
        <v>72</v>
      </c>
      <c r="B74" t="s">
        <v>1615</v>
      </c>
      <c r="C74" t="s">
        <v>1614</v>
      </c>
      <c r="F74" t="s">
        <v>1613</v>
      </c>
      <c r="G74" t="s">
        <v>5</v>
      </c>
      <c r="H74" t="s">
        <v>4</v>
      </c>
      <c r="I74" t="s">
        <v>1612</v>
      </c>
      <c r="J74">
        <v>60024266</v>
      </c>
      <c r="K74" t="s">
        <v>1611</v>
      </c>
      <c r="L74" t="s">
        <v>1610</v>
      </c>
      <c r="M74" t="s">
        <v>3</v>
      </c>
      <c r="N74">
        <v>3</v>
      </c>
      <c r="O74" t="s">
        <v>1609</v>
      </c>
      <c r="P74" t="s">
        <v>1608</v>
      </c>
      <c r="Q74" t="s">
        <v>1607</v>
      </c>
      <c r="R74" s="7">
        <v>34304</v>
      </c>
      <c r="S74" s="8">
        <f t="shared" si="8"/>
        <v>1993</v>
      </c>
      <c r="T74" s="8">
        <v>1993</v>
      </c>
      <c r="U74" s="8">
        <f t="shared" si="9"/>
        <v>29</v>
      </c>
      <c r="V74" s="7">
        <v>1993</v>
      </c>
      <c r="W74" t="s">
        <v>1573</v>
      </c>
      <c r="X74" s="2">
        <v>1.774</v>
      </c>
      <c r="Y74" s="6">
        <f t="shared" si="10"/>
        <v>4.7355916820159633E-2</v>
      </c>
      <c r="AA74">
        <v>295515</v>
      </c>
      <c r="AB74">
        <v>29066</v>
      </c>
      <c r="AD74" t="s">
        <v>2</v>
      </c>
      <c r="AE74">
        <v>33</v>
      </c>
      <c r="AF74">
        <v>2</v>
      </c>
      <c r="AG74" t="s">
        <v>1606</v>
      </c>
      <c r="AH74" t="s">
        <v>1605</v>
      </c>
      <c r="AI74" t="s">
        <v>1604</v>
      </c>
      <c r="AK74" t="s">
        <v>1603</v>
      </c>
      <c r="AL74">
        <v>37</v>
      </c>
      <c r="AM74" s="5">
        <f t="shared" si="11"/>
        <v>1.2758620689655173</v>
      </c>
      <c r="AN74" s="4">
        <f t="shared" si="12"/>
        <v>1.9323923801068041E-3</v>
      </c>
      <c r="AO74" s="3"/>
      <c r="AP74">
        <v>0</v>
      </c>
      <c r="AR74" t="s">
        <v>1</v>
      </c>
      <c r="AT74" s="2">
        <v>3.1789999999999998</v>
      </c>
      <c r="AU74" s="1">
        <f t="shared" si="13"/>
        <v>3.3728859488143783</v>
      </c>
      <c r="AV74" s="1">
        <f t="shared" si="14"/>
        <v>2.4644154600133219</v>
      </c>
      <c r="AW74" s="1">
        <f t="shared" si="15"/>
        <v>1.5559449712122653</v>
      </c>
    </row>
    <row r="75" spans="1:49" x14ac:dyDescent="0.2">
      <c r="A75">
        <v>73</v>
      </c>
      <c r="B75" t="s">
        <v>1602</v>
      </c>
      <c r="C75" t="s">
        <v>1601</v>
      </c>
      <c r="F75" t="s">
        <v>1600</v>
      </c>
      <c r="G75" t="s">
        <v>5</v>
      </c>
      <c r="H75" t="s">
        <v>4</v>
      </c>
      <c r="I75" t="s">
        <v>1599</v>
      </c>
      <c r="J75">
        <v>60026796</v>
      </c>
      <c r="K75" t="s">
        <v>1598</v>
      </c>
      <c r="L75" t="s">
        <v>154</v>
      </c>
      <c r="M75" t="s">
        <v>96</v>
      </c>
      <c r="N75">
        <v>3</v>
      </c>
      <c r="O75" t="s">
        <v>1597</v>
      </c>
      <c r="P75" t="s">
        <v>1596</v>
      </c>
      <c r="Q75" t="s">
        <v>1595</v>
      </c>
      <c r="R75" s="7">
        <v>34304</v>
      </c>
      <c r="S75" s="8">
        <f t="shared" si="8"/>
        <v>1993</v>
      </c>
      <c r="T75" s="8">
        <v>1993</v>
      </c>
      <c r="U75" s="8">
        <f t="shared" si="9"/>
        <v>29</v>
      </c>
      <c r="V75" s="7">
        <v>34304</v>
      </c>
      <c r="W75" t="s">
        <v>84</v>
      </c>
      <c r="X75" s="2" t="s">
        <v>0</v>
      </c>
      <c r="Y75" s="6" t="e">
        <f t="shared" si="10"/>
        <v>#VALUE!</v>
      </c>
      <c r="AA75" t="s">
        <v>83</v>
      </c>
      <c r="AB75">
        <v>53590</v>
      </c>
      <c r="AC75" t="s">
        <v>82</v>
      </c>
      <c r="AD75" t="s">
        <v>2</v>
      </c>
      <c r="AE75">
        <v>203</v>
      </c>
      <c r="AF75">
        <v>3</v>
      </c>
      <c r="AH75" t="s">
        <v>1594</v>
      </c>
      <c r="AI75" t="s">
        <v>1593</v>
      </c>
      <c r="AJ75" t="s">
        <v>1592</v>
      </c>
      <c r="AK75" t="s">
        <v>1591</v>
      </c>
      <c r="AL75">
        <v>13</v>
      </c>
      <c r="AM75" s="5">
        <f t="shared" si="11"/>
        <v>0.44827586206896552</v>
      </c>
      <c r="AN75" s="4">
        <f t="shared" si="12"/>
        <v>6.7894867409157972E-4</v>
      </c>
      <c r="AO75" s="3"/>
      <c r="AP75">
        <v>0</v>
      </c>
      <c r="AR75" t="s">
        <v>1</v>
      </c>
      <c r="AT75" s="2" t="s">
        <v>0</v>
      </c>
      <c r="AU75" s="1" t="e">
        <f t="shared" si="13"/>
        <v>#VALUE!</v>
      </c>
      <c r="AV75" s="1" t="e">
        <f t="shared" si="14"/>
        <v>#VALUE!</v>
      </c>
      <c r="AW75" s="1" t="e">
        <f t="shared" si="15"/>
        <v>#VALUE!</v>
      </c>
    </row>
    <row r="76" spans="1:49" x14ac:dyDescent="0.2">
      <c r="A76">
        <v>74</v>
      </c>
      <c r="B76" t="s">
        <v>1590</v>
      </c>
      <c r="C76" t="s">
        <v>1589</v>
      </c>
      <c r="F76" t="s">
        <v>1588</v>
      </c>
      <c r="G76" t="s">
        <v>5</v>
      </c>
      <c r="H76" t="s">
        <v>4</v>
      </c>
      <c r="I76" t="s">
        <v>1587</v>
      </c>
      <c r="J76">
        <v>60025209</v>
      </c>
      <c r="K76" t="s">
        <v>1586</v>
      </c>
      <c r="L76" t="s">
        <v>85</v>
      </c>
      <c r="M76" t="s">
        <v>3</v>
      </c>
      <c r="N76">
        <v>1</v>
      </c>
      <c r="O76" t="s">
        <v>1585</v>
      </c>
      <c r="P76">
        <v>7004354111</v>
      </c>
      <c r="Q76">
        <v>60025209</v>
      </c>
      <c r="R76" s="7">
        <v>34304</v>
      </c>
      <c r="S76" s="8">
        <f t="shared" si="8"/>
        <v>1993</v>
      </c>
      <c r="T76" s="8">
        <v>1993</v>
      </c>
      <c r="U76" s="8">
        <f t="shared" si="9"/>
        <v>29</v>
      </c>
      <c r="V76" s="7">
        <v>1993</v>
      </c>
      <c r="W76" t="s">
        <v>1492</v>
      </c>
      <c r="X76" s="2">
        <v>0.60499999999999998</v>
      </c>
      <c r="Y76" s="6">
        <f t="shared" si="10"/>
        <v>1.6150129467980032E-2</v>
      </c>
      <c r="AA76">
        <v>346748</v>
      </c>
      <c r="AB76">
        <v>15563</v>
      </c>
      <c r="AD76" t="s">
        <v>2</v>
      </c>
      <c r="AE76">
        <v>64</v>
      </c>
      <c r="AF76">
        <v>2</v>
      </c>
      <c r="AH76" t="s">
        <v>1584</v>
      </c>
      <c r="AI76" t="s">
        <v>1583</v>
      </c>
      <c r="AK76" t="s">
        <v>1582</v>
      </c>
      <c r="AL76">
        <v>8</v>
      </c>
      <c r="AM76" s="5">
        <f t="shared" si="11"/>
        <v>0.27586206896551724</v>
      </c>
      <c r="AN76" s="4">
        <f t="shared" si="12"/>
        <v>4.1781456867174139E-4</v>
      </c>
      <c r="AO76" s="3"/>
      <c r="AP76">
        <v>0</v>
      </c>
      <c r="AR76" t="s">
        <v>1</v>
      </c>
      <c r="AT76" s="2">
        <v>1.5229999999999999</v>
      </c>
      <c r="AU76" s="1">
        <f t="shared" si="13"/>
        <v>1.1430434998187544</v>
      </c>
      <c r="AV76" s="1">
        <f t="shared" si="14"/>
        <v>0.82839720183258869</v>
      </c>
      <c r="AW76" s="1">
        <f t="shared" si="15"/>
        <v>0.51375090384642286</v>
      </c>
    </row>
    <row r="77" spans="1:49" x14ac:dyDescent="0.2">
      <c r="A77">
        <v>75</v>
      </c>
      <c r="B77" t="s">
        <v>1581</v>
      </c>
      <c r="C77" t="s">
        <v>1580</v>
      </c>
      <c r="F77" t="s">
        <v>1579</v>
      </c>
      <c r="G77" t="s">
        <v>5</v>
      </c>
      <c r="H77" t="s">
        <v>4</v>
      </c>
      <c r="I77" t="s">
        <v>1578</v>
      </c>
      <c r="J77">
        <v>60025104</v>
      </c>
      <c r="K77" t="s">
        <v>1577</v>
      </c>
      <c r="M77" t="s">
        <v>28</v>
      </c>
      <c r="N77">
        <v>4</v>
      </c>
      <c r="O77" t="s">
        <v>1576</v>
      </c>
      <c r="P77" t="s">
        <v>1575</v>
      </c>
      <c r="Q77" t="s">
        <v>1574</v>
      </c>
      <c r="R77" s="7">
        <v>34304</v>
      </c>
      <c r="S77" s="8">
        <f t="shared" si="8"/>
        <v>1993</v>
      </c>
      <c r="T77" s="8">
        <v>1993</v>
      </c>
      <c r="U77" s="8">
        <f t="shared" si="9"/>
        <v>29</v>
      </c>
      <c r="V77" s="7">
        <v>1993</v>
      </c>
      <c r="W77" t="s">
        <v>1573</v>
      </c>
      <c r="X77" s="2">
        <v>1.774</v>
      </c>
      <c r="Y77" s="6">
        <f t="shared" si="10"/>
        <v>4.7355916820159633E-2</v>
      </c>
      <c r="AA77">
        <v>295515</v>
      </c>
      <c r="AB77">
        <v>29066</v>
      </c>
      <c r="AD77" t="s">
        <v>2</v>
      </c>
      <c r="AE77">
        <v>33</v>
      </c>
      <c r="AF77">
        <v>1</v>
      </c>
      <c r="AG77" t="s">
        <v>1572</v>
      </c>
      <c r="AH77" t="s">
        <v>1571</v>
      </c>
      <c r="AI77" t="s">
        <v>1570</v>
      </c>
      <c r="AK77" t="s">
        <v>1569</v>
      </c>
      <c r="AL77">
        <v>16</v>
      </c>
      <c r="AM77" s="5">
        <f t="shared" si="11"/>
        <v>0.55172413793103448</v>
      </c>
      <c r="AN77" s="4">
        <f t="shared" si="12"/>
        <v>8.3562913734348278E-4</v>
      </c>
      <c r="AO77" s="3"/>
      <c r="AP77">
        <v>0</v>
      </c>
      <c r="AR77" t="s">
        <v>1</v>
      </c>
      <c r="AT77" s="2">
        <v>3.1789999999999998</v>
      </c>
      <c r="AU77" s="1">
        <f t="shared" si="13"/>
        <v>3.3399830515314783</v>
      </c>
      <c r="AV77" s="1">
        <f t="shared" si="14"/>
        <v>2.4095772978751557</v>
      </c>
      <c r="AW77" s="1">
        <f t="shared" si="15"/>
        <v>1.4791715442188327</v>
      </c>
    </row>
    <row r="78" spans="1:49" x14ac:dyDescent="0.2">
      <c r="A78">
        <v>76</v>
      </c>
      <c r="B78" t="s">
        <v>1568</v>
      </c>
      <c r="C78" t="s">
        <v>1567</v>
      </c>
      <c r="F78" t="s">
        <v>1566</v>
      </c>
      <c r="G78" t="s">
        <v>5</v>
      </c>
      <c r="H78" t="s">
        <v>4</v>
      </c>
      <c r="I78" t="s">
        <v>1565</v>
      </c>
      <c r="J78">
        <v>60016536</v>
      </c>
      <c r="K78" t="s">
        <v>1564</v>
      </c>
      <c r="L78" t="s">
        <v>1563</v>
      </c>
      <c r="M78" t="s">
        <v>3</v>
      </c>
      <c r="N78">
        <v>6</v>
      </c>
      <c r="O78" t="s">
        <v>1562</v>
      </c>
      <c r="P78" t="s">
        <v>1561</v>
      </c>
      <c r="Q78" t="s">
        <v>1560</v>
      </c>
      <c r="R78" s="7">
        <v>34304</v>
      </c>
      <c r="S78" s="8">
        <f t="shared" si="8"/>
        <v>1993</v>
      </c>
      <c r="T78" s="8">
        <v>1993</v>
      </c>
      <c r="U78" s="8">
        <f t="shared" si="9"/>
        <v>29</v>
      </c>
      <c r="V78" s="7">
        <v>34304</v>
      </c>
      <c r="W78" t="s">
        <v>1559</v>
      </c>
      <c r="X78" s="2">
        <v>0.76300000000000001</v>
      </c>
      <c r="Y78" s="6">
        <f t="shared" si="10"/>
        <v>2.0367849229865728E-2</v>
      </c>
      <c r="AA78">
        <v>207128</v>
      </c>
      <c r="AB78">
        <v>13506</v>
      </c>
      <c r="AC78">
        <v>14321254</v>
      </c>
      <c r="AD78" t="s">
        <v>2</v>
      </c>
      <c r="AE78">
        <v>37</v>
      </c>
      <c r="AF78">
        <v>4</v>
      </c>
      <c r="AH78" t="s">
        <v>1558</v>
      </c>
      <c r="AI78" t="s">
        <v>1557</v>
      </c>
      <c r="AJ78" t="s">
        <v>1556</v>
      </c>
      <c r="AK78" t="s">
        <v>1555</v>
      </c>
      <c r="AL78">
        <v>3</v>
      </c>
      <c r="AM78" s="5">
        <f t="shared" si="11"/>
        <v>0.10344827586206896</v>
      </c>
      <c r="AN78" s="4">
        <f t="shared" si="12"/>
        <v>1.5668046325190301E-4</v>
      </c>
      <c r="AO78" s="3"/>
      <c r="AP78">
        <v>0</v>
      </c>
      <c r="AR78" t="s">
        <v>1</v>
      </c>
      <c r="AT78" s="2" t="s">
        <v>0</v>
      </c>
      <c r="AU78" s="1">
        <f t="shared" si="13"/>
        <v>1.4304498599881579</v>
      </c>
      <c r="AV78" s="1">
        <f t="shared" si="14"/>
        <v>1.0262264846558815</v>
      </c>
      <c r="AW78" s="1">
        <f t="shared" si="15"/>
        <v>0.62200310932360503</v>
      </c>
    </row>
    <row r="79" spans="1:49" x14ac:dyDescent="0.2">
      <c r="A79">
        <v>77</v>
      </c>
      <c r="B79" t="s">
        <v>1554</v>
      </c>
      <c r="C79" t="s">
        <v>1553</v>
      </c>
      <c r="F79" t="s">
        <v>1552</v>
      </c>
      <c r="G79" t="s">
        <v>5</v>
      </c>
      <c r="H79" t="s">
        <v>4</v>
      </c>
      <c r="I79" t="s">
        <v>1495</v>
      </c>
      <c r="J79">
        <v>60031806</v>
      </c>
      <c r="K79" t="s">
        <v>251</v>
      </c>
      <c r="L79" t="s">
        <v>134</v>
      </c>
      <c r="M79" t="s">
        <v>52</v>
      </c>
      <c r="N79">
        <v>3</v>
      </c>
      <c r="O79" t="s">
        <v>1551</v>
      </c>
      <c r="P79" t="s">
        <v>1550</v>
      </c>
      <c r="Q79" t="s">
        <v>1549</v>
      </c>
      <c r="R79" s="7">
        <v>34304</v>
      </c>
      <c r="S79" s="8">
        <f t="shared" si="8"/>
        <v>1993</v>
      </c>
      <c r="T79" s="8">
        <v>1993</v>
      </c>
      <c r="U79" s="8">
        <f t="shared" si="9"/>
        <v>29</v>
      </c>
      <c r="V79" s="7">
        <v>1993</v>
      </c>
      <c r="W79" t="s">
        <v>1492</v>
      </c>
      <c r="X79" s="2">
        <v>0.60499999999999998</v>
      </c>
      <c r="Y79" s="6">
        <f t="shared" si="10"/>
        <v>1.6150129467980032E-2</v>
      </c>
      <c r="AA79">
        <v>346748</v>
      </c>
      <c r="AB79">
        <v>15563</v>
      </c>
      <c r="AD79" t="s">
        <v>2</v>
      </c>
      <c r="AE79">
        <v>64</v>
      </c>
      <c r="AF79">
        <v>11</v>
      </c>
      <c r="AH79" t="s">
        <v>1548</v>
      </c>
      <c r="AI79" t="s">
        <v>1547</v>
      </c>
      <c r="AK79" t="s">
        <v>1546</v>
      </c>
      <c r="AL79">
        <v>9</v>
      </c>
      <c r="AM79" s="5">
        <f t="shared" si="11"/>
        <v>0.31034482758620691</v>
      </c>
      <c r="AN79" s="4">
        <f t="shared" si="12"/>
        <v>4.7004138975570908E-4</v>
      </c>
      <c r="AO79" s="3"/>
      <c r="AP79">
        <v>0</v>
      </c>
      <c r="AR79" t="s">
        <v>1</v>
      </c>
      <c r="AT79" s="2">
        <v>1.5229999999999999</v>
      </c>
      <c r="AU79" s="1">
        <f t="shared" si="13"/>
        <v>1.1446103044512734</v>
      </c>
      <c r="AV79" s="1">
        <f t="shared" si="14"/>
        <v>0.83100854288678705</v>
      </c>
      <c r="AW79" s="1">
        <f t="shared" si="15"/>
        <v>0.51740678132230067</v>
      </c>
    </row>
    <row r="80" spans="1:49" x14ac:dyDescent="0.2">
      <c r="A80">
        <v>78</v>
      </c>
      <c r="B80" t="s">
        <v>1545</v>
      </c>
      <c r="C80" t="s">
        <v>1544</v>
      </c>
      <c r="F80" t="s">
        <v>1543</v>
      </c>
      <c r="G80" t="s">
        <v>5</v>
      </c>
      <c r="H80" t="s">
        <v>4</v>
      </c>
      <c r="I80" t="s">
        <v>1542</v>
      </c>
      <c r="J80" t="s">
        <v>1541</v>
      </c>
      <c r="K80" t="s">
        <v>1540</v>
      </c>
      <c r="L80" t="s">
        <v>1539</v>
      </c>
      <c r="M80" t="s">
        <v>18</v>
      </c>
      <c r="N80">
        <v>6</v>
      </c>
      <c r="O80" t="s">
        <v>1538</v>
      </c>
      <c r="P80" t="s">
        <v>1537</v>
      </c>
      <c r="Q80" t="s">
        <v>1536</v>
      </c>
      <c r="R80" s="7">
        <v>34304</v>
      </c>
      <c r="S80" s="8">
        <f t="shared" si="8"/>
        <v>1993</v>
      </c>
      <c r="T80" s="8">
        <v>1993</v>
      </c>
      <c r="U80" s="8">
        <f t="shared" si="9"/>
        <v>29</v>
      </c>
      <c r="V80" s="7">
        <v>1993</v>
      </c>
      <c r="W80" t="s">
        <v>1474</v>
      </c>
      <c r="X80" s="2">
        <v>1.1819999999999999</v>
      </c>
      <c r="Y80" s="6">
        <f t="shared" si="10"/>
        <v>3.1552814927524625E-2</v>
      </c>
      <c r="AA80">
        <v>36951</v>
      </c>
      <c r="AB80">
        <v>27030</v>
      </c>
      <c r="AD80" t="s">
        <v>2</v>
      </c>
      <c r="AE80">
        <v>63</v>
      </c>
      <c r="AF80">
        <v>12</v>
      </c>
      <c r="AH80" t="s">
        <v>1535</v>
      </c>
      <c r="AI80" t="s">
        <v>1534</v>
      </c>
      <c r="AK80" t="s">
        <v>1533</v>
      </c>
      <c r="AL80">
        <v>28</v>
      </c>
      <c r="AM80" s="5">
        <f t="shared" si="11"/>
        <v>0.96551724137931039</v>
      </c>
      <c r="AN80" s="4">
        <f t="shared" si="12"/>
        <v>1.4623509903510948E-3</v>
      </c>
      <c r="AO80" s="3"/>
      <c r="AP80">
        <v>0</v>
      </c>
      <c r="AR80" t="s">
        <v>1</v>
      </c>
      <c r="AT80" s="2">
        <v>3.7909999999999999</v>
      </c>
      <c r="AU80" s="1">
        <f t="shared" si="13"/>
        <v>2.2525675746372564</v>
      </c>
      <c r="AV80" s="1">
        <f t="shared" si="14"/>
        <v>1.6507582958937859</v>
      </c>
      <c r="AW80" s="1">
        <f t="shared" si="15"/>
        <v>1.0489490171503155</v>
      </c>
    </row>
    <row r="81" spans="1:49" x14ac:dyDescent="0.2">
      <c r="A81">
        <v>79</v>
      </c>
      <c r="B81" t="s">
        <v>1532</v>
      </c>
      <c r="C81" t="s">
        <v>1531</v>
      </c>
      <c r="F81" t="s">
        <v>1530</v>
      </c>
      <c r="G81" t="s">
        <v>5</v>
      </c>
      <c r="H81" t="s">
        <v>4</v>
      </c>
      <c r="I81" t="s">
        <v>1529</v>
      </c>
      <c r="J81">
        <v>60022195</v>
      </c>
      <c r="K81" t="s">
        <v>241</v>
      </c>
      <c r="L81" t="s">
        <v>29</v>
      </c>
      <c r="M81" t="s">
        <v>3</v>
      </c>
      <c r="N81">
        <v>4</v>
      </c>
      <c r="O81" t="s">
        <v>1528</v>
      </c>
      <c r="P81" t="s">
        <v>1527</v>
      </c>
      <c r="Q81" t="s">
        <v>1526</v>
      </c>
      <c r="R81" s="7">
        <v>34304</v>
      </c>
      <c r="S81" s="8">
        <f t="shared" si="8"/>
        <v>1993</v>
      </c>
      <c r="T81" s="8">
        <v>1993</v>
      </c>
      <c r="U81" s="8">
        <f t="shared" si="9"/>
        <v>29</v>
      </c>
      <c r="V81" s="7">
        <v>1993</v>
      </c>
      <c r="W81" t="s">
        <v>1474</v>
      </c>
      <c r="X81" s="2">
        <v>1.1819999999999999</v>
      </c>
      <c r="Y81" s="6">
        <f t="shared" si="10"/>
        <v>3.1552814927524625E-2</v>
      </c>
      <c r="AA81">
        <v>36951</v>
      </c>
      <c r="AB81">
        <v>27030</v>
      </c>
      <c r="AD81" t="s">
        <v>2</v>
      </c>
      <c r="AE81">
        <v>63</v>
      </c>
      <c r="AF81">
        <v>11</v>
      </c>
      <c r="AH81" t="s">
        <v>1525</v>
      </c>
      <c r="AI81" t="s">
        <v>1524</v>
      </c>
      <c r="AK81" t="s">
        <v>1523</v>
      </c>
      <c r="AL81">
        <v>62</v>
      </c>
      <c r="AM81" s="5">
        <f t="shared" si="11"/>
        <v>2.1379310344827585</v>
      </c>
      <c r="AN81" s="4">
        <f t="shared" si="12"/>
        <v>3.2380629072059955E-3</v>
      </c>
      <c r="AO81" s="3"/>
      <c r="AP81">
        <v>0</v>
      </c>
      <c r="AR81" t="s">
        <v>1</v>
      </c>
      <c r="AT81" s="2">
        <v>3.7909999999999999</v>
      </c>
      <c r="AU81" s="1">
        <f t="shared" si="13"/>
        <v>2.3058389321429034</v>
      </c>
      <c r="AV81" s="1">
        <f t="shared" si="14"/>
        <v>1.7395438917365311</v>
      </c>
      <c r="AW81" s="1">
        <f t="shared" si="15"/>
        <v>1.1732488513301584</v>
      </c>
    </row>
    <row r="82" spans="1:49" x14ac:dyDescent="0.2">
      <c r="A82">
        <v>80</v>
      </c>
      <c r="B82" t="s">
        <v>1522</v>
      </c>
      <c r="C82" t="s">
        <v>1521</v>
      </c>
      <c r="F82" t="s">
        <v>1520</v>
      </c>
      <c r="G82" t="s">
        <v>5</v>
      </c>
      <c r="H82" t="s">
        <v>4</v>
      </c>
      <c r="I82" t="s">
        <v>1519</v>
      </c>
      <c r="J82" t="s">
        <v>1513</v>
      </c>
      <c r="K82" t="s">
        <v>1518</v>
      </c>
      <c r="L82" t="s">
        <v>1517</v>
      </c>
      <c r="M82" t="s">
        <v>1516</v>
      </c>
      <c r="N82">
        <v>2</v>
      </c>
      <c r="O82" t="s">
        <v>1515</v>
      </c>
      <c r="P82" t="s">
        <v>1514</v>
      </c>
      <c r="Q82" t="s">
        <v>1513</v>
      </c>
      <c r="R82" s="7">
        <v>34304</v>
      </c>
      <c r="S82" s="8">
        <f t="shared" si="8"/>
        <v>1993</v>
      </c>
      <c r="T82" s="8">
        <v>1993</v>
      </c>
      <c r="U82" s="8">
        <f t="shared" si="9"/>
        <v>29</v>
      </c>
      <c r="V82" s="7">
        <v>34304</v>
      </c>
      <c r="W82" t="s">
        <v>1512</v>
      </c>
      <c r="X82" s="2" t="s">
        <v>0</v>
      </c>
      <c r="Y82" s="6" t="e">
        <f t="shared" si="10"/>
        <v>#VALUE!</v>
      </c>
      <c r="AA82">
        <v>74632</v>
      </c>
      <c r="AB82">
        <v>76104</v>
      </c>
      <c r="AC82">
        <v>14321394</v>
      </c>
      <c r="AD82" t="s">
        <v>2</v>
      </c>
      <c r="AE82">
        <v>67</v>
      </c>
      <c r="AF82">
        <v>4</v>
      </c>
      <c r="AH82" t="s">
        <v>1511</v>
      </c>
      <c r="AI82" t="s">
        <v>1510</v>
      </c>
      <c r="AK82" t="s">
        <v>1509</v>
      </c>
      <c r="AL82">
        <v>25</v>
      </c>
      <c r="AM82" s="5">
        <f t="shared" si="11"/>
        <v>0.86206896551724133</v>
      </c>
      <c r="AN82" s="4">
        <f t="shared" si="12"/>
        <v>1.3056705270991916E-3</v>
      </c>
      <c r="AO82" s="3"/>
      <c r="AP82">
        <v>0</v>
      </c>
      <c r="AR82" t="s">
        <v>1</v>
      </c>
      <c r="AT82" s="2" t="s">
        <v>0</v>
      </c>
      <c r="AU82" s="1" t="e">
        <f t="shared" si="13"/>
        <v>#VALUE!</v>
      </c>
      <c r="AV82" s="1" t="e">
        <f t="shared" si="14"/>
        <v>#VALUE!</v>
      </c>
      <c r="AW82" s="1" t="e">
        <f t="shared" si="15"/>
        <v>#VALUE!</v>
      </c>
    </row>
    <row r="83" spans="1:49" x14ac:dyDescent="0.2">
      <c r="A83">
        <v>81</v>
      </c>
      <c r="B83" t="s">
        <v>1508</v>
      </c>
      <c r="C83" t="s">
        <v>1507</v>
      </c>
      <c r="F83" t="s">
        <v>1506</v>
      </c>
      <c r="G83" t="s">
        <v>5</v>
      </c>
      <c r="H83" t="s">
        <v>4</v>
      </c>
      <c r="I83" t="s">
        <v>1505</v>
      </c>
      <c r="J83">
        <v>60022195</v>
      </c>
      <c r="K83" t="s">
        <v>241</v>
      </c>
      <c r="L83" t="s">
        <v>29</v>
      </c>
      <c r="M83" t="s">
        <v>3</v>
      </c>
      <c r="N83">
        <v>3</v>
      </c>
      <c r="O83" t="s">
        <v>1504</v>
      </c>
      <c r="P83" t="s">
        <v>1503</v>
      </c>
      <c r="Q83" t="s">
        <v>1502</v>
      </c>
      <c r="R83" s="7">
        <v>34304</v>
      </c>
      <c r="S83" s="8">
        <f t="shared" si="8"/>
        <v>1993</v>
      </c>
      <c r="T83" s="8">
        <v>1993</v>
      </c>
      <c r="U83" s="8">
        <f t="shared" si="9"/>
        <v>29</v>
      </c>
      <c r="V83" s="7">
        <v>1993</v>
      </c>
      <c r="W83" t="s">
        <v>1474</v>
      </c>
      <c r="X83" s="2">
        <v>1.1819999999999999</v>
      </c>
      <c r="Y83" s="6">
        <f t="shared" si="10"/>
        <v>3.1552814927524625E-2</v>
      </c>
      <c r="AA83">
        <v>36951</v>
      </c>
      <c r="AB83">
        <v>27030</v>
      </c>
      <c r="AD83" t="s">
        <v>2</v>
      </c>
      <c r="AE83">
        <v>63</v>
      </c>
      <c r="AF83">
        <v>7</v>
      </c>
      <c r="AH83" t="s">
        <v>1501</v>
      </c>
      <c r="AI83" t="s">
        <v>1500</v>
      </c>
      <c r="AK83" t="s">
        <v>1499</v>
      </c>
      <c r="AL83">
        <v>5</v>
      </c>
      <c r="AM83" s="5">
        <f t="shared" si="11"/>
        <v>0.17241379310344829</v>
      </c>
      <c r="AN83" s="4">
        <f t="shared" si="12"/>
        <v>2.6113410541983838E-4</v>
      </c>
      <c r="AO83" s="3"/>
      <c r="AP83">
        <v>0</v>
      </c>
      <c r="AR83" t="s">
        <v>1</v>
      </c>
      <c r="AT83" s="2">
        <v>3.7909999999999999</v>
      </c>
      <c r="AU83" s="1">
        <f t="shared" si="13"/>
        <v>2.2165310680893184</v>
      </c>
      <c r="AV83" s="1">
        <f t="shared" si="14"/>
        <v>1.590697451647223</v>
      </c>
      <c r="AW83" s="1">
        <f t="shared" si="15"/>
        <v>0.96486383520512742</v>
      </c>
    </row>
    <row r="84" spans="1:49" x14ac:dyDescent="0.2">
      <c r="A84">
        <v>82</v>
      </c>
      <c r="B84" t="s">
        <v>1498</v>
      </c>
      <c r="C84" t="s">
        <v>1497</v>
      </c>
      <c r="F84" t="s">
        <v>1496</v>
      </c>
      <c r="G84" t="s">
        <v>5</v>
      </c>
      <c r="H84" t="s">
        <v>4</v>
      </c>
      <c r="I84" t="s">
        <v>1495</v>
      </c>
      <c r="J84">
        <v>60031806</v>
      </c>
      <c r="K84" t="s">
        <v>251</v>
      </c>
      <c r="L84" t="s">
        <v>134</v>
      </c>
      <c r="M84" t="s">
        <v>52</v>
      </c>
      <c r="N84">
        <v>4</v>
      </c>
      <c r="O84" t="s">
        <v>1494</v>
      </c>
      <c r="P84" t="s">
        <v>1493</v>
      </c>
      <c r="Q84" t="s">
        <v>250</v>
      </c>
      <c r="R84" s="7">
        <v>34304</v>
      </c>
      <c r="S84" s="8">
        <f t="shared" si="8"/>
        <v>1993</v>
      </c>
      <c r="T84" s="8">
        <v>1993</v>
      </c>
      <c r="U84" s="8">
        <f t="shared" si="9"/>
        <v>29</v>
      </c>
      <c r="V84" s="7">
        <v>1993</v>
      </c>
      <c r="W84" t="s">
        <v>1492</v>
      </c>
      <c r="X84" s="2">
        <v>0.60499999999999998</v>
      </c>
      <c r="Y84" s="6">
        <f t="shared" si="10"/>
        <v>1.6150129467980032E-2</v>
      </c>
      <c r="AA84">
        <v>346748</v>
      </c>
      <c r="AB84">
        <v>15563</v>
      </c>
      <c r="AD84" t="s">
        <v>2</v>
      </c>
      <c r="AE84">
        <v>64</v>
      </c>
      <c r="AF84">
        <v>7</v>
      </c>
      <c r="AH84" t="s">
        <v>1491</v>
      </c>
      <c r="AI84" t="s">
        <v>1490</v>
      </c>
      <c r="AK84" t="s">
        <v>1489</v>
      </c>
      <c r="AL84">
        <v>13</v>
      </c>
      <c r="AM84" s="5">
        <f t="shared" si="11"/>
        <v>0.44827586206896552</v>
      </c>
      <c r="AN84" s="4">
        <f t="shared" si="12"/>
        <v>6.7894867409157972E-4</v>
      </c>
      <c r="AO84" s="3"/>
      <c r="AP84">
        <v>0</v>
      </c>
      <c r="AR84" t="s">
        <v>1</v>
      </c>
      <c r="AT84" s="2">
        <v>1.5229999999999999</v>
      </c>
      <c r="AU84" s="1">
        <f t="shared" si="13"/>
        <v>1.1508775229813495</v>
      </c>
      <c r="AV84" s="1">
        <f t="shared" si="14"/>
        <v>0.84145390710358059</v>
      </c>
      <c r="AW84" s="1">
        <f t="shared" si="15"/>
        <v>0.53203029122581147</v>
      </c>
    </row>
    <row r="85" spans="1:49" x14ac:dyDescent="0.2">
      <c r="A85">
        <v>83</v>
      </c>
      <c r="B85" t="s">
        <v>1488</v>
      </c>
      <c r="C85" t="s">
        <v>1487</v>
      </c>
      <c r="F85" t="s">
        <v>1486</v>
      </c>
      <c r="G85" t="s">
        <v>5</v>
      </c>
      <c r="H85" t="s">
        <v>4</v>
      </c>
      <c r="I85" t="s">
        <v>1485</v>
      </c>
      <c r="J85">
        <v>60022195</v>
      </c>
      <c r="K85" t="s">
        <v>241</v>
      </c>
      <c r="L85" t="s">
        <v>29</v>
      </c>
      <c r="M85" t="s">
        <v>3</v>
      </c>
      <c r="N85">
        <v>1</v>
      </c>
      <c r="O85" t="s">
        <v>1484</v>
      </c>
      <c r="P85">
        <v>7403214762</v>
      </c>
      <c r="Q85">
        <v>60022195</v>
      </c>
      <c r="R85" s="7">
        <v>34304</v>
      </c>
      <c r="S85" s="8">
        <f t="shared" si="8"/>
        <v>1993</v>
      </c>
      <c r="T85" s="8">
        <v>1993</v>
      </c>
      <c r="U85" s="8">
        <f t="shared" si="9"/>
        <v>29</v>
      </c>
      <c r="V85" s="7">
        <v>1993</v>
      </c>
      <c r="W85" t="s">
        <v>1474</v>
      </c>
      <c r="X85" s="2">
        <v>1.1819999999999999</v>
      </c>
      <c r="Y85" s="6">
        <f t="shared" si="10"/>
        <v>3.1552814927524625E-2</v>
      </c>
      <c r="AA85">
        <v>36951</v>
      </c>
      <c r="AB85">
        <v>27030</v>
      </c>
      <c r="AD85" t="s">
        <v>2</v>
      </c>
      <c r="AE85">
        <v>62</v>
      </c>
      <c r="AF85">
        <v>8</v>
      </c>
      <c r="AH85" t="s">
        <v>1483</v>
      </c>
      <c r="AI85" t="s">
        <v>1482</v>
      </c>
      <c r="AK85" t="s">
        <v>1481</v>
      </c>
      <c r="AL85">
        <v>52</v>
      </c>
      <c r="AM85" s="5">
        <f t="shared" si="11"/>
        <v>1.7931034482758621</v>
      </c>
      <c r="AN85" s="4">
        <f t="shared" si="12"/>
        <v>2.7157946963663189E-3</v>
      </c>
      <c r="AO85" s="3"/>
      <c r="AP85">
        <v>0</v>
      </c>
      <c r="AR85" t="s">
        <v>1</v>
      </c>
      <c r="AT85" s="2">
        <v>3.7909999999999999</v>
      </c>
      <c r="AU85" s="1">
        <f t="shared" si="13"/>
        <v>2.2901708858177128</v>
      </c>
      <c r="AV85" s="1">
        <f t="shared" si="14"/>
        <v>1.7134304811945471</v>
      </c>
      <c r="AW85" s="1">
        <f t="shared" si="15"/>
        <v>1.136690076571381</v>
      </c>
    </row>
    <row r="86" spans="1:49" x14ac:dyDescent="0.2">
      <c r="A86">
        <v>84</v>
      </c>
      <c r="B86" t="s">
        <v>1480</v>
      </c>
      <c r="C86" t="s">
        <v>1479</v>
      </c>
      <c r="F86" t="s">
        <v>1478</v>
      </c>
      <c r="G86" t="s">
        <v>5</v>
      </c>
      <c r="H86" t="s">
        <v>4</v>
      </c>
      <c r="I86" t="s">
        <v>1477</v>
      </c>
      <c r="J86">
        <v>60023053</v>
      </c>
      <c r="K86" t="s">
        <v>106</v>
      </c>
      <c r="L86" t="s">
        <v>105</v>
      </c>
      <c r="M86" t="s">
        <v>3</v>
      </c>
      <c r="N86">
        <v>2</v>
      </c>
      <c r="O86" t="s">
        <v>1476</v>
      </c>
      <c r="P86" t="s">
        <v>1475</v>
      </c>
      <c r="Q86" t="s">
        <v>163</v>
      </c>
      <c r="R86" s="7">
        <v>34304</v>
      </c>
      <c r="S86" s="8">
        <f t="shared" si="8"/>
        <v>1993</v>
      </c>
      <c r="T86" s="8">
        <v>1993</v>
      </c>
      <c r="U86" s="8">
        <f t="shared" si="9"/>
        <v>29</v>
      </c>
      <c r="V86" s="7">
        <v>1993</v>
      </c>
      <c r="W86" t="s">
        <v>1474</v>
      </c>
      <c r="X86" s="2">
        <v>1.1819999999999999</v>
      </c>
      <c r="Y86" s="6">
        <f t="shared" si="10"/>
        <v>3.1552814927524625E-2</v>
      </c>
      <c r="AA86">
        <v>36951</v>
      </c>
      <c r="AB86">
        <v>27030</v>
      </c>
      <c r="AD86" t="s">
        <v>2</v>
      </c>
      <c r="AE86">
        <v>63</v>
      </c>
      <c r="AF86">
        <v>22</v>
      </c>
      <c r="AH86" t="s">
        <v>1473</v>
      </c>
      <c r="AI86" t="s">
        <v>1472</v>
      </c>
      <c r="AK86" t="s">
        <v>1471</v>
      </c>
      <c r="AL86">
        <v>156</v>
      </c>
      <c r="AM86" s="5">
        <f t="shared" si="11"/>
        <v>5.3793103448275863</v>
      </c>
      <c r="AN86" s="4">
        <f t="shared" si="12"/>
        <v>8.1473840890989562E-3</v>
      </c>
      <c r="AO86" s="3"/>
      <c r="AP86">
        <v>0</v>
      </c>
      <c r="AR86" t="s">
        <v>1</v>
      </c>
      <c r="AT86" s="2">
        <v>3.7909999999999999</v>
      </c>
      <c r="AU86" s="1">
        <f t="shared" si="13"/>
        <v>2.453118567599692</v>
      </c>
      <c r="AV86" s="1">
        <f t="shared" si="14"/>
        <v>1.9850099508311791</v>
      </c>
      <c r="AW86" s="1">
        <f t="shared" si="15"/>
        <v>1.5169013340626658</v>
      </c>
    </row>
    <row r="87" spans="1:49" x14ac:dyDescent="0.2">
      <c r="A87">
        <v>85</v>
      </c>
      <c r="B87" t="s">
        <v>1470</v>
      </c>
      <c r="C87" t="s">
        <v>1469</v>
      </c>
      <c r="F87" t="s">
        <v>1468</v>
      </c>
      <c r="G87" t="s">
        <v>5</v>
      </c>
      <c r="H87" t="s">
        <v>4</v>
      </c>
      <c r="I87" t="s">
        <v>1467</v>
      </c>
      <c r="J87">
        <v>60015658</v>
      </c>
      <c r="K87" t="s">
        <v>1466</v>
      </c>
      <c r="L87" t="s">
        <v>1465</v>
      </c>
      <c r="M87" t="s">
        <v>13</v>
      </c>
      <c r="N87">
        <v>7</v>
      </c>
      <c r="O87" t="s">
        <v>1464</v>
      </c>
      <c r="P87" t="s">
        <v>1463</v>
      </c>
      <c r="Q87" t="s">
        <v>1462</v>
      </c>
      <c r="R87" s="7">
        <v>34304</v>
      </c>
      <c r="S87" s="8">
        <f t="shared" si="8"/>
        <v>1993</v>
      </c>
      <c r="T87" s="8">
        <v>1993</v>
      </c>
      <c r="U87" s="8">
        <f t="shared" si="9"/>
        <v>29</v>
      </c>
      <c r="V87" s="7">
        <v>1993</v>
      </c>
      <c r="W87" t="s">
        <v>1461</v>
      </c>
      <c r="X87" s="2">
        <v>1.3280000000000001</v>
      </c>
      <c r="Y87" s="6">
        <f t="shared" si="10"/>
        <v>3.5450201542937994E-2</v>
      </c>
      <c r="AA87">
        <v>7413335</v>
      </c>
      <c r="AB87">
        <v>29251</v>
      </c>
      <c r="AD87" t="s">
        <v>2</v>
      </c>
      <c r="AE87">
        <v>35</v>
      </c>
      <c r="AF87">
        <v>7</v>
      </c>
      <c r="AG87">
        <v>5</v>
      </c>
      <c r="AH87" t="s">
        <v>1460</v>
      </c>
      <c r="AI87" t="s">
        <v>1459</v>
      </c>
      <c r="AK87" t="s">
        <v>1458</v>
      </c>
      <c r="AL87">
        <v>20</v>
      </c>
      <c r="AM87" s="5">
        <f t="shared" si="11"/>
        <v>0.68965517241379315</v>
      </c>
      <c r="AN87" s="4">
        <f t="shared" si="12"/>
        <v>1.0445364216793535E-3</v>
      </c>
      <c r="AO87" s="3"/>
      <c r="AP87">
        <v>0</v>
      </c>
      <c r="AR87" t="s">
        <v>1</v>
      </c>
      <c r="AT87" s="2">
        <v>2.4580000000000002</v>
      </c>
      <c r="AU87" s="1">
        <f t="shared" si="13"/>
        <v>2.51285020065604</v>
      </c>
      <c r="AV87" s="1">
        <f t="shared" si="14"/>
        <v>1.8247368982308676</v>
      </c>
      <c r="AW87" s="1">
        <f t="shared" si="15"/>
        <v>1.1366235958056945</v>
      </c>
    </row>
    <row r="88" spans="1:49" x14ac:dyDescent="0.2">
      <c r="A88">
        <v>86</v>
      </c>
      <c r="B88" t="s">
        <v>1457</v>
      </c>
      <c r="C88" t="s">
        <v>1456</v>
      </c>
      <c r="D88" t="s">
        <v>1455</v>
      </c>
      <c r="E88">
        <v>8250936</v>
      </c>
      <c r="F88" t="s">
        <v>1454</v>
      </c>
      <c r="G88" t="s">
        <v>5</v>
      </c>
      <c r="H88" t="s">
        <v>4</v>
      </c>
      <c r="I88" t="s">
        <v>1453</v>
      </c>
      <c r="J88" t="s">
        <v>1452</v>
      </c>
      <c r="K88" t="s">
        <v>1451</v>
      </c>
      <c r="L88" t="s">
        <v>1450</v>
      </c>
      <c r="M88" t="s">
        <v>1449</v>
      </c>
      <c r="N88">
        <v>4</v>
      </c>
      <c r="O88" t="s">
        <v>1448</v>
      </c>
      <c r="P88" t="s">
        <v>1447</v>
      </c>
      <c r="Q88" t="s">
        <v>1446</v>
      </c>
      <c r="R88" s="7">
        <v>34303</v>
      </c>
      <c r="S88" s="8">
        <f t="shared" si="8"/>
        <v>1993</v>
      </c>
      <c r="T88" s="8">
        <v>1993</v>
      </c>
      <c r="U88" s="8">
        <f t="shared" si="9"/>
        <v>29</v>
      </c>
      <c r="V88" s="7">
        <v>34303</v>
      </c>
      <c r="W88" t="s">
        <v>1445</v>
      </c>
      <c r="X88" s="2">
        <v>0.998</v>
      </c>
      <c r="Y88" s="6">
        <f t="shared" si="10"/>
        <v>2.664104001494888E-2</v>
      </c>
      <c r="AA88" t="s">
        <v>1444</v>
      </c>
      <c r="AB88">
        <v>16845</v>
      </c>
      <c r="AC88">
        <v>10902104</v>
      </c>
      <c r="AD88" t="s">
        <v>2</v>
      </c>
      <c r="AE88">
        <v>197</v>
      </c>
      <c r="AF88">
        <v>1</v>
      </c>
      <c r="AH88" t="s">
        <v>1443</v>
      </c>
      <c r="AI88" t="s">
        <v>1442</v>
      </c>
      <c r="AK88" t="s">
        <v>1441</v>
      </c>
      <c r="AL88">
        <v>0</v>
      </c>
      <c r="AM88" s="5">
        <f t="shared" si="11"/>
        <v>0</v>
      </c>
      <c r="AN88" s="4">
        <f t="shared" si="12"/>
        <v>0</v>
      </c>
      <c r="AO88" s="3"/>
      <c r="AP88">
        <v>0</v>
      </c>
      <c r="AR88" t="s">
        <v>1</v>
      </c>
      <c r="AT88" s="2" t="s">
        <v>0</v>
      </c>
      <c r="AU88" s="1">
        <f t="shared" si="13"/>
        <v>1.8648728010464217</v>
      </c>
      <c r="AV88" s="1">
        <f t="shared" si="14"/>
        <v>1.3320520007474439</v>
      </c>
      <c r="AW88" s="1">
        <f t="shared" si="15"/>
        <v>0.79923120044846641</v>
      </c>
    </row>
    <row r="89" spans="1:49" x14ac:dyDescent="0.2">
      <c r="A89">
        <v>87</v>
      </c>
      <c r="B89" t="s">
        <v>1440</v>
      </c>
      <c r="C89" t="s">
        <v>1439</v>
      </c>
      <c r="D89" t="s">
        <v>1438</v>
      </c>
      <c r="F89" t="s">
        <v>1437</v>
      </c>
      <c r="G89" t="s">
        <v>5</v>
      </c>
      <c r="H89" t="s">
        <v>4</v>
      </c>
      <c r="I89" t="s">
        <v>1436</v>
      </c>
      <c r="J89">
        <v>60025225</v>
      </c>
      <c r="K89" t="s">
        <v>168</v>
      </c>
      <c r="L89" t="s">
        <v>167</v>
      </c>
      <c r="M89" t="s">
        <v>28</v>
      </c>
      <c r="N89">
        <v>1</v>
      </c>
      <c r="O89" t="s">
        <v>1435</v>
      </c>
      <c r="P89">
        <v>6602909537</v>
      </c>
      <c r="Q89">
        <v>60025225</v>
      </c>
      <c r="R89" s="7">
        <v>34288</v>
      </c>
      <c r="S89" s="8">
        <f t="shared" si="8"/>
        <v>1993</v>
      </c>
      <c r="T89" s="8">
        <v>1993</v>
      </c>
      <c r="U89" s="8">
        <f t="shared" si="9"/>
        <v>29</v>
      </c>
      <c r="V89" s="7">
        <v>34288</v>
      </c>
      <c r="W89" t="s">
        <v>1249</v>
      </c>
      <c r="X89" s="2" t="s">
        <v>0</v>
      </c>
      <c r="Y89" s="6" t="e">
        <f t="shared" si="10"/>
        <v>#VALUE!</v>
      </c>
      <c r="AA89">
        <v>1689002</v>
      </c>
      <c r="AB89">
        <v>29067</v>
      </c>
      <c r="AD89" t="s">
        <v>2</v>
      </c>
      <c r="AE89">
        <v>336</v>
      </c>
      <c r="AF89" s="9">
        <v>44228</v>
      </c>
      <c r="AH89" t="s">
        <v>1434</v>
      </c>
      <c r="AI89" t="s">
        <v>1433</v>
      </c>
      <c r="AK89" t="s">
        <v>1432</v>
      </c>
      <c r="AL89">
        <v>16</v>
      </c>
      <c r="AM89" s="5">
        <f t="shared" si="11"/>
        <v>0.55172413793103448</v>
      </c>
      <c r="AN89" s="4">
        <f t="shared" si="12"/>
        <v>8.3562913734348278E-4</v>
      </c>
      <c r="AO89" s="3"/>
      <c r="AP89">
        <v>0</v>
      </c>
      <c r="AQ89" t="s">
        <v>162</v>
      </c>
      <c r="AR89" t="s">
        <v>1</v>
      </c>
      <c r="AS89" t="s">
        <v>194</v>
      </c>
      <c r="AT89" s="2" t="s">
        <v>0</v>
      </c>
      <c r="AU89" s="1" t="e">
        <f t="shared" si="13"/>
        <v>#VALUE!</v>
      </c>
      <c r="AV89" s="1" t="e">
        <f t="shared" si="14"/>
        <v>#VALUE!</v>
      </c>
      <c r="AW89" s="1" t="e">
        <f t="shared" si="15"/>
        <v>#VALUE!</v>
      </c>
    </row>
    <row r="90" spans="1:49" x14ac:dyDescent="0.2">
      <c r="A90">
        <v>88</v>
      </c>
      <c r="B90" t="s">
        <v>1431</v>
      </c>
      <c r="C90" t="s">
        <v>1430</v>
      </c>
      <c r="D90" t="s">
        <v>1429</v>
      </c>
      <c r="F90" t="s">
        <v>1428</v>
      </c>
      <c r="G90" t="s">
        <v>5</v>
      </c>
      <c r="H90" t="s">
        <v>4</v>
      </c>
      <c r="I90" t="s">
        <v>248</v>
      </c>
      <c r="J90">
        <v>60020599</v>
      </c>
      <c r="K90" t="s">
        <v>247</v>
      </c>
      <c r="L90" t="s">
        <v>246</v>
      </c>
      <c r="M90" t="s">
        <v>43</v>
      </c>
      <c r="N90">
        <v>6</v>
      </c>
      <c r="O90" t="s">
        <v>1427</v>
      </c>
      <c r="P90" t="s">
        <v>245</v>
      </c>
      <c r="Q90" t="s">
        <v>244</v>
      </c>
      <c r="R90" s="7">
        <v>34283</v>
      </c>
      <c r="S90" s="8">
        <f t="shared" si="8"/>
        <v>1993</v>
      </c>
      <c r="T90" s="8">
        <v>1993</v>
      </c>
      <c r="U90" s="8">
        <f t="shared" si="9"/>
        <v>29</v>
      </c>
      <c r="V90" s="7">
        <v>34283</v>
      </c>
      <c r="W90" t="s">
        <v>1426</v>
      </c>
      <c r="X90" s="2" t="s">
        <v>0</v>
      </c>
      <c r="Y90" s="6" t="e">
        <f t="shared" si="10"/>
        <v>#VALUE!</v>
      </c>
      <c r="AA90">
        <v>9214534</v>
      </c>
      <c r="AB90">
        <v>29119</v>
      </c>
      <c r="AD90" t="s">
        <v>2</v>
      </c>
      <c r="AE90">
        <v>217</v>
      </c>
      <c r="AF90" s="9">
        <v>44228</v>
      </c>
      <c r="AH90" t="s">
        <v>1425</v>
      </c>
      <c r="AI90" t="s">
        <v>1424</v>
      </c>
      <c r="AK90" t="s">
        <v>1423</v>
      </c>
      <c r="AL90">
        <v>3</v>
      </c>
      <c r="AM90" s="5">
        <f t="shared" si="11"/>
        <v>0.10344827586206896</v>
      </c>
      <c r="AN90" s="4">
        <f t="shared" si="12"/>
        <v>1.5668046325190301E-4</v>
      </c>
      <c r="AO90" s="3"/>
      <c r="AP90">
        <v>0</v>
      </c>
      <c r="AR90" t="s">
        <v>1</v>
      </c>
      <c r="AT90" s="2" t="s">
        <v>0</v>
      </c>
      <c r="AU90" s="1" t="e">
        <f t="shared" si="13"/>
        <v>#VALUE!</v>
      </c>
      <c r="AV90" s="1" t="e">
        <f t="shared" si="14"/>
        <v>#VALUE!</v>
      </c>
      <c r="AW90" s="1" t="e">
        <f t="shared" si="15"/>
        <v>#VALUE!</v>
      </c>
    </row>
    <row r="91" spans="1:49" x14ac:dyDescent="0.2">
      <c r="A91">
        <v>89</v>
      </c>
      <c r="B91" t="s">
        <v>1422</v>
      </c>
      <c r="C91" t="s">
        <v>1421</v>
      </c>
      <c r="D91" t="s">
        <v>1420</v>
      </c>
      <c r="F91" t="s">
        <v>1419</v>
      </c>
      <c r="G91" t="s">
        <v>5</v>
      </c>
      <c r="H91" t="s">
        <v>4</v>
      </c>
      <c r="I91" t="s">
        <v>1418</v>
      </c>
      <c r="J91" t="s">
        <v>1417</v>
      </c>
      <c r="K91" t="s">
        <v>1416</v>
      </c>
      <c r="L91" t="s">
        <v>1415</v>
      </c>
      <c r="M91" t="s">
        <v>1414</v>
      </c>
      <c r="N91">
        <v>4</v>
      </c>
      <c r="O91" t="s">
        <v>1413</v>
      </c>
      <c r="P91" t="s">
        <v>1412</v>
      </c>
      <c r="Q91" t="s">
        <v>1411</v>
      </c>
      <c r="R91" s="7">
        <v>34275</v>
      </c>
      <c r="S91" s="8">
        <f t="shared" si="8"/>
        <v>1993</v>
      </c>
      <c r="T91" s="8">
        <v>1993</v>
      </c>
      <c r="U91" s="8">
        <f t="shared" si="9"/>
        <v>29</v>
      </c>
      <c r="V91" s="7">
        <v>34275</v>
      </c>
      <c r="W91" t="s">
        <v>219</v>
      </c>
      <c r="X91" s="2">
        <v>1.59</v>
      </c>
      <c r="Y91" s="6">
        <f t="shared" si="10"/>
        <v>4.2444141907583888E-2</v>
      </c>
      <c r="AA91">
        <v>52728</v>
      </c>
      <c r="AB91">
        <v>16791</v>
      </c>
      <c r="AD91" t="s">
        <v>2</v>
      </c>
      <c r="AE91">
        <v>1183</v>
      </c>
      <c r="AF91">
        <v>1</v>
      </c>
      <c r="AH91" t="s">
        <v>1410</v>
      </c>
      <c r="AI91" t="s">
        <v>1409</v>
      </c>
      <c r="AJ91" t="s">
        <v>1408</v>
      </c>
      <c r="AK91" t="s">
        <v>1407</v>
      </c>
      <c r="AL91">
        <v>66</v>
      </c>
      <c r="AM91" s="5">
        <f t="shared" si="11"/>
        <v>2.2758620689655173</v>
      </c>
      <c r="AN91" s="4">
        <f t="shared" si="12"/>
        <v>3.4469701915418663E-3</v>
      </c>
      <c r="AO91" s="3"/>
      <c r="AP91">
        <v>0</v>
      </c>
      <c r="AQ91" t="s">
        <v>1406</v>
      </c>
      <c r="AR91" t="s">
        <v>1</v>
      </c>
      <c r="AS91" t="s">
        <v>1405</v>
      </c>
      <c r="AT91" s="2" t="s">
        <v>0</v>
      </c>
      <c r="AU91" s="1">
        <f t="shared" si="13"/>
        <v>3.0744990392771281</v>
      </c>
      <c r="AV91" s="1">
        <f t="shared" si="14"/>
        <v>2.2945556049562876</v>
      </c>
      <c r="AW91" s="1">
        <f t="shared" si="15"/>
        <v>1.5146121706354472</v>
      </c>
    </row>
    <row r="92" spans="1:49" x14ac:dyDescent="0.2">
      <c r="A92">
        <v>90</v>
      </c>
      <c r="B92" t="s">
        <v>1404</v>
      </c>
      <c r="C92" t="s">
        <v>1403</v>
      </c>
      <c r="D92" t="s">
        <v>1402</v>
      </c>
      <c r="F92" t="s">
        <v>1401</v>
      </c>
      <c r="G92" t="s">
        <v>5</v>
      </c>
      <c r="H92" t="s">
        <v>4</v>
      </c>
      <c r="I92" t="s">
        <v>236</v>
      </c>
      <c r="J92" t="s">
        <v>235</v>
      </c>
      <c r="K92" t="s">
        <v>234</v>
      </c>
      <c r="L92" t="s">
        <v>233</v>
      </c>
      <c r="M92" t="s">
        <v>189</v>
      </c>
      <c r="N92">
        <v>6</v>
      </c>
      <c r="O92" t="s">
        <v>1400</v>
      </c>
      <c r="P92" t="s">
        <v>1399</v>
      </c>
      <c r="Q92" t="s">
        <v>1398</v>
      </c>
      <c r="R92" s="7">
        <v>34275</v>
      </c>
      <c r="S92" s="8">
        <f t="shared" si="8"/>
        <v>1993</v>
      </c>
      <c r="T92" s="8">
        <v>1993</v>
      </c>
      <c r="U92" s="8">
        <f t="shared" si="9"/>
        <v>29</v>
      </c>
      <c r="V92" s="7">
        <v>34275</v>
      </c>
      <c r="W92" t="s">
        <v>219</v>
      </c>
      <c r="X92" s="2">
        <v>1.59</v>
      </c>
      <c r="Y92" s="6">
        <f t="shared" si="10"/>
        <v>4.2444141907583888E-2</v>
      </c>
      <c r="AA92">
        <v>52728</v>
      </c>
      <c r="AB92">
        <v>16791</v>
      </c>
      <c r="AD92" t="s">
        <v>2</v>
      </c>
      <c r="AE92">
        <v>1183</v>
      </c>
      <c r="AF92">
        <v>1</v>
      </c>
      <c r="AH92" t="s">
        <v>1397</v>
      </c>
      <c r="AI92" t="s">
        <v>1396</v>
      </c>
      <c r="AJ92" t="s">
        <v>1395</v>
      </c>
      <c r="AK92" t="s">
        <v>1394</v>
      </c>
      <c r="AL92">
        <v>26</v>
      </c>
      <c r="AM92" s="5">
        <f t="shared" si="11"/>
        <v>0.89655172413793105</v>
      </c>
      <c r="AN92" s="4">
        <f t="shared" si="12"/>
        <v>1.3578973481831594E-3</v>
      </c>
      <c r="AO92" s="3"/>
      <c r="AP92">
        <v>0</v>
      </c>
      <c r="AQ92" t="s">
        <v>1393</v>
      </c>
      <c r="AR92">
        <v>1081</v>
      </c>
      <c r="AS92" t="s">
        <v>1392</v>
      </c>
      <c r="AT92" s="2" t="s">
        <v>0</v>
      </c>
      <c r="AU92" s="1">
        <f t="shared" si="13"/>
        <v>3.0118268539763666</v>
      </c>
      <c r="AV92" s="1">
        <f t="shared" si="14"/>
        <v>2.1901019627883525</v>
      </c>
      <c r="AW92" s="1">
        <f t="shared" si="15"/>
        <v>1.3683770716003376</v>
      </c>
    </row>
    <row r="93" spans="1:49" x14ac:dyDescent="0.2">
      <c r="A93">
        <v>91</v>
      </c>
      <c r="B93" t="s">
        <v>1391</v>
      </c>
      <c r="C93" t="s">
        <v>1390</v>
      </c>
      <c r="D93" t="s">
        <v>1389</v>
      </c>
      <c r="F93" t="s">
        <v>1388</v>
      </c>
      <c r="G93" t="s">
        <v>5</v>
      </c>
      <c r="H93" t="s">
        <v>4</v>
      </c>
      <c r="I93" t="s">
        <v>1387</v>
      </c>
      <c r="J93" t="s">
        <v>1381</v>
      </c>
      <c r="K93" t="s">
        <v>1386</v>
      </c>
      <c r="L93" t="s">
        <v>1385</v>
      </c>
      <c r="M93" t="s">
        <v>1384</v>
      </c>
      <c r="N93">
        <v>2</v>
      </c>
      <c r="O93" t="s">
        <v>1383</v>
      </c>
      <c r="P93" t="s">
        <v>1382</v>
      </c>
      <c r="Q93" t="s">
        <v>1381</v>
      </c>
      <c r="R93" s="7">
        <v>34274</v>
      </c>
      <c r="S93" s="8">
        <f t="shared" si="8"/>
        <v>1993</v>
      </c>
      <c r="T93" s="8">
        <v>1993</v>
      </c>
      <c r="U93" s="8">
        <f t="shared" si="9"/>
        <v>29</v>
      </c>
      <c r="V93" s="7">
        <v>34274</v>
      </c>
      <c r="W93" t="s">
        <v>1380</v>
      </c>
      <c r="X93" s="2">
        <v>0.64</v>
      </c>
      <c r="Y93" s="6">
        <f t="shared" si="10"/>
        <v>1.7084434478524334E-2</v>
      </c>
      <c r="AA93">
        <v>3784371</v>
      </c>
      <c r="AB93">
        <v>29115</v>
      </c>
      <c r="AD93" t="s">
        <v>2</v>
      </c>
      <c r="AE93">
        <v>199</v>
      </c>
      <c r="AF93" s="9">
        <v>44289</v>
      </c>
      <c r="AH93" t="s">
        <v>1379</v>
      </c>
      <c r="AI93" t="s">
        <v>1378</v>
      </c>
      <c r="AK93" t="s">
        <v>1377</v>
      </c>
      <c r="AL93">
        <v>0</v>
      </c>
      <c r="AM93" s="5">
        <f t="shared" si="11"/>
        <v>0</v>
      </c>
      <c r="AN93" s="4">
        <f t="shared" si="12"/>
        <v>0</v>
      </c>
      <c r="AO93" s="3"/>
      <c r="AP93">
        <v>0</v>
      </c>
      <c r="AR93" t="s">
        <v>1</v>
      </c>
      <c r="AT93" s="2" t="s">
        <v>0</v>
      </c>
      <c r="AU93" s="1">
        <f t="shared" si="13"/>
        <v>1.1959104134967031</v>
      </c>
      <c r="AV93" s="1">
        <f t="shared" si="14"/>
        <v>0.85422172392621665</v>
      </c>
      <c r="AW93" s="1">
        <f t="shared" si="15"/>
        <v>0.51253303435572994</v>
      </c>
    </row>
    <row r="94" spans="1:49" x14ac:dyDescent="0.2">
      <c r="A94">
        <v>92</v>
      </c>
      <c r="B94" t="s">
        <v>1376</v>
      </c>
      <c r="C94" t="s">
        <v>1375</v>
      </c>
      <c r="F94" t="s">
        <v>1374</v>
      </c>
      <c r="G94" t="s">
        <v>5</v>
      </c>
      <c r="H94" t="s">
        <v>4</v>
      </c>
      <c r="I94" t="s">
        <v>1373</v>
      </c>
      <c r="N94">
        <v>2</v>
      </c>
      <c r="O94" t="s">
        <v>1372</v>
      </c>
      <c r="P94" t="s">
        <v>1371</v>
      </c>
      <c r="Q94" t="s">
        <v>71</v>
      </c>
      <c r="R94" s="7">
        <v>34274</v>
      </c>
      <c r="S94" s="8">
        <f t="shared" si="8"/>
        <v>1993</v>
      </c>
      <c r="T94" s="8">
        <v>1993</v>
      </c>
      <c r="U94" s="8">
        <f t="shared" si="9"/>
        <v>29</v>
      </c>
      <c r="V94" s="7">
        <v>34274</v>
      </c>
      <c r="W94" t="s">
        <v>202</v>
      </c>
      <c r="X94" s="2">
        <v>0.14899999999999999</v>
      </c>
      <c r="Y94" s="6">
        <f t="shared" si="10"/>
        <v>3.977469902031446E-3</v>
      </c>
      <c r="AA94">
        <v>5431972</v>
      </c>
      <c r="AB94">
        <v>15425</v>
      </c>
      <c r="AC94">
        <v>15738906</v>
      </c>
      <c r="AD94" t="s">
        <v>2</v>
      </c>
      <c r="AE94">
        <v>36</v>
      </c>
      <c r="AF94">
        <v>11</v>
      </c>
      <c r="AH94" t="s">
        <v>1370</v>
      </c>
      <c r="AI94" t="s">
        <v>1369</v>
      </c>
      <c r="AK94" t="s">
        <v>1368</v>
      </c>
      <c r="AL94">
        <v>0</v>
      </c>
      <c r="AM94" s="5">
        <f t="shared" si="11"/>
        <v>0</v>
      </c>
      <c r="AN94" s="4">
        <f t="shared" si="12"/>
        <v>0</v>
      </c>
      <c r="AO94" s="3"/>
      <c r="AP94">
        <v>0</v>
      </c>
      <c r="AR94" t="s">
        <v>1</v>
      </c>
      <c r="AT94" s="2" t="s">
        <v>0</v>
      </c>
      <c r="AU94" s="1">
        <f t="shared" si="13"/>
        <v>0.2784228931422012</v>
      </c>
      <c r="AV94" s="1">
        <f t="shared" si="14"/>
        <v>0.19887349510157229</v>
      </c>
      <c r="AW94" s="1">
        <f t="shared" si="15"/>
        <v>0.11932409706094337</v>
      </c>
    </row>
    <row r="95" spans="1:49" x14ac:dyDescent="0.2">
      <c r="A95">
        <v>93</v>
      </c>
      <c r="B95" t="s">
        <v>1367</v>
      </c>
      <c r="C95" t="s">
        <v>1366</v>
      </c>
      <c r="F95" t="s">
        <v>1365</v>
      </c>
      <c r="G95" t="s">
        <v>5</v>
      </c>
      <c r="H95" t="s">
        <v>4</v>
      </c>
      <c r="I95" t="s">
        <v>1364</v>
      </c>
      <c r="J95" t="s">
        <v>1358</v>
      </c>
      <c r="K95" t="s">
        <v>1363</v>
      </c>
      <c r="L95" t="s">
        <v>1362</v>
      </c>
      <c r="M95" t="s">
        <v>1361</v>
      </c>
      <c r="N95">
        <v>2</v>
      </c>
      <c r="O95" t="s">
        <v>1360</v>
      </c>
      <c r="P95" t="s">
        <v>1359</v>
      </c>
      <c r="Q95" t="s">
        <v>1358</v>
      </c>
      <c r="R95" s="7">
        <v>34274</v>
      </c>
      <c r="S95" s="8">
        <f t="shared" si="8"/>
        <v>1993</v>
      </c>
      <c r="T95" s="8">
        <v>1993</v>
      </c>
      <c r="U95" s="8">
        <f t="shared" si="9"/>
        <v>29</v>
      </c>
      <c r="V95" s="7">
        <v>34274</v>
      </c>
      <c r="W95" t="s">
        <v>1357</v>
      </c>
      <c r="X95" s="2">
        <v>0.39800000000000002</v>
      </c>
      <c r="Y95" s="6">
        <f t="shared" si="10"/>
        <v>1.0624382691332319E-2</v>
      </c>
      <c r="AA95" t="s">
        <v>1356</v>
      </c>
      <c r="AB95">
        <v>26771</v>
      </c>
      <c r="AC95" t="s">
        <v>1355</v>
      </c>
      <c r="AD95" t="s">
        <v>2</v>
      </c>
      <c r="AE95">
        <v>209</v>
      </c>
      <c r="AF95">
        <v>1</v>
      </c>
      <c r="AH95" t="s">
        <v>1354</v>
      </c>
      <c r="AI95" t="s">
        <v>1353</v>
      </c>
      <c r="AK95" t="s">
        <v>1352</v>
      </c>
      <c r="AL95">
        <v>1</v>
      </c>
      <c r="AM95" s="5">
        <f t="shared" si="11"/>
        <v>3.4482758620689655E-2</v>
      </c>
      <c r="AN95" s="4">
        <f t="shared" si="12"/>
        <v>5.2226821083967674E-5</v>
      </c>
      <c r="AO95" s="3"/>
      <c r="AP95">
        <v>0</v>
      </c>
      <c r="AR95" t="s">
        <v>1</v>
      </c>
      <c r="AT95" s="2">
        <v>1.83</v>
      </c>
      <c r="AU95" s="1">
        <f t="shared" si="13"/>
        <v>0.74527359302578133</v>
      </c>
      <c r="AV95" s="1">
        <f t="shared" si="14"/>
        <v>0.53383047562081432</v>
      </c>
      <c r="AW95" s="1">
        <f t="shared" si="15"/>
        <v>0.32238735821584735</v>
      </c>
    </row>
    <row r="96" spans="1:49" x14ac:dyDescent="0.2">
      <c r="A96">
        <v>94</v>
      </c>
      <c r="B96" t="s">
        <v>1351</v>
      </c>
      <c r="C96" t="s">
        <v>1350</v>
      </c>
      <c r="F96" t="s">
        <v>1349</v>
      </c>
      <c r="G96" t="s">
        <v>5</v>
      </c>
      <c r="H96" t="s">
        <v>4</v>
      </c>
      <c r="I96" t="s">
        <v>1348</v>
      </c>
      <c r="J96">
        <v>60031164</v>
      </c>
      <c r="K96" t="s">
        <v>1347</v>
      </c>
      <c r="L96" t="s">
        <v>1346</v>
      </c>
      <c r="M96" t="s">
        <v>28</v>
      </c>
      <c r="N96">
        <v>2</v>
      </c>
      <c r="O96" t="s">
        <v>1345</v>
      </c>
      <c r="P96" t="s">
        <v>1344</v>
      </c>
      <c r="Q96" t="s">
        <v>1343</v>
      </c>
      <c r="R96" s="7">
        <v>34274</v>
      </c>
      <c r="S96" s="8">
        <f t="shared" si="8"/>
        <v>1993</v>
      </c>
      <c r="T96" s="8">
        <v>1993</v>
      </c>
      <c r="U96" s="8">
        <f t="shared" si="9"/>
        <v>29</v>
      </c>
      <c r="V96" s="7">
        <v>34274</v>
      </c>
      <c r="W96" t="s">
        <v>1342</v>
      </c>
      <c r="X96" s="2">
        <v>0.59799999999999998</v>
      </c>
      <c r="Y96" s="6">
        <f t="shared" si="10"/>
        <v>1.5963268465871174E-2</v>
      </c>
      <c r="AA96">
        <v>222291</v>
      </c>
      <c r="AB96">
        <v>13763</v>
      </c>
      <c r="AC96">
        <v>15737357</v>
      </c>
      <c r="AD96" t="s">
        <v>2</v>
      </c>
      <c r="AE96">
        <v>93</v>
      </c>
      <c r="AF96" s="9">
        <v>44289</v>
      </c>
      <c r="AH96" t="s">
        <v>1341</v>
      </c>
      <c r="AI96" t="s">
        <v>1340</v>
      </c>
      <c r="AK96" t="s">
        <v>1339</v>
      </c>
      <c r="AL96">
        <v>0</v>
      </c>
      <c r="AM96" s="5">
        <f t="shared" si="11"/>
        <v>0</v>
      </c>
      <c r="AN96" s="4">
        <f t="shared" si="12"/>
        <v>0</v>
      </c>
      <c r="AO96" s="3"/>
      <c r="AP96">
        <v>0</v>
      </c>
      <c r="AR96" t="s">
        <v>1</v>
      </c>
      <c r="AT96" s="2">
        <v>1.57</v>
      </c>
      <c r="AU96" s="1">
        <f t="shared" si="13"/>
        <v>1.117428792610982</v>
      </c>
      <c r="AV96" s="1">
        <f t="shared" si="14"/>
        <v>0.79816342329355872</v>
      </c>
      <c r="AW96" s="1">
        <f t="shared" si="15"/>
        <v>0.47889805397613516</v>
      </c>
    </row>
    <row r="97" spans="1:49" x14ac:dyDescent="0.2">
      <c r="A97">
        <v>95</v>
      </c>
      <c r="B97" t="s">
        <v>1338</v>
      </c>
      <c r="C97" t="s">
        <v>1337</v>
      </c>
      <c r="F97" t="s">
        <v>1336</v>
      </c>
      <c r="G97" t="s">
        <v>5</v>
      </c>
      <c r="H97" t="s">
        <v>4</v>
      </c>
      <c r="I97" t="s">
        <v>1335</v>
      </c>
      <c r="N97">
        <v>2</v>
      </c>
      <c r="O97" t="s">
        <v>1334</v>
      </c>
      <c r="P97" t="s">
        <v>1333</v>
      </c>
      <c r="Q97" t="s">
        <v>71</v>
      </c>
      <c r="R97" s="7">
        <v>34274</v>
      </c>
      <c r="S97" s="8">
        <f t="shared" si="8"/>
        <v>1993</v>
      </c>
      <c r="T97" s="8">
        <v>1993</v>
      </c>
      <c r="U97" s="8">
        <f t="shared" si="9"/>
        <v>29</v>
      </c>
      <c r="V97" s="7">
        <v>34274</v>
      </c>
      <c r="W97" t="s">
        <v>1332</v>
      </c>
      <c r="X97" s="2" t="s">
        <v>0</v>
      </c>
      <c r="Y97" s="6" t="e">
        <f t="shared" si="10"/>
        <v>#VALUE!</v>
      </c>
      <c r="AA97">
        <v>904104</v>
      </c>
      <c r="AB97">
        <v>6100152903</v>
      </c>
      <c r="AC97">
        <v>15738795</v>
      </c>
      <c r="AD97" t="s">
        <v>2</v>
      </c>
      <c r="AE97">
        <v>67</v>
      </c>
      <c r="AF97">
        <v>2</v>
      </c>
      <c r="AH97" t="s">
        <v>1331</v>
      </c>
      <c r="AI97" t="s">
        <v>1330</v>
      </c>
      <c r="AK97" t="s">
        <v>1329</v>
      </c>
      <c r="AL97">
        <v>0</v>
      </c>
      <c r="AM97" s="5">
        <f t="shared" si="11"/>
        <v>0</v>
      </c>
      <c r="AN97" s="4">
        <f t="shared" si="12"/>
        <v>0</v>
      </c>
      <c r="AO97" s="3"/>
      <c r="AP97">
        <v>0</v>
      </c>
      <c r="AR97" t="s">
        <v>1</v>
      </c>
      <c r="AT97" s="2" t="s">
        <v>0</v>
      </c>
      <c r="AU97" s="1" t="e">
        <f t="shared" si="13"/>
        <v>#VALUE!</v>
      </c>
      <c r="AV97" s="1" t="e">
        <f t="shared" si="14"/>
        <v>#VALUE!</v>
      </c>
      <c r="AW97" s="1" t="e">
        <f t="shared" si="15"/>
        <v>#VALUE!</v>
      </c>
    </row>
    <row r="98" spans="1:49" x14ac:dyDescent="0.2">
      <c r="A98">
        <v>96</v>
      </c>
      <c r="B98" t="s">
        <v>1328</v>
      </c>
      <c r="C98" t="s">
        <v>1327</v>
      </c>
      <c r="F98" t="s">
        <v>1326</v>
      </c>
      <c r="G98" t="s">
        <v>5</v>
      </c>
      <c r="H98" t="s">
        <v>4</v>
      </c>
      <c r="I98" t="s">
        <v>1325</v>
      </c>
      <c r="N98">
        <v>3</v>
      </c>
      <c r="O98" t="s">
        <v>1324</v>
      </c>
      <c r="P98" t="s">
        <v>1323</v>
      </c>
      <c r="Q98" t="s">
        <v>111</v>
      </c>
      <c r="R98" s="7">
        <v>34274</v>
      </c>
      <c r="S98" s="8">
        <f t="shared" si="8"/>
        <v>1993</v>
      </c>
      <c r="T98" s="8">
        <v>1993</v>
      </c>
      <c r="U98" s="8">
        <f t="shared" si="9"/>
        <v>29</v>
      </c>
      <c r="V98" s="7">
        <v>34274</v>
      </c>
      <c r="W98" t="s">
        <v>201</v>
      </c>
      <c r="X98" s="2">
        <v>0.318</v>
      </c>
      <c r="Y98" s="6">
        <f t="shared" si="10"/>
        <v>8.4888283815167786E-3</v>
      </c>
      <c r="AA98">
        <v>338443</v>
      </c>
      <c r="AB98">
        <v>27160</v>
      </c>
      <c r="AC98">
        <v>15739120</v>
      </c>
      <c r="AD98" t="s">
        <v>2</v>
      </c>
      <c r="AE98">
        <v>36</v>
      </c>
      <c r="AF98">
        <v>11</v>
      </c>
      <c r="AH98" t="s">
        <v>1322</v>
      </c>
      <c r="AI98" t="s">
        <v>1321</v>
      </c>
      <c r="AK98" t="s">
        <v>1320</v>
      </c>
      <c r="AL98">
        <v>0</v>
      </c>
      <c r="AM98" s="5">
        <f t="shared" si="11"/>
        <v>0</v>
      </c>
      <c r="AN98" s="4">
        <f t="shared" si="12"/>
        <v>0</v>
      </c>
      <c r="AO98" s="3"/>
      <c r="AP98">
        <v>0</v>
      </c>
      <c r="AR98" t="s">
        <v>1</v>
      </c>
      <c r="AT98" s="2">
        <v>0.77</v>
      </c>
      <c r="AU98" s="1">
        <f t="shared" si="13"/>
        <v>0.59421798670617454</v>
      </c>
      <c r="AV98" s="1">
        <f t="shared" si="14"/>
        <v>0.42444141907583893</v>
      </c>
      <c r="AW98" s="1">
        <f t="shared" si="15"/>
        <v>0.25466485144550338</v>
      </c>
    </row>
    <row r="99" spans="1:49" x14ac:dyDescent="0.2">
      <c r="A99">
        <v>97</v>
      </c>
      <c r="B99" t="s">
        <v>1319</v>
      </c>
      <c r="C99" t="s">
        <v>1318</v>
      </c>
      <c r="F99" t="s">
        <v>1317</v>
      </c>
      <c r="G99" t="s">
        <v>5</v>
      </c>
      <c r="H99" t="s">
        <v>4</v>
      </c>
      <c r="I99" t="s">
        <v>1316</v>
      </c>
      <c r="J99" t="s">
        <v>1315</v>
      </c>
      <c r="K99" t="s">
        <v>1314</v>
      </c>
      <c r="L99" t="s">
        <v>1313</v>
      </c>
      <c r="M99" t="s">
        <v>60</v>
      </c>
      <c r="N99">
        <v>2</v>
      </c>
      <c r="O99" t="s">
        <v>1312</v>
      </c>
      <c r="P99" t="s">
        <v>1311</v>
      </c>
      <c r="Q99" t="s">
        <v>1310</v>
      </c>
      <c r="R99" s="7">
        <v>34274</v>
      </c>
      <c r="S99" s="8">
        <f t="shared" si="8"/>
        <v>1993</v>
      </c>
      <c r="T99" s="8">
        <v>1993</v>
      </c>
      <c r="U99" s="8">
        <f t="shared" si="9"/>
        <v>29</v>
      </c>
      <c r="V99" s="7">
        <v>34274</v>
      </c>
      <c r="W99" t="s">
        <v>224</v>
      </c>
      <c r="X99" s="2" t="s">
        <v>0</v>
      </c>
      <c r="Y99" s="6" t="e">
        <f t="shared" si="10"/>
        <v>#VALUE!</v>
      </c>
      <c r="AA99">
        <v>39039</v>
      </c>
      <c r="AB99">
        <v>31407</v>
      </c>
      <c r="AC99">
        <v>14320487</v>
      </c>
      <c r="AD99" t="s">
        <v>2</v>
      </c>
      <c r="AE99">
        <v>77</v>
      </c>
      <c r="AF99">
        <v>1</v>
      </c>
      <c r="AH99" t="s">
        <v>1309</v>
      </c>
      <c r="AI99" t="s">
        <v>1308</v>
      </c>
      <c r="AK99" t="s">
        <v>1307</v>
      </c>
      <c r="AL99">
        <v>2</v>
      </c>
      <c r="AM99" s="5">
        <f t="shared" si="11"/>
        <v>6.8965517241379309E-2</v>
      </c>
      <c r="AN99" s="4">
        <f t="shared" si="12"/>
        <v>1.0445364216793535E-4</v>
      </c>
      <c r="AO99" s="3"/>
      <c r="AP99">
        <v>0</v>
      </c>
      <c r="AR99" t="s">
        <v>1</v>
      </c>
      <c r="AT99" s="2" t="s">
        <v>0</v>
      </c>
      <c r="AU99" s="1" t="e">
        <f t="shared" si="13"/>
        <v>#VALUE!</v>
      </c>
      <c r="AV99" s="1" t="e">
        <f t="shared" si="14"/>
        <v>#VALUE!</v>
      </c>
      <c r="AW99" s="1" t="e">
        <f t="shared" si="15"/>
        <v>#VALUE!</v>
      </c>
    </row>
    <row r="100" spans="1:49" x14ac:dyDescent="0.2">
      <c r="A100">
        <v>98</v>
      </c>
      <c r="B100" t="s">
        <v>1306</v>
      </c>
      <c r="C100" t="s">
        <v>1305</v>
      </c>
      <c r="F100" t="s">
        <v>1304</v>
      </c>
      <c r="G100" t="s">
        <v>5</v>
      </c>
      <c r="H100" t="s">
        <v>4</v>
      </c>
      <c r="I100" t="s">
        <v>1303</v>
      </c>
      <c r="J100">
        <v>60009839</v>
      </c>
      <c r="K100" t="s">
        <v>64</v>
      </c>
      <c r="L100" t="s">
        <v>63</v>
      </c>
      <c r="M100" t="s">
        <v>30</v>
      </c>
      <c r="N100">
        <v>1</v>
      </c>
      <c r="O100" t="s">
        <v>1302</v>
      </c>
      <c r="P100">
        <v>26967487500</v>
      </c>
      <c r="Q100">
        <v>60009839</v>
      </c>
      <c r="R100" s="7">
        <v>34274</v>
      </c>
      <c r="S100" s="8">
        <f t="shared" si="8"/>
        <v>1993</v>
      </c>
      <c r="T100" s="8">
        <v>1993</v>
      </c>
      <c r="U100" s="8">
        <f t="shared" si="9"/>
        <v>29</v>
      </c>
      <c r="V100" s="7">
        <v>34274</v>
      </c>
      <c r="W100" t="s">
        <v>200</v>
      </c>
      <c r="X100" s="2">
        <v>2.3759999999999999</v>
      </c>
      <c r="Y100" s="6">
        <f t="shared" si="10"/>
        <v>6.3425963001521576E-2</v>
      </c>
      <c r="AA100" t="s">
        <v>199</v>
      </c>
      <c r="AB100">
        <v>26765</v>
      </c>
      <c r="AC100">
        <v>15384357</v>
      </c>
      <c r="AD100" t="s">
        <v>2</v>
      </c>
      <c r="AE100">
        <v>417</v>
      </c>
      <c r="AF100">
        <v>1</v>
      </c>
      <c r="AH100" t="s">
        <v>1301</v>
      </c>
      <c r="AI100" t="s">
        <v>1300</v>
      </c>
      <c r="AJ100" t="s">
        <v>1299</v>
      </c>
      <c r="AK100" t="s">
        <v>1298</v>
      </c>
      <c r="AL100">
        <v>9</v>
      </c>
      <c r="AM100" s="5">
        <f t="shared" si="11"/>
        <v>0.31034482758620691</v>
      </c>
      <c r="AN100" s="4">
        <f t="shared" si="12"/>
        <v>4.7004138975570908E-4</v>
      </c>
      <c r="AO100" s="3"/>
      <c r="AP100">
        <v>0</v>
      </c>
      <c r="AR100" t="s">
        <v>1</v>
      </c>
      <c r="AT100" s="2">
        <v>5.8739999999999997</v>
      </c>
      <c r="AU100" s="1">
        <f t="shared" si="13"/>
        <v>4.4539186517991807</v>
      </c>
      <c r="AV100" s="1">
        <f t="shared" si="14"/>
        <v>3.1948002195638638</v>
      </c>
      <c r="AW100" s="1">
        <f t="shared" si="15"/>
        <v>1.935681787328547</v>
      </c>
    </row>
    <row r="101" spans="1:49" x14ac:dyDescent="0.2">
      <c r="A101">
        <v>99</v>
      </c>
      <c r="B101" t="s">
        <v>1297</v>
      </c>
      <c r="F101" t="s">
        <v>1296</v>
      </c>
      <c r="G101" t="s">
        <v>5</v>
      </c>
      <c r="H101" t="s">
        <v>4</v>
      </c>
      <c r="I101" t="s">
        <v>1295</v>
      </c>
      <c r="N101">
        <v>1</v>
      </c>
      <c r="O101" t="s">
        <v>1294</v>
      </c>
      <c r="P101">
        <v>7004923051</v>
      </c>
      <c r="R101" s="7">
        <v>34274</v>
      </c>
      <c r="S101" s="8">
        <f t="shared" si="8"/>
        <v>1993</v>
      </c>
      <c r="T101" s="8">
        <v>1993</v>
      </c>
      <c r="U101" s="8">
        <f t="shared" si="9"/>
        <v>29</v>
      </c>
      <c r="V101" s="7">
        <v>34274</v>
      </c>
      <c r="W101" t="s">
        <v>80</v>
      </c>
      <c r="X101" s="2">
        <v>0.14099999999999999</v>
      </c>
      <c r="Y101" s="6">
        <f t="shared" si="10"/>
        <v>3.7639144710498915E-3</v>
      </c>
      <c r="AA101">
        <v>402508</v>
      </c>
      <c r="AB101">
        <v>20868</v>
      </c>
      <c r="AD101" t="s">
        <v>2</v>
      </c>
      <c r="AE101">
        <v>48</v>
      </c>
      <c r="AF101">
        <v>11</v>
      </c>
      <c r="AH101" t="s">
        <v>1293</v>
      </c>
      <c r="AI101" t="s">
        <v>1292</v>
      </c>
      <c r="AK101" t="s">
        <v>1291</v>
      </c>
      <c r="AL101">
        <v>0</v>
      </c>
      <c r="AM101" s="5">
        <f t="shared" si="11"/>
        <v>0</v>
      </c>
      <c r="AN101" s="4">
        <f t="shared" si="12"/>
        <v>0</v>
      </c>
      <c r="AO101" s="3"/>
      <c r="AP101">
        <v>0</v>
      </c>
      <c r="AR101" t="s">
        <v>1</v>
      </c>
      <c r="AT101" s="2" t="s">
        <v>0</v>
      </c>
      <c r="AU101" s="1">
        <f t="shared" si="13"/>
        <v>0.26347401297349238</v>
      </c>
      <c r="AV101" s="1">
        <f t="shared" si="14"/>
        <v>0.18819572355249459</v>
      </c>
      <c r="AW101" s="1">
        <f t="shared" si="15"/>
        <v>0.11291743413149673</v>
      </c>
    </row>
    <row r="102" spans="1:49" x14ac:dyDescent="0.2">
      <c r="A102">
        <v>100</v>
      </c>
      <c r="B102" t="s">
        <v>1290</v>
      </c>
      <c r="F102" t="s">
        <v>1289</v>
      </c>
      <c r="G102" t="s">
        <v>5</v>
      </c>
      <c r="H102" t="s">
        <v>4</v>
      </c>
      <c r="I102" t="s">
        <v>1288</v>
      </c>
      <c r="N102">
        <v>3</v>
      </c>
      <c r="O102" t="s">
        <v>1287</v>
      </c>
      <c r="P102" t="s">
        <v>1286</v>
      </c>
      <c r="Q102" t="s">
        <v>111</v>
      </c>
      <c r="R102" s="7">
        <v>34274</v>
      </c>
      <c r="S102" s="8">
        <f t="shared" si="8"/>
        <v>1993</v>
      </c>
      <c r="T102" s="8">
        <v>1993</v>
      </c>
      <c r="U102" s="8">
        <f t="shared" si="9"/>
        <v>29</v>
      </c>
      <c r="V102" s="7">
        <v>34274</v>
      </c>
      <c r="W102" t="s">
        <v>80</v>
      </c>
      <c r="X102" s="2">
        <v>0.14099999999999999</v>
      </c>
      <c r="Y102" s="6">
        <f t="shared" si="10"/>
        <v>3.7639144710498915E-3</v>
      </c>
      <c r="AA102">
        <v>402508</v>
      </c>
      <c r="AB102">
        <v>20868</v>
      </c>
      <c r="AD102" t="s">
        <v>2</v>
      </c>
      <c r="AE102">
        <v>48</v>
      </c>
      <c r="AF102">
        <v>11</v>
      </c>
      <c r="AH102" t="s">
        <v>1285</v>
      </c>
      <c r="AI102" t="s">
        <v>1284</v>
      </c>
      <c r="AK102" t="s">
        <v>1283</v>
      </c>
      <c r="AL102">
        <v>0</v>
      </c>
      <c r="AM102" s="5">
        <f t="shared" si="11"/>
        <v>0</v>
      </c>
      <c r="AN102" s="4">
        <f t="shared" si="12"/>
        <v>0</v>
      </c>
      <c r="AO102" s="3"/>
      <c r="AP102">
        <v>0</v>
      </c>
      <c r="AR102" t="s">
        <v>1</v>
      </c>
      <c r="AT102" s="2" t="s">
        <v>0</v>
      </c>
      <c r="AU102" s="1">
        <f t="shared" si="13"/>
        <v>0.26347401297349238</v>
      </c>
      <c r="AV102" s="1">
        <f t="shared" si="14"/>
        <v>0.18819572355249459</v>
      </c>
      <c r="AW102" s="1">
        <f t="shared" si="15"/>
        <v>0.11291743413149673</v>
      </c>
    </row>
    <row r="103" spans="1:49" x14ac:dyDescent="0.2">
      <c r="A103">
        <v>101</v>
      </c>
      <c r="B103" t="s">
        <v>1282</v>
      </c>
      <c r="F103" t="s">
        <v>1281</v>
      </c>
      <c r="G103" t="s">
        <v>5</v>
      </c>
      <c r="H103" t="s">
        <v>4</v>
      </c>
      <c r="I103" t="s">
        <v>1280</v>
      </c>
      <c r="N103">
        <v>1</v>
      </c>
      <c r="O103" t="s">
        <v>1279</v>
      </c>
      <c r="P103">
        <v>6508146771</v>
      </c>
      <c r="R103" s="7">
        <v>34274</v>
      </c>
      <c r="S103" s="8">
        <f t="shared" si="8"/>
        <v>1993</v>
      </c>
      <c r="T103" s="8">
        <v>1993</v>
      </c>
      <c r="U103" s="8">
        <f t="shared" si="9"/>
        <v>29</v>
      </c>
      <c r="V103" s="7">
        <v>34274</v>
      </c>
      <c r="W103" t="s">
        <v>80</v>
      </c>
      <c r="X103" s="2">
        <v>0.14099999999999999</v>
      </c>
      <c r="Y103" s="6">
        <f t="shared" si="10"/>
        <v>3.7639144710498915E-3</v>
      </c>
      <c r="AA103">
        <v>402508</v>
      </c>
      <c r="AB103">
        <v>20868</v>
      </c>
      <c r="AD103" t="s">
        <v>2</v>
      </c>
      <c r="AE103">
        <v>48</v>
      </c>
      <c r="AF103">
        <v>11</v>
      </c>
      <c r="AH103" t="s">
        <v>1278</v>
      </c>
      <c r="AI103" t="s">
        <v>1277</v>
      </c>
      <c r="AK103" t="s">
        <v>1276</v>
      </c>
      <c r="AL103">
        <v>0</v>
      </c>
      <c r="AM103" s="5">
        <f t="shared" si="11"/>
        <v>0</v>
      </c>
      <c r="AN103" s="4">
        <f t="shared" si="12"/>
        <v>0</v>
      </c>
      <c r="AO103" s="3"/>
      <c r="AP103">
        <v>0</v>
      </c>
      <c r="AR103" t="s">
        <v>1</v>
      </c>
      <c r="AT103" s="2" t="s">
        <v>0</v>
      </c>
      <c r="AU103" s="1">
        <f t="shared" si="13"/>
        <v>0.26347401297349238</v>
      </c>
      <c r="AV103" s="1">
        <f t="shared" si="14"/>
        <v>0.18819572355249459</v>
      </c>
      <c r="AW103" s="1">
        <f t="shared" si="15"/>
        <v>0.11291743413149673</v>
      </c>
    </row>
    <row r="104" spans="1:49" x14ac:dyDescent="0.2">
      <c r="A104">
        <v>102</v>
      </c>
      <c r="B104" t="s">
        <v>1275</v>
      </c>
      <c r="F104" t="s">
        <v>1274</v>
      </c>
      <c r="G104" t="s">
        <v>5</v>
      </c>
      <c r="H104" t="s">
        <v>4</v>
      </c>
      <c r="I104" t="s">
        <v>1273</v>
      </c>
      <c r="N104">
        <v>4</v>
      </c>
      <c r="O104" t="s">
        <v>1272</v>
      </c>
      <c r="P104" t="s">
        <v>1271</v>
      </c>
      <c r="Q104" t="s">
        <v>170</v>
      </c>
      <c r="R104" s="7">
        <v>34274</v>
      </c>
      <c r="S104" s="8">
        <f t="shared" si="8"/>
        <v>1993</v>
      </c>
      <c r="T104" s="8">
        <v>1993</v>
      </c>
      <c r="U104" s="8">
        <f t="shared" si="9"/>
        <v>29</v>
      </c>
      <c r="V104" s="7">
        <v>34274</v>
      </c>
      <c r="W104" t="s">
        <v>1270</v>
      </c>
      <c r="X104" s="2" t="s">
        <v>0</v>
      </c>
      <c r="Y104" s="6" t="e">
        <f t="shared" si="10"/>
        <v>#VALUE!</v>
      </c>
      <c r="AA104">
        <v>9152334</v>
      </c>
      <c r="AB104">
        <v>20160</v>
      </c>
      <c r="AD104" t="s">
        <v>2</v>
      </c>
      <c r="AE104">
        <v>5</v>
      </c>
      <c r="AF104">
        <v>6</v>
      </c>
      <c r="AH104" t="s">
        <v>243</v>
      </c>
      <c r="AI104" t="s">
        <v>1269</v>
      </c>
      <c r="AK104" t="s">
        <v>1268</v>
      </c>
      <c r="AL104">
        <v>0</v>
      </c>
      <c r="AM104" s="5">
        <f t="shared" si="11"/>
        <v>0</v>
      </c>
      <c r="AN104" s="4">
        <f t="shared" si="12"/>
        <v>0</v>
      </c>
      <c r="AO104" s="3"/>
      <c r="AP104">
        <v>0</v>
      </c>
      <c r="AR104" t="s">
        <v>1</v>
      </c>
      <c r="AT104" s="2" t="s">
        <v>0</v>
      </c>
      <c r="AU104" s="1" t="e">
        <f t="shared" si="13"/>
        <v>#VALUE!</v>
      </c>
      <c r="AV104" s="1" t="e">
        <f t="shared" si="14"/>
        <v>#VALUE!</v>
      </c>
      <c r="AW104" s="1" t="e">
        <f t="shared" si="15"/>
        <v>#VALUE!</v>
      </c>
    </row>
    <row r="105" spans="1:49" x14ac:dyDescent="0.2">
      <c r="A105">
        <v>103</v>
      </c>
      <c r="B105" t="s">
        <v>1267</v>
      </c>
      <c r="F105" t="s">
        <v>1266</v>
      </c>
      <c r="G105" t="s">
        <v>5</v>
      </c>
      <c r="H105" t="s">
        <v>4</v>
      </c>
      <c r="I105" t="s">
        <v>1265</v>
      </c>
      <c r="J105">
        <v>60101699</v>
      </c>
      <c r="K105" t="s">
        <v>122</v>
      </c>
      <c r="L105" t="s">
        <v>14</v>
      </c>
      <c r="M105" t="s">
        <v>13</v>
      </c>
      <c r="N105">
        <v>5</v>
      </c>
      <c r="O105" t="s">
        <v>1264</v>
      </c>
      <c r="P105" t="s">
        <v>1263</v>
      </c>
      <c r="Q105" t="s">
        <v>173</v>
      </c>
      <c r="R105" s="7">
        <v>34274</v>
      </c>
      <c r="S105" s="8">
        <f t="shared" si="8"/>
        <v>1993</v>
      </c>
      <c r="T105" s="8">
        <v>1993</v>
      </c>
      <c r="U105" s="8">
        <f t="shared" si="9"/>
        <v>29</v>
      </c>
      <c r="V105" s="7">
        <v>34274</v>
      </c>
      <c r="W105" t="s">
        <v>76</v>
      </c>
      <c r="X105" s="2">
        <v>0.21099999999999999</v>
      </c>
      <c r="Y105" s="6">
        <f t="shared" si="10"/>
        <v>5.6325244921384904E-3</v>
      </c>
      <c r="AA105">
        <v>9168516</v>
      </c>
      <c r="AB105">
        <v>18936</v>
      </c>
      <c r="AD105" t="s">
        <v>2</v>
      </c>
      <c r="AE105" t="s">
        <v>75</v>
      </c>
      <c r="AF105">
        <v>11</v>
      </c>
      <c r="AH105" t="s">
        <v>1262</v>
      </c>
      <c r="AI105" t="s">
        <v>1261</v>
      </c>
      <c r="AK105" t="s">
        <v>1260</v>
      </c>
      <c r="AL105">
        <v>6</v>
      </c>
      <c r="AM105" s="5">
        <f t="shared" si="11"/>
        <v>0.20689655172413793</v>
      </c>
      <c r="AN105" s="4">
        <f t="shared" si="12"/>
        <v>3.1336092650380602E-4</v>
      </c>
      <c r="AO105" s="3"/>
      <c r="AP105">
        <v>0</v>
      </c>
      <c r="AR105" t="s">
        <v>1</v>
      </c>
      <c r="AT105" s="2">
        <v>0.52500000000000002</v>
      </c>
      <c r="AU105" s="1">
        <f t="shared" si="13"/>
        <v>0.40367754224480845</v>
      </c>
      <c r="AV105" s="1">
        <f t="shared" si="14"/>
        <v>0.29729427093211486</v>
      </c>
      <c r="AW105" s="1">
        <f t="shared" si="15"/>
        <v>0.19091099961942112</v>
      </c>
    </row>
    <row r="106" spans="1:49" x14ac:dyDescent="0.2">
      <c r="A106">
        <v>104</v>
      </c>
      <c r="B106" t="s">
        <v>1259</v>
      </c>
      <c r="C106" t="s">
        <v>1258</v>
      </c>
      <c r="D106" t="s">
        <v>1257</v>
      </c>
      <c r="F106" t="s">
        <v>1256</v>
      </c>
      <c r="G106" t="s">
        <v>5</v>
      </c>
      <c r="H106" t="s">
        <v>4</v>
      </c>
      <c r="I106" t="s">
        <v>1255</v>
      </c>
      <c r="J106">
        <v>60006221</v>
      </c>
      <c r="K106" t="s">
        <v>1254</v>
      </c>
      <c r="L106" t="s">
        <v>1253</v>
      </c>
      <c r="M106" t="s">
        <v>3</v>
      </c>
      <c r="N106">
        <v>2</v>
      </c>
      <c r="O106" t="s">
        <v>1252</v>
      </c>
      <c r="P106" t="s">
        <v>1251</v>
      </c>
      <c r="Q106" t="s">
        <v>1250</v>
      </c>
      <c r="R106" s="7">
        <v>34274</v>
      </c>
      <c r="S106" s="8">
        <f t="shared" si="8"/>
        <v>1993</v>
      </c>
      <c r="T106" s="8">
        <v>1993</v>
      </c>
      <c r="U106" s="8">
        <f t="shared" si="9"/>
        <v>29</v>
      </c>
      <c r="V106" s="7">
        <v>34274</v>
      </c>
      <c r="W106" t="s">
        <v>1249</v>
      </c>
      <c r="X106" s="2" t="s">
        <v>0</v>
      </c>
      <c r="Y106" s="6" t="e">
        <f t="shared" si="10"/>
        <v>#VALUE!</v>
      </c>
      <c r="AA106">
        <v>1689002</v>
      </c>
      <c r="AB106">
        <v>29067</v>
      </c>
      <c r="AD106" t="s">
        <v>2</v>
      </c>
      <c r="AE106">
        <v>335</v>
      </c>
      <c r="AF106">
        <v>3</v>
      </c>
      <c r="AH106" t="s">
        <v>1248</v>
      </c>
      <c r="AI106" t="s">
        <v>1247</v>
      </c>
      <c r="AK106" t="s">
        <v>1246</v>
      </c>
      <c r="AL106">
        <v>1</v>
      </c>
      <c r="AM106" s="5">
        <f t="shared" si="11"/>
        <v>3.4482758620689655E-2</v>
      </c>
      <c r="AN106" s="4">
        <f t="shared" si="12"/>
        <v>5.2226821083967674E-5</v>
      </c>
      <c r="AO106" s="3"/>
      <c r="AP106">
        <v>0</v>
      </c>
      <c r="AR106" t="s">
        <v>1245</v>
      </c>
      <c r="AT106" s="2" t="s">
        <v>0</v>
      </c>
      <c r="AU106" s="1" t="e">
        <f t="shared" si="13"/>
        <v>#VALUE!</v>
      </c>
      <c r="AV106" s="1" t="e">
        <f t="shared" si="14"/>
        <v>#VALUE!</v>
      </c>
      <c r="AW106" s="1" t="e">
        <f t="shared" si="15"/>
        <v>#VALUE!</v>
      </c>
    </row>
    <row r="107" spans="1:49" x14ac:dyDescent="0.2">
      <c r="A107">
        <v>105</v>
      </c>
      <c r="B107" t="s">
        <v>1244</v>
      </c>
      <c r="F107" t="s">
        <v>1243</v>
      </c>
      <c r="G107" t="s">
        <v>5</v>
      </c>
      <c r="H107" t="s">
        <v>4</v>
      </c>
      <c r="I107" t="s">
        <v>1242</v>
      </c>
      <c r="J107">
        <v>60023147</v>
      </c>
      <c r="K107" t="s">
        <v>1241</v>
      </c>
      <c r="L107" t="s">
        <v>1240</v>
      </c>
      <c r="M107" t="s">
        <v>13</v>
      </c>
      <c r="N107">
        <v>2</v>
      </c>
      <c r="O107" t="s">
        <v>1239</v>
      </c>
      <c r="P107" t="s">
        <v>1238</v>
      </c>
      <c r="Q107" t="s">
        <v>1237</v>
      </c>
      <c r="R107" s="7">
        <v>34274</v>
      </c>
      <c r="S107" s="8">
        <f t="shared" si="8"/>
        <v>1993</v>
      </c>
      <c r="T107" s="8">
        <v>1993</v>
      </c>
      <c r="U107" s="8">
        <f t="shared" si="9"/>
        <v>29</v>
      </c>
      <c r="V107" s="7">
        <v>34274</v>
      </c>
      <c r="W107" t="s">
        <v>76</v>
      </c>
      <c r="X107" s="2">
        <v>0.21099999999999999</v>
      </c>
      <c r="Y107" s="6">
        <f t="shared" si="10"/>
        <v>5.6325244921384904E-3</v>
      </c>
      <c r="AA107">
        <v>9168516</v>
      </c>
      <c r="AB107">
        <v>18936</v>
      </c>
      <c r="AD107" t="s">
        <v>2</v>
      </c>
      <c r="AE107" t="s">
        <v>75</v>
      </c>
      <c r="AF107">
        <v>11</v>
      </c>
      <c r="AH107" t="s">
        <v>1236</v>
      </c>
      <c r="AI107" t="s">
        <v>1235</v>
      </c>
      <c r="AK107" t="s">
        <v>1234</v>
      </c>
      <c r="AL107">
        <v>2</v>
      </c>
      <c r="AM107" s="5">
        <f t="shared" si="11"/>
        <v>6.8965517241379309E-2</v>
      </c>
      <c r="AN107" s="4">
        <f t="shared" si="12"/>
        <v>1.0445364216793535E-4</v>
      </c>
      <c r="AO107" s="3"/>
      <c r="AP107">
        <v>0</v>
      </c>
      <c r="AR107" t="s">
        <v>1</v>
      </c>
      <c r="AT107" s="2">
        <v>0.52500000000000002</v>
      </c>
      <c r="AU107" s="1">
        <f t="shared" si="13"/>
        <v>0.39741032371473234</v>
      </c>
      <c r="AV107" s="1">
        <f t="shared" si="14"/>
        <v>0.28684890671532126</v>
      </c>
      <c r="AW107" s="1">
        <f t="shared" si="15"/>
        <v>0.17628748971591018</v>
      </c>
    </row>
    <row r="108" spans="1:49" x14ac:dyDescent="0.2">
      <c r="A108">
        <v>106</v>
      </c>
      <c r="B108" t="s">
        <v>1233</v>
      </c>
      <c r="C108" t="s">
        <v>1232</v>
      </c>
      <c r="F108" t="s">
        <v>1231</v>
      </c>
      <c r="G108" t="s">
        <v>5</v>
      </c>
      <c r="H108" t="s">
        <v>4</v>
      </c>
      <c r="I108" t="s">
        <v>1230</v>
      </c>
      <c r="J108">
        <v>60014808</v>
      </c>
      <c r="K108" t="s">
        <v>1229</v>
      </c>
      <c r="L108" t="s">
        <v>184</v>
      </c>
      <c r="M108" t="s">
        <v>133</v>
      </c>
      <c r="N108">
        <v>3</v>
      </c>
      <c r="O108" t="s">
        <v>1228</v>
      </c>
      <c r="P108" t="s">
        <v>1227</v>
      </c>
      <c r="Q108" t="s">
        <v>1226</v>
      </c>
      <c r="R108" s="7">
        <v>34274</v>
      </c>
      <c r="S108" s="8">
        <f t="shared" si="8"/>
        <v>1993</v>
      </c>
      <c r="T108" s="8">
        <v>1993</v>
      </c>
      <c r="U108" s="8">
        <f t="shared" si="9"/>
        <v>29</v>
      </c>
      <c r="V108" s="7">
        <v>34274</v>
      </c>
      <c r="W108" t="s">
        <v>51</v>
      </c>
      <c r="X108" s="2">
        <v>1.6519999999999999</v>
      </c>
      <c r="Y108" s="6">
        <f t="shared" si="10"/>
        <v>4.409919649769093E-2</v>
      </c>
      <c r="AA108" t="s">
        <v>50</v>
      </c>
      <c r="AB108">
        <v>17337</v>
      </c>
      <c r="AC108">
        <v>15582221</v>
      </c>
      <c r="AD108" t="s">
        <v>2</v>
      </c>
      <c r="AE108">
        <v>41</v>
      </c>
      <c r="AF108">
        <v>11</v>
      </c>
      <c r="AH108" t="s">
        <v>1225</v>
      </c>
      <c r="AI108" t="s">
        <v>1224</v>
      </c>
      <c r="AK108" t="s">
        <v>1223</v>
      </c>
      <c r="AL108">
        <v>42</v>
      </c>
      <c r="AM108" s="5">
        <f t="shared" si="11"/>
        <v>1.4482758620689655</v>
      </c>
      <c r="AN108" s="4">
        <f t="shared" si="12"/>
        <v>2.1935264855266422E-3</v>
      </c>
      <c r="AO108" s="3"/>
      <c r="AP108">
        <v>0</v>
      </c>
      <c r="AQ108" t="s">
        <v>1222</v>
      </c>
      <c r="AR108" t="s">
        <v>1</v>
      </c>
      <c r="AS108" t="s">
        <v>1221</v>
      </c>
      <c r="AT108" s="2" t="s">
        <v>0</v>
      </c>
      <c r="AU108" s="1">
        <f t="shared" si="13"/>
        <v>3.1527495494041644</v>
      </c>
      <c r="AV108" s="1">
        <f t="shared" si="14"/>
        <v>2.3146361491608785</v>
      </c>
      <c r="AW108" s="1">
        <f t="shared" si="15"/>
        <v>1.4765227489175927</v>
      </c>
    </row>
    <row r="109" spans="1:49" x14ac:dyDescent="0.2">
      <c r="A109">
        <v>107</v>
      </c>
      <c r="B109" t="s">
        <v>1220</v>
      </c>
      <c r="C109" t="s">
        <v>1219</v>
      </c>
      <c r="F109" t="s">
        <v>1218</v>
      </c>
      <c r="G109" t="s">
        <v>5</v>
      </c>
      <c r="H109" t="s">
        <v>4</v>
      </c>
      <c r="I109" t="s">
        <v>1217</v>
      </c>
      <c r="J109" t="s">
        <v>145</v>
      </c>
      <c r="K109" t="s">
        <v>144</v>
      </c>
      <c r="L109" t="s">
        <v>143</v>
      </c>
      <c r="M109" t="s">
        <v>142</v>
      </c>
      <c r="N109">
        <v>2</v>
      </c>
      <c r="O109" t="s">
        <v>1216</v>
      </c>
      <c r="P109" t="s">
        <v>1215</v>
      </c>
      <c r="Q109" t="s">
        <v>145</v>
      </c>
      <c r="R109" s="7">
        <v>34274</v>
      </c>
      <c r="S109" s="8">
        <f t="shared" si="8"/>
        <v>1993</v>
      </c>
      <c r="T109" s="8">
        <v>1993</v>
      </c>
      <c r="U109" s="8">
        <f t="shared" si="9"/>
        <v>29</v>
      </c>
      <c r="V109" s="7">
        <v>34274</v>
      </c>
      <c r="W109" t="s">
        <v>224</v>
      </c>
      <c r="X109" s="2" t="s">
        <v>0</v>
      </c>
      <c r="Y109" s="6" t="e">
        <f t="shared" si="10"/>
        <v>#VALUE!</v>
      </c>
      <c r="AA109">
        <v>39039</v>
      </c>
      <c r="AB109">
        <v>31407</v>
      </c>
      <c r="AC109">
        <v>14320487</v>
      </c>
      <c r="AD109" t="s">
        <v>2</v>
      </c>
      <c r="AE109">
        <v>76</v>
      </c>
      <c r="AF109">
        <v>6</v>
      </c>
      <c r="AH109" t="s">
        <v>1214</v>
      </c>
      <c r="AI109" t="s">
        <v>1213</v>
      </c>
      <c r="AK109" t="s">
        <v>1212</v>
      </c>
      <c r="AL109">
        <v>8</v>
      </c>
      <c r="AM109" s="5">
        <f t="shared" si="11"/>
        <v>0.27586206896551724</v>
      </c>
      <c r="AN109" s="4">
        <f t="shared" si="12"/>
        <v>4.1781456867174139E-4</v>
      </c>
      <c r="AO109" s="3"/>
      <c r="AP109">
        <v>0</v>
      </c>
      <c r="AR109" t="s">
        <v>1</v>
      </c>
      <c r="AT109" s="2" t="s">
        <v>0</v>
      </c>
      <c r="AU109" s="1" t="e">
        <f t="shared" si="13"/>
        <v>#VALUE!</v>
      </c>
      <c r="AV109" s="1" t="e">
        <f t="shared" si="14"/>
        <v>#VALUE!</v>
      </c>
      <c r="AW109" s="1" t="e">
        <f t="shared" si="15"/>
        <v>#VALUE!</v>
      </c>
    </row>
    <row r="110" spans="1:49" x14ac:dyDescent="0.2">
      <c r="A110">
        <v>108</v>
      </c>
      <c r="B110" t="s">
        <v>1211</v>
      </c>
      <c r="C110" t="s">
        <v>1210</v>
      </c>
      <c r="F110" t="s">
        <v>1209</v>
      </c>
      <c r="G110" t="s">
        <v>5</v>
      </c>
      <c r="H110" t="s">
        <v>4</v>
      </c>
      <c r="I110" t="s">
        <v>229</v>
      </c>
      <c r="J110">
        <v>60018491</v>
      </c>
      <c r="K110" t="s">
        <v>1208</v>
      </c>
      <c r="L110" t="s">
        <v>1207</v>
      </c>
      <c r="M110" t="s">
        <v>30</v>
      </c>
      <c r="N110">
        <v>5</v>
      </c>
      <c r="O110" t="s">
        <v>1206</v>
      </c>
      <c r="P110" t="s">
        <v>1205</v>
      </c>
      <c r="Q110" t="s">
        <v>1204</v>
      </c>
      <c r="R110" s="7">
        <v>34274</v>
      </c>
      <c r="S110" s="8">
        <f t="shared" si="8"/>
        <v>1993</v>
      </c>
      <c r="T110" s="8">
        <v>1993</v>
      </c>
      <c r="U110" s="8">
        <f t="shared" si="9"/>
        <v>29</v>
      </c>
      <c r="V110" s="7">
        <v>34274</v>
      </c>
      <c r="W110" t="s">
        <v>232</v>
      </c>
      <c r="X110" s="2">
        <v>0.85499999999999998</v>
      </c>
      <c r="Y110" s="6">
        <f t="shared" si="10"/>
        <v>2.28237366861536E-2</v>
      </c>
      <c r="AA110">
        <v>980331</v>
      </c>
      <c r="AB110">
        <v>23342</v>
      </c>
      <c r="AC110">
        <v>15731561</v>
      </c>
      <c r="AD110" t="s">
        <v>2</v>
      </c>
      <c r="AE110">
        <v>19</v>
      </c>
      <c r="AF110">
        <v>11</v>
      </c>
      <c r="AH110" t="s">
        <v>1203</v>
      </c>
      <c r="AI110" t="s">
        <v>1202</v>
      </c>
      <c r="AJ110" t="s">
        <v>1201</v>
      </c>
      <c r="AK110" t="s">
        <v>1200</v>
      </c>
      <c r="AL110">
        <v>16</v>
      </c>
      <c r="AM110" s="5">
        <f t="shared" si="11"/>
        <v>0.55172413793103448</v>
      </c>
      <c r="AN110" s="4">
        <f t="shared" si="12"/>
        <v>8.3562913734348278E-4</v>
      </c>
      <c r="AO110" s="3"/>
      <c r="AP110">
        <v>0</v>
      </c>
      <c r="AR110" t="s">
        <v>1</v>
      </c>
      <c r="AT110" s="2">
        <v>2.6259999999999999</v>
      </c>
      <c r="AU110" s="1">
        <f t="shared" si="13"/>
        <v>1.6227304421510564</v>
      </c>
      <c r="AV110" s="1">
        <f t="shared" si="14"/>
        <v>1.182968291174854</v>
      </c>
      <c r="AW110" s="1">
        <f t="shared" si="15"/>
        <v>0.74320614019865183</v>
      </c>
    </row>
    <row r="111" spans="1:49" x14ac:dyDescent="0.2">
      <c r="A111">
        <v>109</v>
      </c>
      <c r="B111" t="s">
        <v>1199</v>
      </c>
      <c r="C111" t="s">
        <v>1198</v>
      </c>
      <c r="F111" t="s">
        <v>1197</v>
      </c>
      <c r="G111" t="s">
        <v>5</v>
      </c>
      <c r="H111" t="s">
        <v>4</v>
      </c>
      <c r="I111" t="s">
        <v>1196</v>
      </c>
      <c r="J111">
        <v>60025038</v>
      </c>
      <c r="K111" t="s">
        <v>132</v>
      </c>
      <c r="L111" t="s">
        <v>131</v>
      </c>
      <c r="M111" t="s">
        <v>3</v>
      </c>
      <c r="N111">
        <v>3</v>
      </c>
      <c r="O111" t="s">
        <v>1195</v>
      </c>
      <c r="P111" t="s">
        <v>1194</v>
      </c>
      <c r="Q111" t="s">
        <v>1193</v>
      </c>
      <c r="R111" s="7">
        <v>34274</v>
      </c>
      <c r="S111" s="8">
        <f t="shared" si="8"/>
        <v>1993</v>
      </c>
      <c r="T111" s="8">
        <v>1993</v>
      </c>
      <c r="U111" s="8">
        <f t="shared" si="9"/>
        <v>29</v>
      </c>
      <c r="V111" s="7">
        <v>34274</v>
      </c>
      <c r="W111" t="s">
        <v>20</v>
      </c>
      <c r="X111" s="2">
        <v>1.1579999999999999</v>
      </c>
      <c r="Y111" s="6">
        <f t="shared" si="10"/>
        <v>3.0912148634579962E-2</v>
      </c>
      <c r="AA111">
        <v>1668595</v>
      </c>
      <c r="AB111">
        <v>14223</v>
      </c>
      <c r="AC111">
        <v>15735079</v>
      </c>
      <c r="AD111" t="s">
        <v>2</v>
      </c>
      <c r="AE111">
        <v>38</v>
      </c>
      <c r="AF111">
        <v>2</v>
      </c>
      <c r="AH111" t="s">
        <v>1192</v>
      </c>
      <c r="AI111" t="s">
        <v>1191</v>
      </c>
      <c r="AJ111" t="s">
        <v>1190</v>
      </c>
      <c r="AK111" t="s">
        <v>1189</v>
      </c>
      <c r="AL111">
        <v>51</v>
      </c>
      <c r="AM111" s="5">
        <f t="shared" si="11"/>
        <v>1.7586206896551724</v>
      </c>
      <c r="AN111" s="4">
        <f t="shared" si="12"/>
        <v>2.6635678752823513E-3</v>
      </c>
      <c r="AO111" s="3"/>
      <c r="AP111">
        <v>0</v>
      </c>
      <c r="AR111" t="s">
        <v>1</v>
      </c>
      <c r="AT111" s="2">
        <v>3.573</v>
      </c>
      <c r="AU111" s="1">
        <f t="shared" si="13"/>
        <v>2.2437574406790675</v>
      </c>
      <c r="AV111" s="1">
        <f t="shared" si="14"/>
        <v>1.6787858254931156</v>
      </c>
      <c r="AW111" s="1">
        <f t="shared" si="15"/>
        <v>1.1138142103071635</v>
      </c>
    </row>
    <row r="112" spans="1:49" x14ac:dyDescent="0.2">
      <c r="A112">
        <v>110</v>
      </c>
      <c r="B112" t="s">
        <v>1188</v>
      </c>
      <c r="C112" t="s">
        <v>1187</v>
      </c>
      <c r="F112" t="s">
        <v>1186</v>
      </c>
      <c r="G112" t="s">
        <v>5</v>
      </c>
      <c r="H112" t="s">
        <v>4</v>
      </c>
      <c r="I112" t="s">
        <v>1185</v>
      </c>
      <c r="J112" t="s">
        <v>1184</v>
      </c>
      <c r="K112" t="s">
        <v>1183</v>
      </c>
      <c r="L112" t="s">
        <v>1182</v>
      </c>
      <c r="M112" t="s">
        <v>121</v>
      </c>
      <c r="N112">
        <v>2</v>
      </c>
      <c r="O112" t="s">
        <v>1181</v>
      </c>
      <c r="P112" t="s">
        <v>1180</v>
      </c>
      <c r="Q112" t="s">
        <v>1179</v>
      </c>
      <c r="R112" s="7">
        <v>34274</v>
      </c>
      <c r="S112" s="8">
        <f t="shared" si="8"/>
        <v>1993</v>
      </c>
      <c r="T112" s="8">
        <v>1993</v>
      </c>
      <c r="U112" s="8">
        <f t="shared" si="9"/>
        <v>29</v>
      </c>
      <c r="V112" s="7">
        <v>34274</v>
      </c>
      <c r="W112" t="s">
        <v>1178</v>
      </c>
      <c r="X112" s="2">
        <v>0.53400000000000003</v>
      </c>
      <c r="Y112" s="6">
        <f t="shared" si="10"/>
        <v>1.4254825018018741E-2</v>
      </c>
      <c r="AA112">
        <v>8927553</v>
      </c>
      <c r="AB112">
        <v>20484</v>
      </c>
      <c r="AC112">
        <v>15728889</v>
      </c>
      <c r="AD112" t="s">
        <v>2</v>
      </c>
      <c r="AE112">
        <v>6</v>
      </c>
      <c r="AF112">
        <v>6</v>
      </c>
      <c r="AH112" t="s">
        <v>1177</v>
      </c>
      <c r="AI112" t="s">
        <v>1176</v>
      </c>
      <c r="AJ112" t="s">
        <v>1175</v>
      </c>
      <c r="AK112" t="s">
        <v>1174</v>
      </c>
      <c r="AL112">
        <v>64</v>
      </c>
      <c r="AM112" s="5">
        <f t="shared" si="11"/>
        <v>2.2068965517241379</v>
      </c>
      <c r="AN112" s="4">
        <f t="shared" si="12"/>
        <v>3.3425165493739311E-3</v>
      </c>
      <c r="AO112" s="3"/>
      <c r="AP112">
        <v>0</v>
      </c>
      <c r="AR112" t="s">
        <v>1</v>
      </c>
      <c r="AT112" s="2">
        <v>1.3089999999999999</v>
      </c>
      <c r="AU112" s="1">
        <f t="shared" si="13"/>
        <v>1.0981132477425297</v>
      </c>
      <c r="AV112" s="1">
        <f t="shared" si="14"/>
        <v>0.87986707836963363</v>
      </c>
      <c r="AW112" s="1">
        <f t="shared" si="15"/>
        <v>0.66162090899673731</v>
      </c>
    </row>
    <row r="113" spans="1:49" x14ac:dyDescent="0.2">
      <c r="A113">
        <v>111</v>
      </c>
      <c r="B113" t="s">
        <v>1173</v>
      </c>
      <c r="C113" t="s">
        <v>1172</v>
      </c>
      <c r="F113" t="s">
        <v>1171</v>
      </c>
      <c r="G113" t="s">
        <v>5</v>
      </c>
      <c r="H113" t="s">
        <v>4</v>
      </c>
      <c r="I113" t="s">
        <v>1170</v>
      </c>
      <c r="J113" t="s">
        <v>1169</v>
      </c>
      <c r="K113" t="s">
        <v>1168</v>
      </c>
      <c r="L113" t="s">
        <v>1167</v>
      </c>
      <c r="M113" t="s">
        <v>1166</v>
      </c>
      <c r="N113">
        <v>3</v>
      </c>
      <c r="O113" t="s">
        <v>1165</v>
      </c>
      <c r="P113" t="s">
        <v>1164</v>
      </c>
      <c r="Q113" t="s">
        <v>1163</v>
      </c>
      <c r="R113" s="7">
        <v>34274</v>
      </c>
      <c r="S113" s="8">
        <f t="shared" si="8"/>
        <v>1993</v>
      </c>
      <c r="T113" s="8">
        <v>1993</v>
      </c>
      <c r="U113" s="8">
        <f t="shared" si="9"/>
        <v>29</v>
      </c>
      <c r="V113" s="7">
        <v>34274</v>
      </c>
      <c r="W113" t="s">
        <v>20</v>
      </c>
      <c r="X113" s="2">
        <v>1.1579999999999999</v>
      </c>
      <c r="Y113" s="6">
        <f t="shared" si="10"/>
        <v>3.0912148634579962E-2</v>
      </c>
      <c r="AA113">
        <v>1668595</v>
      </c>
      <c r="AB113">
        <v>14223</v>
      </c>
      <c r="AC113">
        <v>15735079</v>
      </c>
      <c r="AD113" t="s">
        <v>2</v>
      </c>
      <c r="AE113">
        <v>38</v>
      </c>
      <c r="AF113">
        <v>2</v>
      </c>
      <c r="AH113" t="s">
        <v>1162</v>
      </c>
      <c r="AI113" t="s">
        <v>1161</v>
      </c>
      <c r="AJ113" t="s">
        <v>1160</v>
      </c>
      <c r="AK113" t="s">
        <v>1159</v>
      </c>
      <c r="AL113">
        <v>69</v>
      </c>
      <c r="AM113" s="5">
        <f t="shared" si="11"/>
        <v>2.3793103448275863</v>
      </c>
      <c r="AN113" s="4">
        <f t="shared" si="12"/>
        <v>3.6036506547937695E-3</v>
      </c>
      <c r="AO113" s="3"/>
      <c r="AP113">
        <v>0</v>
      </c>
      <c r="AR113" t="s">
        <v>1</v>
      </c>
      <c r="AT113" s="2">
        <v>3.573</v>
      </c>
      <c r="AU113" s="1">
        <f t="shared" si="13"/>
        <v>2.2719599240644102</v>
      </c>
      <c r="AV113" s="1">
        <f t="shared" si="14"/>
        <v>1.7257899644686867</v>
      </c>
      <c r="AW113" s="1">
        <f t="shared" si="15"/>
        <v>1.1796200048729628</v>
      </c>
    </row>
    <row r="114" spans="1:49" x14ac:dyDescent="0.2">
      <c r="A114">
        <v>112</v>
      </c>
      <c r="B114" t="s">
        <v>1158</v>
      </c>
      <c r="C114" t="s">
        <v>1157</v>
      </c>
      <c r="D114" t="s">
        <v>1156</v>
      </c>
      <c r="F114" t="s">
        <v>1155</v>
      </c>
      <c r="G114" t="s">
        <v>5</v>
      </c>
      <c r="H114" t="s">
        <v>4</v>
      </c>
      <c r="I114" t="s">
        <v>1154</v>
      </c>
      <c r="J114" t="s">
        <v>1153</v>
      </c>
      <c r="K114" t="s">
        <v>1152</v>
      </c>
      <c r="L114" t="s">
        <v>1151</v>
      </c>
      <c r="M114" t="s">
        <v>1150</v>
      </c>
      <c r="N114">
        <v>4</v>
      </c>
      <c r="O114" t="s">
        <v>1149</v>
      </c>
      <c r="P114" t="s">
        <v>1148</v>
      </c>
      <c r="Q114" t="s">
        <v>1147</v>
      </c>
      <c r="R114" s="7">
        <v>34246</v>
      </c>
      <c r="S114" s="8">
        <f t="shared" si="8"/>
        <v>1993</v>
      </c>
      <c r="T114" s="8">
        <v>1993</v>
      </c>
      <c r="U114" s="8">
        <f t="shared" si="9"/>
        <v>29</v>
      </c>
      <c r="V114" s="7">
        <v>34246</v>
      </c>
      <c r="W114" t="s">
        <v>219</v>
      </c>
      <c r="X114" s="2">
        <v>1.59</v>
      </c>
      <c r="Y114" s="6">
        <f t="shared" si="10"/>
        <v>4.2444141907583888E-2</v>
      </c>
      <c r="AA114">
        <v>52728</v>
      </c>
      <c r="AB114">
        <v>16791</v>
      </c>
      <c r="AD114" t="s">
        <v>2</v>
      </c>
      <c r="AE114">
        <v>1144</v>
      </c>
      <c r="AF114">
        <v>3</v>
      </c>
      <c r="AH114" t="s">
        <v>1146</v>
      </c>
      <c r="AI114" t="s">
        <v>1145</v>
      </c>
      <c r="AJ114" t="s">
        <v>1144</v>
      </c>
      <c r="AK114" t="s">
        <v>1143</v>
      </c>
      <c r="AL114">
        <v>11</v>
      </c>
      <c r="AM114" s="5">
        <f t="shared" si="11"/>
        <v>0.37931034482758619</v>
      </c>
      <c r="AN114" s="4">
        <f t="shared" si="12"/>
        <v>5.7449503192364435E-4</v>
      </c>
      <c r="AO114" s="3"/>
      <c r="AP114">
        <v>0</v>
      </c>
      <c r="AR114" t="s">
        <v>1</v>
      </c>
      <c r="AT114" s="2" t="s">
        <v>0</v>
      </c>
      <c r="AU114" s="1">
        <f t="shared" si="13"/>
        <v>2.9883247844885812</v>
      </c>
      <c r="AV114" s="1">
        <f t="shared" si="14"/>
        <v>2.1509318469753769</v>
      </c>
      <c r="AW114" s="1">
        <f t="shared" si="15"/>
        <v>1.3135389094621717</v>
      </c>
    </row>
    <row r="115" spans="1:49" x14ac:dyDescent="0.2">
      <c r="A115">
        <v>113</v>
      </c>
      <c r="B115" t="s">
        <v>1142</v>
      </c>
      <c r="C115" t="s">
        <v>1141</v>
      </c>
      <c r="D115" t="s">
        <v>1140</v>
      </c>
      <c r="F115" t="s">
        <v>1139</v>
      </c>
      <c r="G115" t="s">
        <v>5</v>
      </c>
      <c r="H115" t="s">
        <v>4</v>
      </c>
      <c r="I115" t="s">
        <v>1138</v>
      </c>
      <c r="J115" t="s">
        <v>1137</v>
      </c>
      <c r="K115" t="s">
        <v>1136</v>
      </c>
      <c r="L115" t="s">
        <v>1135</v>
      </c>
      <c r="M115" t="s">
        <v>17</v>
      </c>
      <c r="N115">
        <v>7</v>
      </c>
      <c r="O115" t="s">
        <v>1134</v>
      </c>
      <c r="P115" t="s">
        <v>1133</v>
      </c>
      <c r="Q115" t="s">
        <v>1132</v>
      </c>
      <c r="R115" s="7">
        <v>34246</v>
      </c>
      <c r="S115" s="8">
        <f t="shared" si="8"/>
        <v>1993</v>
      </c>
      <c r="T115" s="8">
        <v>1993</v>
      </c>
      <c r="U115" s="8">
        <f t="shared" si="9"/>
        <v>29</v>
      </c>
      <c r="V115" s="7">
        <v>34246</v>
      </c>
      <c r="W115" t="s">
        <v>219</v>
      </c>
      <c r="X115" s="2">
        <v>1.59</v>
      </c>
      <c r="Y115" s="6">
        <f t="shared" si="10"/>
        <v>4.2444141907583888E-2</v>
      </c>
      <c r="AA115">
        <v>52728</v>
      </c>
      <c r="AB115">
        <v>16791</v>
      </c>
      <c r="AD115" t="s">
        <v>2</v>
      </c>
      <c r="AE115">
        <v>1144</v>
      </c>
      <c r="AF115">
        <v>3</v>
      </c>
      <c r="AH115" t="s">
        <v>1131</v>
      </c>
      <c r="AI115" t="s">
        <v>1130</v>
      </c>
      <c r="AJ115" t="s">
        <v>1129</v>
      </c>
      <c r="AK115" t="s">
        <v>1128</v>
      </c>
      <c r="AL115">
        <v>30</v>
      </c>
      <c r="AM115" s="5">
        <f t="shared" si="11"/>
        <v>1.0344827586206897</v>
      </c>
      <c r="AN115" s="4">
        <f t="shared" si="12"/>
        <v>1.5668046325190302E-3</v>
      </c>
      <c r="AO115" s="3"/>
      <c r="AP115">
        <v>0</v>
      </c>
      <c r="AR115" t="s">
        <v>1127</v>
      </c>
      <c r="AT115" s="2" t="s">
        <v>0</v>
      </c>
      <c r="AU115" s="1">
        <f t="shared" si="13"/>
        <v>3.0180940725064427</v>
      </c>
      <c r="AV115" s="1">
        <f t="shared" si="14"/>
        <v>2.2005473270051459</v>
      </c>
      <c r="AW115" s="1">
        <f t="shared" si="15"/>
        <v>1.3830005815038486</v>
      </c>
    </row>
    <row r="116" spans="1:49" x14ac:dyDescent="0.2">
      <c r="A116">
        <v>114</v>
      </c>
      <c r="B116" t="s">
        <v>1126</v>
      </c>
      <c r="C116" t="s">
        <v>1125</v>
      </c>
      <c r="F116" t="s">
        <v>1124</v>
      </c>
      <c r="G116" t="s">
        <v>5</v>
      </c>
      <c r="H116" t="s">
        <v>4</v>
      </c>
      <c r="I116" t="s">
        <v>1123</v>
      </c>
      <c r="J116">
        <v>60032882</v>
      </c>
      <c r="K116" t="s">
        <v>150</v>
      </c>
      <c r="L116" t="s">
        <v>149</v>
      </c>
      <c r="M116" t="s">
        <v>43</v>
      </c>
      <c r="N116">
        <v>2</v>
      </c>
      <c r="O116" t="s">
        <v>1122</v>
      </c>
      <c r="P116" t="s">
        <v>1121</v>
      </c>
      <c r="Q116" t="s">
        <v>148</v>
      </c>
      <c r="R116" s="7">
        <v>34243</v>
      </c>
      <c r="S116" s="8">
        <f t="shared" si="8"/>
        <v>1993</v>
      </c>
      <c r="T116" s="8">
        <v>1993</v>
      </c>
      <c r="U116" s="8">
        <f t="shared" si="9"/>
        <v>29</v>
      </c>
      <c r="V116" s="7">
        <v>34243</v>
      </c>
      <c r="W116" t="s">
        <v>109</v>
      </c>
      <c r="X116" s="2">
        <v>0.61499999999999999</v>
      </c>
      <c r="Y116" s="6">
        <f t="shared" si="10"/>
        <v>1.6417073756706976E-2</v>
      </c>
      <c r="AA116">
        <v>1959271</v>
      </c>
      <c r="AB116">
        <v>12141</v>
      </c>
      <c r="AC116">
        <v>15729559</v>
      </c>
      <c r="AD116" t="s">
        <v>2</v>
      </c>
      <c r="AE116">
        <v>14</v>
      </c>
      <c r="AF116">
        <v>10</v>
      </c>
      <c r="AH116" t="s">
        <v>1120</v>
      </c>
      <c r="AI116" t="s">
        <v>1119</v>
      </c>
      <c r="AK116" t="s">
        <v>1118</v>
      </c>
      <c r="AL116">
        <v>0</v>
      </c>
      <c r="AM116" s="5">
        <f t="shared" si="11"/>
        <v>0</v>
      </c>
      <c r="AN116" s="4">
        <f t="shared" si="12"/>
        <v>0</v>
      </c>
      <c r="AO116" s="3"/>
      <c r="AP116">
        <v>0</v>
      </c>
      <c r="AR116" t="s">
        <v>1</v>
      </c>
      <c r="AT116" s="2" t="s">
        <v>0</v>
      </c>
      <c r="AU116" s="1">
        <f t="shared" si="13"/>
        <v>1.1491951629694881</v>
      </c>
      <c r="AV116" s="1">
        <f t="shared" si="14"/>
        <v>0.82085368783534873</v>
      </c>
      <c r="AW116" s="1">
        <f t="shared" si="15"/>
        <v>0.49251221270120926</v>
      </c>
    </row>
    <row r="117" spans="1:49" x14ac:dyDescent="0.2">
      <c r="A117">
        <v>115</v>
      </c>
      <c r="B117" t="s">
        <v>1117</v>
      </c>
      <c r="C117" t="s">
        <v>1116</v>
      </c>
      <c r="F117" t="s">
        <v>1115</v>
      </c>
      <c r="G117" t="s">
        <v>5</v>
      </c>
      <c r="H117" t="s">
        <v>4</v>
      </c>
      <c r="I117" t="s">
        <v>1114</v>
      </c>
      <c r="J117" t="s">
        <v>1113</v>
      </c>
      <c r="K117" t="s">
        <v>1112</v>
      </c>
      <c r="L117" t="s">
        <v>1111</v>
      </c>
      <c r="M117" t="s">
        <v>6</v>
      </c>
      <c r="N117">
        <v>6</v>
      </c>
      <c r="O117" t="s">
        <v>1110</v>
      </c>
      <c r="P117" t="s">
        <v>1109</v>
      </c>
      <c r="Q117" t="s">
        <v>1108</v>
      </c>
      <c r="R117" s="7">
        <v>34243</v>
      </c>
      <c r="S117" s="8">
        <f t="shared" si="8"/>
        <v>1993</v>
      </c>
      <c r="T117" s="8">
        <v>1993</v>
      </c>
      <c r="U117" s="8">
        <f t="shared" si="9"/>
        <v>29</v>
      </c>
      <c r="V117" s="7">
        <v>34243</v>
      </c>
      <c r="W117" t="s">
        <v>1107</v>
      </c>
      <c r="X117" s="2">
        <v>0.32</v>
      </c>
      <c r="Y117" s="6">
        <f t="shared" si="10"/>
        <v>8.5422172392621669E-3</v>
      </c>
      <c r="AA117">
        <v>2534134</v>
      </c>
      <c r="AB117">
        <v>19600164700</v>
      </c>
      <c r="AC117">
        <v>9737103</v>
      </c>
      <c r="AD117" t="s">
        <v>2</v>
      </c>
      <c r="AE117">
        <v>105</v>
      </c>
      <c r="AF117">
        <v>6</v>
      </c>
      <c r="AH117" t="s">
        <v>1106</v>
      </c>
      <c r="AI117" t="s">
        <v>1105</v>
      </c>
      <c r="AJ117" t="s">
        <v>1104</v>
      </c>
      <c r="AK117" t="s">
        <v>1103</v>
      </c>
      <c r="AL117">
        <v>7</v>
      </c>
      <c r="AM117" s="5">
        <f t="shared" si="11"/>
        <v>0.2413793103448276</v>
      </c>
      <c r="AN117" s="4">
        <f t="shared" si="12"/>
        <v>3.655877475877737E-4</v>
      </c>
      <c r="AO117" s="3"/>
      <c r="AP117">
        <v>1</v>
      </c>
      <c r="AR117" t="s">
        <v>1</v>
      </c>
      <c r="AT117" s="2">
        <v>1.573</v>
      </c>
      <c r="AU117" s="1">
        <f t="shared" si="13"/>
        <v>0.60892283917598478</v>
      </c>
      <c r="AV117" s="1">
        <f t="shared" si="14"/>
        <v>0.44539024934249705</v>
      </c>
      <c r="AW117" s="1">
        <f t="shared" si="15"/>
        <v>0.28185765950900915</v>
      </c>
    </row>
    <row r="118" spans="1:49" x14ac:dyDescent="0.2">
      <c r="A118">
        <v>116</v>
      </c>
      <c r="B118" t="s">
        <v>1102</v>
      </c>
      <c r="F118" t="s">
        <v>1101</v>
      </c>
      <c r="G118" t="s">
        <v>5</v>
      </c>
      <c r="H118" t="s">
        <v>4</v>
      </c>
      <c r="I118" t="s">
        <v>1100</v>
      </c>
      <c r="J118">
        <v>60031293</v>
      </c>
      <c r="K118" t="s">
        <v>169</v>
      </c>
      <c r="L118" t="s">
        <v>14</v>
      </c>
      <c r="M118" t="s">
        <v>13</v>
      </c>
      <c r="N118">
        <v>4</v>
      </c>
      <c r="O118" t="s">
        <v>1099</v>
      </c>
      <c r="P118" t="s">
        <v>1098</v>
      </c>
      <c r="Q118" t="s">
        <v>1097</v>
      </c>
      <c r="R118" s="7">
        <v>34243</v>
      </c>
      <c r="S118" s="8">
        <f t="shared" si="8"/>
        <v>1993</v>
      </c>
      <c r="T118" s="8">
        <v>1993</v>
      </c>
      <c r="U118" s="8">
        <f t="shared" si="9"/>
        <v>29</v>
      </c>
      <c r="V118" s="7">
        <v>34243</v>
      </c>
      <c r="W118" t="s">
        <v>76</v>
      </c>
      <c r="X118" s="2">
        <v>0.21099999999999999</v>
      </c>
      <c r="Y118" s="6">
        <f t="shared" si="10"/>
        <v>5.6325244921384904E-3</v>
      </c>
      <c r="AA118">
        <v>9168516</v>
      </c>
      <c r="AB118">
        <v>18936</v>
      </c>
      <c r="AD118" t="s">
        <v>2</v>
      </c>
      <c r="AE118" t="s">
        <v>75</v>
      </c>
      <c r="AF118">
        <v>10</v>
      </c>
      <c r="AH118" t="s">
        <v>1096</v>
      </c>
      <c r="AI118" t="s">
        <v>1095</v>
      </c>
      <c r="AK118" t="s">
        <v>1094</v>
      </c>
      <c r="AL118">
        <v>8</v>
      </c>
      <c r="AM118" s="5">
        <f t="shared" si="11"/>
        <v>0.27586206896551724</v>
      </c>
      <c r="AN118" s="4">
        <f t="shared" si="12"/>
        <v>4.1781456867174139E-4</v>
      </c>
      <c r="AO118" s="3"/>
      <c r="AP118">
        <v>0</v>
      </c>
      <c r="AR118" t="s">
        <v>1</v>
      </c>
      <c r="AT118" s="2">
        <v>0.52500000000000002</v>
      </c>
      <c r="AU118" s="1">
        <f t="shared" si="13"/>
        <v>0.40681115150984648</v>
      </c>
      <c r="AV118" s="1">
        <f t="shared" si="14"/>
        <v>0.30251695304051157</v>
      </c>
      <c r="AW118" s="1">
        <f t="shared" si="15"/>
        <v>0.19822275457117661</v>
      </c>
    </row>
    <row r="119" spans="1:49" x14ac:dyDescent="0.2">
      <c r="A119">
        <v>117</v>
      </c>
      <c r="B119" t="s">
        <v>1093</v>
      </c>
      <c r="C119" t="s">
        <v>1092</v>
      </c>
      <c r="F119" t="s">
        <v>1091</v>
      </c>
      <c r="G119" t="s">
        <v>5</v>
      </c>
      <c r="H119" t="s">
        <v>4</v>
      </c>
      <c r="I119" t="s">
        <v>1090</v>
      </c>
      <c r="J119" t="s">
        <v>1089</v>
      </c>
      <c r="K119" t="s">
        <v>1088</v>
      </c>
      <c r="L119" t="s">
        <v>1087</v>
      </c>
      <c r="M119" t="s">
        <v>1086</v>
      </c>
      <c r="N119">
        <v>4</v>
      </c>
      <c r="O119" t="s">
        <v>1085</v>
      </c>
      <c r="P119" t="s">
        <v>1084</v>
      </c>
      <c r="Q119" t="s">
        <v>1083</v>
      </c>
      <c r="R119" s="7">
        <v>34243</v>
      </c>
      <c r="S119" s="8">
        <f t="shared" si="8"/>
        <v>1993</v>
      </c>
      <c r="T119" s="8">
        <v>1993</v>
      </c>
      <c r="U119" s="8">
        <f t="shared" si="9"/>
        <v>29</v>
      </c>
      <c r="V119" s="7">
        <v>34243</v>
      </c>
      <c r="W119" t="s">
        <v>1082</v>
      </c>
      <c r="X119" s="2">
        <v>0.312</v>
      </c>
      <c r="Y119" s="6">
        <f t="shared" si="10"/>
        <v>8.3286618082806119E-3</v>
      </c>
      <c r="AA119">
        <v>9540695</v>
      </c>
      <c r="AB119">
        <v>61637</v>
      </c>
      <c r="AD119" t="s">
        <v>2</v>
      </c>
      <c r="AE119">
        <v>5</v>
      </c>
      <c r="AF119">
        <v>5</v>
      </c>
      <c r="AH119" t="s">
        <v>1081</v>
      </c>
      <c r="AI119" t="s">
        <v>1080</v>
      </c>
      <c r="AK119" t="s">
        <v>1079</v>
      </c>
      <c r="AL119">
        <v>0</v>
      </c>
      <c r="AM119" s="5">
        <f t="shared" si="11"/>
        <v>0</v>
      </c>
      <c r="AN119" s="4">
        <f t="shared" si="12"/>
        <v>0</v>
      </c>
      <c r="AO119" s="3"/>
      <c r="AP119">
        <v>0</v>
      </c>
      <c r="AR119" t="s">
        <v>1</v>
      </c>
      <c r="AT119" s="2" t="s">
        <v>0</v>
      </c>
      <c r="AU119" s="1">
        <f t="shared" si="13"/>
        <v>0.5830063265796428</v>
      </c>
      <c r="AV119" s="1">
        <f t="shared" si="14"/>
        <v>0.41643309041403059</v>
      </c>
      <c r="AW119" s="1">
        <f t="shared" si="15"/>
        <v>0.24985985424841833</v>
      </c>
    </row>
    <row r="120" spans="1:49" x14ac:dyDescent="0.2">
      <c r="A120">
        <v>118</v>
      </c>
      <c r="B120" t="s">
        <v>1078</v>
      </c>
      <c r="F120" t="s">
        <v>1077</v>
      </c>
      <c r="G120" t="s">
        <v>5</v>
      </c>
      <c r="H120" t="s">
        <v>4</v>
      </c>
      <c r="I120" t="s">
        <v>1076</v>
      </c>
      <c r="J120">
        <v>100706444</v>
      </c>
      <c r="K120" t="s">
        <v>1067</v>
      </c>
      <c r="N120">
        <v>2</v>
      </c>
      <c r="O120" t="s">
        <v>1075</v>
      </c>
      <c r="P120" t="s">
        <v>1074</v>
      </c>
      <c r="Q120" t="s">
        <v>1064</v>
      </c>
      <c r="R120" s="7">
        <v>34243</v>
      </c>
      <c r="S120" s="8">
        <f t="shared" si="8"/>
        <v>1993</v>
      </c>
      <c r="T120" s="8">
        <v>1993</v>
      </c>
      <c r="U120" s="8">
        <f t="shared" si="9"/>
        <v>29</v>
      </c>
      <c r="V120" s="7">
        <v>34243</v>
      </c>
      <c r="W120" t="s">
        <v>1063</v>
      </c>
      <c r="X120" s="2">
        <v>0.22</v>
      </c>
      <c r="Y120" s="6">
        <f t="shared" si="10"/>
        <v>5.8727743519927395E-3</v>
      </c>
      <c r="AA120">
        <v>2705214</v>
      </c>
      <c r="AB120">
        <v>28119</v>
      </c>
      <c r="AD120" t="s">
        <v>2</v>
      </c>
      <c r="AE120">
        <v>14</v>
      </c>
      <c r="AF120">
        <v>4</v>
      </c>
      <c r="AH120" t="s">
        <v>1073</v>
      </c>
      <c r="AI120" t="s">
        <v>1072</v>
      </c>
      <c r="AK120" t="s">
        <v>1071</v>
      </c>
      <c r="AL120">
        <v>5</v>
      </c>
      <c r="AM120" s="5">
        <f t="shared" si="11"/>
        <v>0.17241379310344829</v>
      </c>
      <c r="AN120" s="4">
        <f t="shared" si="12"/>
        <v>2.6113410541983838E-4</v>
      </c>
      <c r="AO120" s="3"/>
      <c r="AP120">
        <v>0</v>
      </c>
      <c r="AR120" t="s">
        <v>1</v>
      </c>
      <c r="AT120" s="2" t="s">
        <v>0</v>
      </c>
      <c r="AU120" s="1">
        <f t="shared" si="13"/>
        <v>0.41892822780208694</v>
      </c>
      <c r="AV120" s="1">
        <f t="shared" si="14"/>
        <v>0.3066954228706289</v>
      </c>
      <c r="AW120" s="1">
        <f t="shared" si="15"/>
        <v>0.19446261793917086</v>
      </c>
    </row>
    <row r="121" spans="1:49" x14ac:dyDescent="0.2">
      <c r="A121">
        <v>119</v>
      </c>
      <c r="B121" t="s">
        <v>1070</v>
      </c>
      <c r="F121" t="s">
        <v>1069</v>
      </c>
      <c r="G121" t="s">
        <v>5</v>
      </c>
      <c r="H121" t="s">
        <v>4</v>
      </c>
      <c r="I121" t="s">
        <v>1068</v>
      </c>
      <c r="J121">
        <v>100706444</v>
      </c>
      <c r="K121" t="s">
        <v>1067</v>
      </c>
      <c r="N121">
        <v>2</v>
      </c>
      <c r="O121" t="s">
        <v>1066</v>
      </c>
      <c r="P121" t="s">
        <v>1065</v>
      </c>
      <c r="Q121" t="s">
        <v>1064</v>
      </c>
      <c r="R121" s="7">
        <v>34243</v>
      </c>
      <c r="S121" s="8">
        <f t="shared" si="8"/>
        <v>1993</v>
      </c>
      <c r="T121" s="8">
        <v>1993</v>
      </c>
      <c r="U121" s="8">
        <f t="shared" si="9"/>
        <v>29</v>
      </c>
      <c r="V121" s="7">
        <v>34243</v>
      </c>
      <c r="W121" t="s">
        <v>1063</v>
      </c>
      <c r="X121" s="2">
        <v>0.22</v>
      </c>
      <c r="Y121" s="6">
        <f t="shared" si="10"/>
        <v>5.8727743519927395E-3</v>
      </c>
      <c r="AA121">
        <v>2705214</v>
      </c>
      <c r="AB121">
        <v>28119</v>
      </c>
      <c r="AD121" t="s">
        <v>2</v>
      </c>
      <c r="AE121">
        <v>14</v>
      </c>
      <c r="AF121">
        <v>4</v>
      </c>
      <c r="AH121" t="s">
        <v>1062</v>
      </c>
      <c r="AI121" t="s">
        <v>1061</v>
      </c>
      <c r="AK121" t="s">
        <v>1060</v>
      </c>
      <c r="AL121">
        <v>1</v>
      </c>
      <c r="AM121" s="5">
        <f t="shared" si="11"/>
        <v>3.4482758620689655E-2</v>
      </c>
      <c r="AN121" s="4">
        <f t="shared" si="12"/>
        <v>5.2226821083967674E-5</v>
      </c>
      <c r="AO121" s="3"/>
      <c r="AP121">
        <v>0</v>
      </c>
      <c r="AR121" t="s">
        <v>1</v>
      </c>
      <c r="AT121" s="2" t="s">
        <v>0</v>
      </c>
      <c r="AU121" s="1">
        <f t="shared" si="13"/>
        <v>0.41266100927201077</v>
      </c>
      <c r="AV121" s="1">
        <f t="shared" si="14"/>
        <v>0.29625005865383536</v>
      </c>
      <c r="AW121" s="1">
        <f t="shared" si="15"/>
        <v>0.17983910803565992</v>
      </c>
    </row>
    <row r="122" spans="1:49" x14ac:dyDescent="0.2">
      <c r="A122">
        <v>120</v>
      </c>
      <c r="B122" t="s">
        <v>1059</v>
      </c>
      <c r="F122" t="s">
        <v>1058</v>
      </c>
      <c r="G122" t="s">
        <v>5</v>
      </c>
      <c r="H122" t="s">
        <v>4</v>
      </c>
      <c r="I122" t="s">
        <v>1057</v>
      </c>
      <c r="J122">
        <v>60031293</v>
      </c>
      <c r="K122" t="s">
        <v>169</v>
      </c>
      <c r="L122" t="s">
        <v>14</v>
      </c>
      <c r="M122" t="s">
        <v>13</v>
      </c>
      <c r="N122">
        <v>6</v>
      </c>
      <c r="O122" t="s">
        <v>1056</v>
      </c>
      <c r="P122" t="s">
        <v>1055</v>
      </c>
      <c r="Q122" t="s">
        <v>1054</v>
      </c>
      <c r="R122" s="7">
        <v>34243</v>
      </c>
      <c r="S122" s="8">
        <f t="shared" si="8"/>
        <v>1993</v>
      </c>
      <c r="T122" s="8">
        <v>1993</v>
      </c>
      <c r="U122" s="8">
        <f t="shared" si="9"/>
        <v>29</v>
      </c>
      <c r="V122" s="7">
        <v>34243</v>
      </c>
      <c r="W122" t="s">
        <v>76</v>
      </c>
      <c r="X122" s="2">
        <v>0.21099999999999999</v>
      </c>
      <c r="Y122" s="6">
        <f t="shared" si="10"/>
        <v>5.6325244921384904E-3</v>
      </c>
      <c r="AA122">
        <v>9168516</v>
      </c>
      <c r="AB122">
        <v>18936</v>
      </c>
      <c r="AD122" t="s">
        <v>2</v>
      </c>
      <c r="AE122" t="s">
        <v>75</v>
      </c>
      <c r="AF122">
        <v>10</v>
      </c>
      <c r="AH122" t="s">
        <v>1053</v>
      </c>
      <c r="AI122" t="s">
        <v>1052</v>
      </c>
      <c r="AK122" t="s">
        <v>1051</v>
      </c>
      <c r="AL122">
        <v>1</v>
      </c>
      <c r="AM122" s="5">
        <f t="shared" si="11"/>
        <v>3.4482758620689655E-2</v>
      </c>
      <c r="AN122" s="4">
        <f t="shared" si="12"/>
        <v>5.2226821083967674E-5</v>
      </c>
      <c r="AO122" s="3"/>
      <c r="AP122">
        <v>0</v>
      </c>
      <c r="AR122" t="s">
        <v>1</v>
      </c>
      <c r="AT122" s="2">
        <v>0.52500000000000002</v>
      </c>
      <c r="AU122" s="1">
        <f t="shared" si="13"/>
        <v>0.39584351908221332</v>
      </c>
      <c r="AV122" s="1">
        <f t="shared" si="14"/>
        <v>0.2842375656611229</v>
      </c>
      <c r="AW122" s="1">
        <f t="shared" si="15"/>
        <v>0.17263161224003246</v>
      </c>
    </row>
    <row r="123" spans="1:49" x14ac:dyDescent="0.2">
      <c r="A123">
        <v>121</v>
      </c>
      <c r="B123" t="s">
        <v>1050</v>
      </c>
      <c r="F123" t="s">
        <v>1049</v>
      </c>
      <c r="G123" t="s">
        <v>5</v>
      </c>
      <c r="H123" t="s">
        <v>4</v>
      </c>
      <c r="I123" t="s">
        <v>1048</v>
      </c>
      <c r="J123">
        <v>60008435</v>
      </c>
      <c r="K123" t="s">
        <v>136</v>
      </c>
      <c r="L123" t="s">
        <v>135</v>
      </c>
      <c r="M123" t="s">
        <v>13</v>
      </c>
      <c r="N123">
        <v>4</v>
      </c>
      <c r="O123" t="s">
        <v>1047</v>
      </c>
      <c r="P123" t="s">
        <v>1046</v>
      </c>
      <c r="Q123" t="s">
        <v>1045</v>
      </c>
      <c r="R123" s="7">
        <v>34243</v>
      </c>
      <c r="S123" s="8">
        <f t="shared" si="8"/>
        <v>1993</v>
      </c>
      <c r="T123" s="8">
        <v>1993</v>
      </c>
      <c r="U123" s="8">
        <f t="shared" si="9"/>
        <v>29</v>
      </c>
      <c r="V123" s="7">
        <v>34243</v>
      </c>
      <c r="W123" t="s">
        <v>216</v>
      </c>
      <c r="X123" s="2">
        <v>0.182</v>
      </c>
      <c r="Y123" s="6">
        <f t="shared" si="10"/>
        <v>4.8583860548303574E-3</v>
      </c>
      <c r="AA123">
        <v>9168524</v>
      </c>
      <c r="AB123">
        <v>26075</v>
      </c>
      <c r="AD123" t="s">
        <v>2</v>
      </c>
      <c r="AE123" t="s">
        <v>215</v>
      </c>
      <c r="AF123">
        <v>10</v>
      </c>
      <c r="AH123" t="s">
        <v>1044</v>
      </c>
      <c r="AI123" t="s">
        <v>1043</v>
      </c>
      <c r="AK123" t="s">
        <v>1042</v>
      </c>
      <c r="AL123">
        <v>5</v>
      </c>
      <c r="AM123" s="5">
        <f t="shared" si="11"/>
        <v>0.17241379310344829</v>
      </c>
      <c r="AN123" s="4">
        <f t="shared" si="12"/>
        <v>2.6113410541983838E-4</v>
      </c>
      <c r="AO123" s="3"/>
      <c r="AP123">
        <v>0</v>
      </c>
      <c r="AR123" t="s">
        <v>1</v>
      </c>
      <c r="AT123" s="2">
        <v>0.35199999999999998</v>
      </c>
      <c r="AU123" s="1">
        <f t="shared" si="13"/>
        <v>0.34792104700072013</v>
      </c>
      <c r="AV123" s="1">
        <f t="shared" si="14"/>
        <v>0.2559760080125098</v>
      </c>
      <c r="AW123" s="1">
        <f t="shared" si="15"/>
        <v>0.16403096902429942</v>
      </c>
    </row>
    <row r="124" spans="1:49" x14ac:dyDescent="0.2">
      <c r="A124">
        <v>122</v>
      </c>
      <c r="B124" t="s">
        <v>1041</v>
      </c>
      <c r="F124" t="s">
        <v>1040</v>
      </c>
      <c r="G124" t="s">
        <v>5</v>
      </c>
      <c r="H124" t="s">
        <v>4</v>
      </c>
      <c r="I124" t="s">
        <v>1039</v>
      </c>
      <c r="J124">
        <v>60002561</v>
      </c>
      <c r="K124" t="s">
        <v>207</v>
      </c>
      <c r="L124" t="s">
        <v>14</v>
      </c>
      <c r="M124" t="s">
        <v>13</v>
      </c>
      <c r="N124">
        <v>3</v>
      </c>
      <c r="O124" t="s">
        <v>1038</v>
      </c>
      <c r="P124" t="s">
        <v>1037</v>
      </c>
      <c r="Q124" t="s">
        <v>1036</v>
      </c>
      <c r="R124" s="7">
        <v>34243</v>
      </c>
      <c r="S124" s="8">
        <f t="shared" si="8"/>
        <v>1993</v>
      </c>
      <c r="T124" s="8">
        <v>1993</v>
      </c>
      <c r="U124" s="8">
        <f t="shared" si="9"/>
        <v>29</v>
      </c>
      <c r="V124" s="7">
        <v>34243</v>
      </c>
      <c r="W124" t="s">
        <v>216</v>
      </c>
      <c r="X124" s="2">
        <v>0.182</v>
      </c>
      <c r="Y124" s="6">
        <f t="shared" si="10"/>
        <v>4.8583860548303574E-3</v>
      </c>
      <c r="AA124">
        <v>9168524</v>
      </c>
      <c r="AB124">
        <v>26075</v>
      </c>
      <c r="AD124" t="s">
        <v>2</v>
      </c>
      <c r="AE124" t="s">
        <v>215</v>
      </c>
      <c r="AF124">
        <v>10</v>
      </c>
      <c r="AH124" t="s">
        <v>1035</v>
      </c>
      <c r="AI124" t="s">
        <v>1034</v>
      </c>
      <c r="AK124" t="s">
        <v>1033</v>
      </c>
      <c r="AL124">
        <v>5</v>
      </c>
      <c r="AM124" s="5">
        <f t="shared" si="11"/>
        <v>0.17241379310344829</v>
      </c>
      <c r="AN124" s="4">
        <f t="shared" si="12"/>
        <v>2.6113410541983838E-4</v>
      </c>
      <c r="AO124" s="3"/>
      <c r="AP124">
        <v>0</v>
      </c>
      <c r="AR124" t="s">
        <v>1</v>
      </c>
      <c r="AT124" s="2">
        <v>0.35199999999999998</v>
      </c>
      <c r="AU124" s="1">
        <f t="shared" si="13"/>
        <v>0.34792104700072013</v>
      </c>
      <c r="AV124" s="1">
        <f t="shared" si="14"/>
        <v>0.2559760080125098</v>
      </c>
      <c r="AW124" s="1">
        <f t="shared" si="15"/>
        <v>0.16403096902429942</v>
      </c>
    </row>
    <row r="125" spans="1:49" x14ac:dyDescent="0.2">
      <c r="A125">
        <v>123</v>
      </c>
      <c r="B125" t="s">
        <v>1032</v>
      </c>
      <c r="F125" t="s">
        <v>1031</v>
      </c>
      <c r="G125" t="s">
        <v>5</v>
      </c>
      <c r="H125" t="s">
        <v>4</v>
      </c>
      <c r="I125" t="s">
        <v>1030</v>
      </c>
      <c r="J125">
        <v>60101699</v>
      </c>
      <c r="K125" t="s">
        <v>122</v>
      </c>
      <c r="L125" t="s">
        <v>14</v>
      </c>
      <c r="M125" t="s">
        <v>13</v>
      </c>
      <c r="N125">
        <v>5</v>
      </c>
      <c r="O125" t="s">
        <v>1029</v>
      </c>
      <c r="P125" t="s">
        <v>1028</v>
      </c>
      <c r="Q125" t="s">
        <v>173</v>
      </c>
      <c r="R125" s="7">
        <v>34243</v>
      </c>
      <c r="S125" s="8">
        <f t="shared" si="8"/>
        <v>1993</v>
      </c>
      <c r="T125" s="8">
        <v>1993</v>
      </c>
      <c r="U125" s="8">
        <f t="shared" si="9"/>
        <v>29</v>
      </c>
      <c r="V125" s="7">
        <v>34243</v>
      </c>
      <c r="W125" t="s">
        <v>76</v>
      </c>
      <c r="X125" s="2">
        <v>0.21099999999999999</v>
      </c>
      <c r="Y125" s="6">
        <f t="shared" si="10"/>
        <v>5.6325244921384904E-3</v>
      </c>
      <c r="AA125">
        <v>9168516</v>
      </c>
      <c r="AB125">
        <v>18936</v>
      </c>
      <c r="AD125" t="s">
        <v>2</v>
      </c>
      <c r="AE125" t="s">
        <v>75</v>
      </c>
      <c r="AF125">
        <v>10</v>
      </c>
      <c r="AH125" t="s">
        <v>1027</v>
      </c>
      <c r="AI125" t="s">
        <v>1026</v>
      </c>
      <c r="AK125" t="s">
        <v>1025</v>
      </c>
      <c r="AL125">
        <v>1</v>
      </c>
      <c r="AM125" s="5">
        <f t="shared" si="11"/>
        <v>3.4482758620689655E-2</v>
      </c>
      <c r="AN125" s="4">
        <f t="shared" si="12"/>
        <v>5.2226821083967674E-5</v>
      </c>
      <c r="AO125" s="3"/>
      <c r="AP125">
        <v>0</v>
      </c>
      <c r="AR125" t="s">
        <v>1</v>
      </c>
      <c r="AT125" s="2">
        <v>0.52500000000000002</v>
      </c>
      <c r="AU125" s="1">
        <f t="shared" si="13"/>
        <v>0.39584351908221332</v>
      </c>
      <c r="AV125" s="1">
        <f t="shared" si="14"/>
        <v>0.2842375656611229</v>
      </c>
      <c r="AW125" s="1">
        <f t="shared" si="15"/>
        <v>0.17263161224003246</v>
      </c>
    </row>
    <row r="126" spans="1:49" x14ac:dyDescent="0.2">
      <c r="A126">
        <v>124</v>
      </c>
      <c r="B126" t="s">
        <v>1024</v>
      </c>
      <c r="F126" t="s">
        <v>1023</v>
      </c>
      <c r="G126" t="s">
        <v>5</v>
      </c>
      <c r="H126" t="s">
        <v>4</v>
      </c>
      <c r="I126" t="s">
        <v>1022</v>
      </c>
      <c r="J126">
        <v>60025555</v>
      </c>
      <c r="K126" t="s">
        <v>81</v>
      </c>
      <c r="L126" t="s">
        <v>14</v>
      </c>
      <c r="M126" t="s">
        <v>13</v>
      </c>
      <c r="N126">
        <v>4</v>
      </c>
      <c r="O126" t="s">
        <v>1021</v>
      </c>
      <c r="P126" t="s">
        <v>1020</v>
      </c>
      <c r="Q126" t="s">
        <v>178</v>
      </c>
      <c r="R126" s="7">
        <v>34243</v>
      </c>
      <c r="S126" s="8">
        <f t="shared" si="8"/>
        <v>1993</v>
      </c>
      <c r="T126" s="8">
        <v>1993</v>
      </c>
      <c r="U126" s="8">
        <f t="shared" si="9"/>
        <v>29</v>
      </c>
      <c r="V126" s="7">
        <v>34243</v>
      </c>
      <c r="W126" t="s">
        <v>76</v>
      </c>
      <c r="X126" s="2">
        <v>0.21099999999999999</v>
      </c>
      <c r="Y126" s="6">
        <f t="shared" si="10"/>
        <v>5.6325244921384904E-3</v>
      </c>
      <c r="AA126">
        <v>9168516</v>
      </c>
      <c r="AB126">
        <v>18936</v>
      </c>
      <c r="AD126" t="s">
        <v>2</v>
      </c>
      <c r="AE126" t="s">
        <v>75</v>
      </c>
      <c r="AF126">
        <v>10</v>
      </c>
      <c r="AH126" t="s">
        <v>1019</v>
      </c>
      <c r="AI126" t="s">
        <v>1018</v>
      </c>
      <c r="AK126" t="s">
        <v>1017</v>
      </c>
      <c r="AL126">
        <v>6</v>
      </c>
      <c r="AM126" s="5">
        <f t="shared" si="11"/>
        <v>0.20689655172413793</v>
      </c>
      <c r="AN126" s="4">
        <f t="shared" si="12"/>
        <v>3.1336092650380602E-4</v>
      </c>
      <c r="AO126" s="3"/>
      <c r="AP126">
        <v>0</v>
      </c>
      <c r="AR126" t="s">
        <v>1</v>
      </c>
      <c r="AT126" s="2">
        <v>0.52500000000000002</v>
      </c>
      <c r="AU126" s="1">
        <f t="shared" si="13"/>
        <v>0.40367754224480845</v>
      </c>
      <c r="AV126" s="1">
        <f t="shared" si="14"/>
        <v>0.29729427093211486</v>
      </c>
      <c r="AW126" s="1">
        <f t="shared" si="15"/>
        <v>0.19091099961942112</v>
      </c>
    </row>
    <row r="127" spans="1:49" x14ac:dyDescent="0.2">
      <c r="A127">
        <v>125</v>
      </c>
      <c r="B127" t="s">
        <v>1016</v>
      </c>
      <c r="F127" t="s">
        <v>1015</v>
      </c>
      <c r="G127" t="s">
        <v>5</v>
      </c>
      <c r="H127" t="s">
        <v>4</v>
      </c>
      <c r="I127" t="s">
        <v>195</v>
      </c>
      <c r="J127">
        <v>60032315</v>
      </c>
      <c r="K127" t="s">
        <v>1014</v>
      </c>
      <c r="L127" t="s">
        <v>159</v>
      </c>
      <c r="M127" t="s">
        <v>13</v>
      </c>
      <c r="N127">
        <v>4</v>
      </c>
      <c r="O127" t="s">
        <v>1013</v>
      </c>
      <c r="P127" t="s">
        <v>1012</v>
      </c>
      <c r="Q127" t="s">
        <v>1011</v>
      </c>
      <c r="R127" s="7">
        <v>34243</v>
      </c>
      <c r="S127" s="8">
        <f t="shared" si="8"/>
        <v>1993</v>
      </c>
      <c r="T127" s="8">
        <v>1993</v>
      </c>
      <c r="U127" s="8">
        <f t="shared" si="9"/>
        <v>29</v>
      </c>
      <c r="V127" s="7">
        <v>34243</v>
      </c>
      <c r="W127" t="s">
        <v>76</v>
      </c>
      <c r="X127" s="2">
        <v>0.21099999999999999</v>
      </c>
      <c r="Y127" s="6">
        <f t="shared" si="10"/>
        <v>5.6325244921384904E-3</v>
      </c>
      <c r="AA127">
        <v>9168516</v>
      </c>
      <c r="AB127">
        <v>18936</v>
      </c>
      <c r="AD127" t="s">
        <v>2</v>
      </c>
      <c r="AE127" t="s">
        <v>75</v>
      </c>
      <c r="AF127">
        <v>10</v>
      </c>
      <c r="AH127" t="s">
        <v>1010</v>
      </c>
      <c r="AI127" t="s">
        <v>1009</v>
      </c>
      <c r="AK127" t="s">
        <v>1008</v>
      </c>
      <c r="AL127">
        <v>2</v>
      </c>
      <c r="AM127" s="5">
        <f t="shared" si="11"/>
        <v>6.8965517241379309E-2</v>
      </c>
      <c r="AN127" s="4">
        <f t="shared" si="12"/>
        <v>1.0445364216793535E-4</v>
      </c>
      <c r="AO127" s="3"/>
      <c r="AP127">
        <v>0</v>
      </c>
      <c r="AR127" t="s">
        <v>1</v>
      </c>
      <c r="AT127" s="2">
        <v>0.52500000000000002</v>
      </c>
      <c r="AU127" s="1">
        <f t="shared" si="13"/>
        <v>0.39741032371473234</v>
      </c>
      <c r="AV127" s="1">
        <f t="shared" si="14"/>
        <v>0.28684890671532126</v>
      </c>
      <c r="AW127" s="1">
        <f t="shared" si="15"/>
        <v>0.17628748971591018</v>
      </c>
    </row>
    <row r="128" spans="1:49" x14ac:dyDescent="0.2">
      <c r="A128">
        <v>126</v>
      </c>
      <c r="B128" t="s">
        <v>1007</v>
      </c>
      <c r="F128" t="s">
        <v>1006</v>
      </c>
      <c r="G128" t="s">
        <v>5</v>
      </c>
      <c r="H128" t="s">
        <v>4</v>
      </c>
      <c r="I128" t="s">
        <v>1005</v>
      </c>
      <c r="J128">
        <v>60022313</v>
      </c>
      <c r="K128" t="s">
        <v>301</v>
      </c>
      <c r="L128" t="s">
        <v>300</v>
      </c>
      <c r="M128" t="s">
        <v>13</v>
      </c>
      <c r="N128">
        <v>2</v>
      </c>
      <c r="O128" t="s">
        <v>1004</v>
      </c>
      <c r="P128" t="s">
        <v>1003</v>
      </c>
      <c r="Q128" t="s">
        <v>1002</v>
      </c>
      <c r="R128" s="7">
        <v>34243</v>
      </c>
      <c r="S128" s="8">
        <f t="shared" si="8"/>
        <v>1993</v>
      </c>
      <c r="T128" s="8">
        <v>1993</v>
      </c>
      <c r="U128" s="8">
        <f t="shared" si="9"/>
        <v>29</v>
      </c>
      <c r="V128" s="7">
        <v>34243</v>
      </c>
      <c r="W128" t="s">
        <v>76</v>
      </c>
      <c r="X128" s="2">
        <v>0.21099999999999999</v>
      </c>
      <c r="Y128" s="6">
        <f t="shared" si="10"/>
        <v>5.6325244921384904E-3</v>
      </c>
      <c r="AA128">
        <v>9168516</v>
      </c>
      <c r="AB128">
        <v>18936</v>
      </c>
      <c r="AD128" t="s">
        <v>2</v>
      </c>
      <c r="AE128" t="s">
        <v>75</v>
      </c>
      <c r="AF128">
        <v>10</v>
      </c>
      <c r="AH128" t="s">
        <v>1001</v>
      </c>
      <c r="AI128" t="s">
        <v>1000</v>
      </c>
      <c r="AK128" t="s">
        <v>999</v>
      </c>
      <c r="AL128">
        <v>9</v>
      </c>
      <c r="AM128" s="5">
        <f t="shared" si="11"/>
        <v>0.31034482758620691</v>
      </c>
      <c r="AN128" s="4">
        <f t="shared" si="12"/>
        <v>4.7004138975570908E-4</v>
      </c>
      <c r="AO128" s="3"/>
      <c r="AP128">
        <v>0</v>
      </c>
      <c r="AR128" t="s">
        <v>1</v>
      </c>
      <c r="AT128" s="2">
        <v>0.52500000000000002</v>
      </c>
      <c r="AU128" s="1">
        <f t="shared" si="13"/>
        <v>0.40837795614236561</v>
      </c>
      <c r="AV128" s="1">
        <f t="shared" si="14"/>
        <v>0.30512829409470993</v>
      </c>
      <c r="AW128" s="1">
        <f t="shared" si="15"/>
        <v>0.20187863204705436</v>
      </c>
    </row>
    <row r="129" spans="1:49" x14ac:dyDescent="0.2">
      <c r="A129">
        <v>127</v>
      </c>
      <c r="B129" t="s">
        <v>998</v>
      </c>
      <c r="F129" t="s">
        <v>997</v>
      </c>
      <c r="G129" t="s">
        <v>5</v>
      </c>
      <c r="H129" t="s">
        <v>4</v>
      </c>
      <c r="I129" t="s">
        <v>240</v>
      </c>
      <c r="N129">
        <v>2</v>
      </c>
      <c r="O129" t="s">
        <v>239</v>
      </c>
      <c r="P129" t="s">
        <v>238</v>
      </c>
      <c r="Q129" t="s">
        <v>71</v>
      </c>
      <c r="R129" s="7">
        <v>34243</v>
      </c>
      <c r="S129" s="8">
        <f t="shared" si="8"/>
        <v>1993</v>
      </c>
      <c r="T129" s="8">
        <v>1993</v>
      </c>
      <c r="U129" s="8">
        <f t="shared" si="9"/>
        <v>29</v>
      </c>
      <c r="V129" s="7">
        <v>34243</v>
      </c>
      <c r="W129" t="s">
        <v>80</v>
      </c>
      <c r="X129" s="2">
        <v>0.14099999999999999</v>
      </c>
      <c r="Y129" s="6">
        <f t="shared" si="10"/>
        <v>3.7639144710498915E-3</v>
      </c>
      <c r="AA129">
        <v>402508</v>
      </c>
      <c r="AB129">
        <v>20868</v>
      </c>
      <c r="AD129" t="s">
        <v>2</v>
      </c>
      <c r="AE129">
        <v>48</v>
      </c>
      <c r="AF129">
        <v>10</v>
      </c>
      <c r="AH129" t="s">
        <v>996</v>
      </c>
      <c r="AI129" t="s">
        <v>995</v>
      </c>
      <c r="AK129" t="s">
        <v>994</v>
      </c>
      <c r="AL129">
        <v>0</v>
      </c>
      <c r="AM129" s="5">
        <f t="shared" si="11"/>
        <v>0</v>
      </c>
      <c r="AN129" s="4">
        <f t="shared" si="12"/>
        <v>0</v>
      </c>
      <c r="AO129" s="3"/>
      <c r="AP129">
        <v>0</v>
      </c>
      <c r="AR129" t="s">
        <v>1</v>
      </c>
      <c r="AT129" s="2" t="s">
        <v>0</v>
      </c>
      <c r="AU129" s="1">
        <f t="shared" si="13"/>
        <v>0.26347401297349238</v>
      </c>
      <c r="AV129" s="1">
        <f t="shared" si="14"/>
        <v>0.18819572355249459</v>
      </c>
      <c r="AW129" s="1">
        <f t="shared" si="15"/>
        <v>0.11291743413149673</v>
      </c>
    </row>
    <row r="130" spans="1:49" x14ac:dyDescent="0.2">
      <c r="A130">
        <v>128</v>
      </c>
      <c r="B130" t="s">
        <v>993</v>
      </c>
      <c r="F130" t="s">
        <v>992</v>
      </c>
      <c r="G130" t="s">
        <v>5</v>
      </c>
      <c r="H130" t="s">
        <v>4</v>
      </c>
      <c r="I130" t="s">
        <v>991</v>
      </c>
      <c r="N130">
        <v>1</v>
      </c>
      <c r="O130" t="s">
        <v>990</v>
      </c>
      <c r="P130">
        <v>6603853548</v>
      </c>
      <c r="R130" s="7">
        <v>34243</v>
      </c>
      <c r="S130" s="8">
        <f t="shared" ref="S130:S193" si="16">YEAR(R130)</f>
        <v>1993</v>
      </c>
      <c r="T130" s="8">
        <v>1993</v>
      </c>
      <c r="U130" s="8">
        <f t="shared" ref="U130:U193" si="17">2022-T130</f>
        <v>29</v>
      </c>
      <c r="V130" s="7">
        <v>34243</v>
      </c>
      <c r="W130" t="s">
        <v>80</v>
      </c>
      <c r="X130" s="2">
        <v>0.14099999999999999</v>
      </c>
      <c r="Y130" s="6">
        <f t="shared" ref="Y130:Y193" si="18">(X130-$Z$4)/($Z$3-$Z$4)</f>
        <v>3.7639144710498915E-3</v>
      </c>
      <c r="AA130">
        <v>402508</v>
      </c>
      <c r="AB130">
        <v>20868</v>
      </c>
      <c r="AD130" t="s">
        <v>2</v>
      </c>
      <c r="AE130">
        <v>48</v>
      </c>
      <c r="AF130">
        <v>10</v>
      </c>
      <c r="AH130" t="s">
        <v>989</v>
      </c>
      <c r="AI130" t="s">
        <v>988</v>
      </c>
      <c r="AK130" t="s">
        <v>987</v>
      </c>
      <c r="AL130">
        <v>0</v>
      </c>
      <c r="AM130" s="5">
        <f t="shared" ref="AM130:AM193" si="19">AL130/U130</f>
        <v>0</v>
      </c>
      <c r="AN130" s="4">
        <f t="shared" ref="AN130:AN193" si="20">(AM130-$AO$4)/($AO$3-$AO$4)</f>
        <v>0</v>
      </c>
      <c r="AO130" s="3"/>
      <c r="AP130">
        <v>0</v>
      </c>
      <c r="AR130" t="s">
        <v>1</v>
      </c>
      <c r="AT130" s="2" t="s">
        <v>0</v>
      </c>
      <c r="AU130" s="1">
        <f t="shared" ref="AU130:AU193" si="21">(Y130*0.7+AN130*0.3)*100</f>
        <v>0.26347401297349238</v>
      </c>
      <c r="AV130" s="1">
        <f t="shared" ref="AV130:AV193" si="22">(Y130*0.5+AN130*0.5)*100</f>
        <v>0.18819572355249459</v>
      </c>
      <c r="AW130" s="1">
        <f t="shared" ref="AW130:AW193" si="23">(Y130*0.3+AN130*0.7)*100</f>
        <v>0.11291743413149673</v>
      </c>
    </row>
    <row r="131" spans="1:49" x14ac:dyDescent="0.2">
      <c r="A131">
        <v>129</v>
      </c>
      <c r="B131" t="s">
        <v>986</v>
      </c>
      <c r="F131" t="s">
        <v>985</v>
      </c>
      <c r="G131" t="s">
        <v>5</v>
      </c>
      <c r="H131" t="s">
        <v>4</v>
      </c>
      <c r="I131" t="s">
        <v>984</v>
      </c>
      <c r="N131">
        <v>2</v>
      </c>
      <c r="O131" t="s">
        <v>983</v>
      </c>
      <c r="P131" t="s">
        <v>982</v>
      </c>
      <c r="Q131" t="s">
        <v>71</v>
      </c>
      <c r="R131" s="7">
        <v>34243</v>
      </c>
      <c r="S131" s="8">
        <f t="shared" si="16"/>
        <v>1993</v>
      </c>
      <c r="T131" s="8">
        <v>1993</v>
      </c>
      <c r="U131" s="8">
        <f t="shared" si="17"/>
        <v>29</v>
      </c>
      <c r="V131" s="7">
        <v>34243</v>
      </c>
      <c r="W131" t="s">
        <v>80</v>
      </c>
      <c r="X131" s="2">
        <v>0.14099999999999999</v>
      </c>
      <c r="Y131" s="6">
        <f t="shared" si="18"/>
        <v>3.7639144710498915E-3</v>
      </c>
      <c r="AA131">
        <v>402508</v>
      </c>
      <c r="AB131">
        <v>20868</v>
      </c>
      <c r="AD131" t="s">
        <v>2</v>
      </c>
      <c r="AE131">
        <v>48</v>
      </c>
      <c r="AF131">
        <v>10</v>
      </c>
      <c r="AH131" t="s">
        <v>981</v>
      </c>
      <c r="AI131" t="s">
        <v>980</v>
      </c>
      <c r="AK131" t="s">
        <v>979</v>
      </c>
      <c r="AL131">
        <v>0</v>
      </c>
      <c r="AM131" s="5">
        <f t="shared" si="19"/>
        <v>0</v>
      </c>
      <c r="AN131" s="4">
        <f t="shared" si="20"/>
        <v>0</v>
      </c>
      <c r="AO131" s="3"/>
      <c r="AP131">
        <v>0</v>
      </c>
      <c r="AR131" t="s">
        <v>1</v>
      </c>
      <c r="AT131" s="2" t="s">
        <v>0</v>
      </c>
      <c r="AU131" s="1">
        <f t="shared" si="21"/>
        <v>0.26347401297349238</v>
      </c>
      <c r="AV131" s="1">
        <f t="shared" si="22"/>
        <v>0.18819572355249459</v>
      </c>
      <c r="AW131" s="1">
        <f t="shared" si="23"/>
        <v>0.11291743413149673</v>
      </c>
    </row>
    <row r="132" spans="1:49" x14ac:dyDescent="0.2">
      <c r="A132">
        <v>130</v>
      </c>
      <c r="B132" t="s">
        <v>978</v>
      </c>
      <c r="C132" t="s">
        <v>977</v>
      </c>
      <c r="E132">
        <v>8219045</v>
      </c>
      <c r="F132" t="s">
        <v>976</v>
      </c>
      <c r="G132" t="s">
        <v>5</v>
      </c>
      <c r="H132" t="s">
        <v>4</v>
      </c>
      <c r="I132" t="s">
        <v>975</v>
      </c>
      <c r="J132">
        <v>60003892</v>
      </c>
      <c r="K132" t="s">
        <v>55</v>
      </c>
      <c r="L132" t="s">
        <v>54</v>
      </c>
      <c r="M132" t="s">
        <v>3</v>
      </c>
      <c r="N132">
        <v>2</v>
      </c>
      <c r="O132" t="s">
        <v>974</v>
      </c>
      <c r="P132" t="s">
        <v>973</v>
      </c>
      <c r="Q132" t="s">
        <v>101</v>
      </c>
      <c r="R132" s="7">
        <v>34243</v>
      </c>
      <c r="S132" s="8">
        <f t="shared" si="16"/>
        <v>1993</v>
      </c>
      <c r="T132" s="8">
        <v>1993</v>
      </c>
      <c r="U132" s="8">
        <f t="shared" si="17"/>
        <v>29</v>
      </c>
      <c r="V132" s="7">
        <v>34243</v>
      </c>
      <c r="W132" t="s">
        <v>972</v>
      </c>
      <c r="X132" s="2">
        <v>1.448</v>
      </c>
      <c r="Y132" s="6">
        <f t="shared" si="18"/>
        <v>3.8653533007661299E-2</v>
      </c>
      <c r="AA132">
        <v>1674412</v>
      </c>
      <c r="AB132">
        <v>13042</v>
      </c>
      <c r="AC132">
        <v>15735028</v>
      </c>
      <c r="AD132" t="s">
        <v>2</v>
      </c>
      <c r="AE132">
        <v>23</v>
      </c>
      <c r="AF132">
        <v>1</v>
      </c>
      <c r="AH132" t="s">
        <v>971</v>
      </c>
      <c r="AI132" t="s">
        <v>970</v>
      </c>
      <c r="AJ132" t="s">
        <v>969</v>
      </c>
      <c r="AK132" t="s">
        <v>968</v>
      </c>
      <c r="AL132">
        <v>29</v>
      </c>
      <c r="AM132" s="5">
        <f t="shared" si="19"/>
        <v>1</v>
      </c>
      <c r="AN132" s="4">
        <f t="shared" si="20"/>
        <v>1.5145778114350624E-3</v>
      </c>
      <c r="AO132" s="3"/>
      <c r="AP132">
        <v>0</v>
      </c>
      <c r="AR132" t="s">
        <v>1</v>
      </c>
      <c r="AT132" s="2">
        <v>4.0759999999999996</v>
      </c>
      <c r="AU132" s="1">
        <f t="shared" si="21"/>
        <v>2.7511846448793427</v>
      </c>
      <c r="AV132" s="1">
        <f t="shared" si="22"/>
        <v>2.008405540954818</v>
      </c>
      <c r="AW132" s="1">
        <f t="shared" si="23"/>
        <v>1.2656264370302932</v>
      </c>
    </row>
    <row r="133" spans="1:49" x14ac:dyDescent="0.2">
      <c r="A133">
        <v>131</v>
      </c>
      <c r="B133" t="s">
        <v>967</v>
      </c>
      <c r="C133" t="s">
        <v>966</v>
      </c>
      <c r="E133">
        <v>8254565</v>
      </c>
      <c r="F133" t="s">
        <v>965</v>
      </c>
      <c r="G133" t="s">
        <v>5</v>
      </c>
      <c r="H133" t="s">
        <v>4</v>
      </c>
      <c r="I133" t="s">
        <v>964</v>
      </c>
      <c r="J133">
        <v>60023324</v>
      </c>
      <c r="K133" t="s">
        <v>72</v>
      </c>
      <c r="L133" t="s">
        <v>65</v>
      </c>
      <c r="M133" t="s">
        <v>3</v>
      </c>
      <c r="N133">
        <v>4</v>
      </c>
      <c r="O133" t="s">
        <v>963</v>
      </c>
      <c r="P133" t="s">
        <v>962</v>
      </c>
      <c r="Q133" t="s">
        <v>961</v>
      </c>
      <c r="R133" s="7">
        <v>34243</v>
      </c>
      <c r="S133" s="8">
        <f t="shared" si="16"/>
        <v>1993</v>
      </c>
      <c r="T133" s="8">
        <v>1993</v>
      </c>
      <c r="U133" s="8">
        <f t="shared" si="17"/>
        <v>29</v>
      </c>
      <c r="V133" s="7">
        <v>34243</v>
      </c>
      <c r="W133" t="s">
        <v>7</v>
      </c>
      <c r="X133" s="2">
        <v>0.8</v>
      </c>
      <c r="Y133" s="6">
        <f t="shared" si="18"/>
        <v>2.1355543098155415E-2</v>
      </c>
      <c r="AA133">
        <v>3407594</v>
      </c>
      <c r="AB133">
        <v>23456</v>
      </c>
      <c r="AC133">
        <v>14321351</v>
      </c>
      <c r="AD133" t="s">
        <v>2</v>
      </c>
      <c r="AE133">
        <v>173</v>
      </c>
      <c r="AF133">
        <v>4</v>
      </c>
      <c r="AH133" t="s">
        <v>960</v>
      </c>
      <c r="AI133" t="s">
        <v>959</v>
      </c>
      <c r="AJ133" t="s">
        <v>958</v>
      </c>
      <c r="AK133" t="s">
        <v>957</v>
      </c>
      <c r="AL133">
        <v>168</v>
      </c>
      <c r="AM133" s="5">
        <f t="shared" si="19"/>
        <v>5.7931034482758621</v>
      </c>
      <c r="AN133" s="4">
        <f t="shared" si="20"/>
        <v>8.7741059421065689E-3</v>
      </c>
      <c r="AO133" s="3"/>
      <c r="AP133">
        <v>0</v>
      </c>
      <c r="AQ133" t="s">
        <v>90</v>
      </c>
      <c r="AR133" t="s">
        <v>140</v>
      </c>
      <c r="AS133" t="s">
        <v>89</v>
      </c>
      <c r="AT133" s="2" t="s">
        <v>0</v>
      </c>
      <c r="AU133" s="1">
        <f t="shared" si="21"/>
        <v>1.758111195134076</v>
      </c>
      <c r="AV133" s="1">
        <f t="shared" si="22"/>
        <v>1.506482452013099</v>
      </c>
      <c r="AW133" s="1">
        <f t="shared" si="23"/>
        <v>1.2548537088921223</v>
      </c>
    </row>
    <row r="134" spans="1:49" x14ac:dyDescent="0.2">
      <c r="A134">
        <v>132</v>
      </c>
      <c r="B134" t="s">
        <v>956</v>
      </c>
      <c r="C134" t="s">
        <v>955</v>
      </c>
      <c r="F134" t="s">
        <v>954</v>
      </c>
      <c r="G134" t="s">
        <v>5</v>
      </c>
      <c r="H134" t="s">
        <v>4</v>
      </c>
      <c r="I134" t="s">
        <v>953</v>
      </c>
      <c r="J134">
        <v>60001359</v>
      </c>
      <c r="K134" t="s">
        <v>58</v>
      </c>
      <c r="L134" t="s">
        <v>57</v>
      </c>
      <c r="M134" t="s">
        <v>28</v>
      </c>
      <c r="N134">
        <v>3</v>
      </c>
      <c r="O134" t="s">
        <v>952</v>
      </c>
      <c r="P134" t="s">
        <v>951</v>
      </c>
      <c r="Q134" t="s">
        <v>950</v>
      </c>
      <c r="R134" s="7">
        <v>34243</v>
      </c>
      <c r="S134" s="8">
        <f t="shared" si="16"/>
        <v>1993</v>
      </c>
      <c r="T134" s="8">
        <v>1993</v>
      </c>
      <c r="U134" s="8">
        <f t="shared" si="17"/>
        <v>29</v>
      </c>
      <c r="V134" s="7">
        <v>34243</v>
      </c>
      <c r="W134" t="s">
        <v>20</v>
      </c>
      <c r="X134" s="2">
        <v>1.1579999999999999</v>
      </c>
      <c r="Y134" s="6">
        <f t="shared" si="18"/>
        <v>3.0912148634579962E-2</v>
      </c>
      <c r="AA134">
        <v>1668595</v>
      </c>
      <c r="AB134">
        <v>14223</v>
      </c>
      <c r="AC134">
        <v>15735079</v>
      </c>
      <c r="AD134" t="s">
        <v>2</v>
      </c>
      <c r="AE134">
        <v>38</v>
      </c>
      <c r="AF134">
        <v>1</v>
      </c>
      <c r="AH134" t="s">
        <v>949</v>
      </c>
      <c r="AI134" t="s">
        <v>948</v>
      </c>
      <c r="AJ134" t="s">
        <v>947</v>
      </c>
      <c r="AK134" t="s">
        <v>946</v>
      </c>
      <c r="AL134">
        <v>37</v>
      </c>
      <c r="AM134" s="5">
        <f t="shared" si="19"/>
        <v>1.2758620689655173</v>
      </c>
      <c r="AN134" s="4">
        <f t="shared" si="20"/>
        <v>1.9323923801068041E-3</v>
      </c>
      <c r="AO134" s="3"/>
      <c r="AP134">
        <v>0</v>
      </c>
      <c r="AR134" t="s">
        <v>1</v>
      </c>
      <c r="AT134" s="2">
        <v>3.573</v>
      </c>
      <c r="AU134" s="1">
        <f t="shared" si="21"/>
        <v>2.2218221758238013</v>
      </c>
      <c r="AV134" s="1">
        <f t="shared" si="22"/>
        <v>1.6422270507343382</v>
      </c>
      <c r="AW134" s="1">
        <f t="shared" si="23"/>
        <v>1.0626319256448751</v>
      </c>
    </row>
    <row r="135" spans="1:49" x14ac:dyDescent="0.2">
      <c r="A135">
        <v>133</v>
      </c>
      <c r="B135" t="s">
        <v>945</v>
      </c>
      <c r="C135" t="s">
        <v>944</v>
      </c>
      <c r="F135" t="s">
        <v>943</v>
      </c>
      <c r="G135" t="s">
        <v>5</v>
      </c>
      <c r="H135" t="s">
        <v>4</v>
      </c>
      <c r="I135" t="s">
        <v>942</v>
      </c>
      <c r="J135">
        <v>60028269</v>
      </c>
      <c r="K135" t="s">
        <v>941</v>
      </c>
      <c r="L135" t="s">
        <v>56</v>
      </c>
      <c r="M135" t="s">
        <v>3</v>
      </c>
      <c r="N135">
        <v>2</v>
      </c>
      <c r="O135" t="s">
        <v>940</v>
      </c>
      <c r="P135" t="s">
        <v>939</v>
      </c>
      <c r="Q135" t="s">
        <v>938</v>
      </c>
      <c r="R135" s="7">
        <v>34243</v>
      </c>
      <c r="S135" s="8">
        <f t="shared" si="16"/>
        <v>1993</v>
      </c>
      <c r="T135" s="8">
        <v>1993</v>
      </c>
      <c r="U135" s="8">
        <f t="shared" si="17"/>
        <v>29</v>
      </c>
      <c r="V135" s="7">
        <v>34243</v>
      </c>
      <c r="W135" t="s">
        <v>232</v>
      </c>
      <c r="X135" s="2">
        <v>0.85499999999999998</v>
      </c>
      <c r="Y135" s="6">
        <f t="shared" si="18"/>
        <v>2.28237366861536E-2</v>
      </c>
      <c r="AA135">
        <v>980331</v>
      </c>
      <c r="AB135">
        <v>23342</v>
      </c>
      <c r="AC135">
        <v>15731561</v>
      </c>
      <c r="AD135" t="s">
        <v>2</v>
      </c>
      <c r="AE135">
        <v>19</v>
      </c>
      <c r="AF135">
        <v>10</v>
      </c>
      <c r="AH135" t="s">
        <v>937</v>
      </c>
      <c r="AI135" t="s">
        <v>936</v>
      </c>
      <c r="AJ135" t="s">
        <v>935</v>
      </c>
      <c r="AK135" t="s">
        <v>934</v>
      </c>
      <c r="AL135">
        <v>16</v>
      </c>
      <c r="AM135" s="5">
        <f t="shared" si="19"/>
        <v>0.55172413793103448</v>
      </c>
      <c r="AN135" s="4">
        <f t="shared" si="20"/>
        <v>8.3562913734348278E-4</v>
      </c>
      <c r="AO135" s="3"/>
      <c r="AP135">
        <v>0</v>
      </c>
      <c r="AR135" t="s">
        <v>1</v>
      </c>
      <c r="AT135" s="2">
        <v>2.6259999999999999</v>
      </c>
      <c r="AU135" s="1">
        <f t="shared" si="21"/>
        <v>1.6227304421510564</v>
      </c>
      <c r="AV135" s="1">
        <f t="shared" si="22"/>
        <v>1.182968291174854</v>
      </c>
      <c r="AW135" s="1">
        <f t="shared" si="23"/>
        <v>0.74320614019865183</v>
      </c>
    </row>
    <row r="136" spans="1:49" x14ac:dyDescent="0.2">
      <c r="A136">
        <v>134</v>
      </c>
      <c r="B136" t="s">
        <v>933</v>
      </c>
      <c r="C136" t="s">
        <v>932</v>
      </c>
      <c r="F136" t="s">
        <v>931</v>
      </c>
      <c r="G136" t="s">
        <v>5</v>
      </c>
      <c r="H136" t="s">
        <v>4</v>
      </c>
      <c r="I136" t="s">
        <v>930</v>
      </c>
      <c r="J136" t="s">
        <v>929</v>
      </c>
      <c r="K136" t="s">
        <v>928</v>
      </c>
      <c r="L136" t="s">
        <v>927</v>
      </c>
      <c r="M136" t="s">
        <v>92</v>
      </c>
      <c r="N136">
        <v>2</v>
      </c>
      <c r="O136" t="s">
        <v>926</v>
      </c>
      <c r="P136" t="s">
        <v>925</v>
      </c>
      <c r="Q136" t="s">
        <v>924</v>
      </c>
      <c r="R136" s="7">
        <v>34243</v>
      </c>
      <c r="S136" s="8">
        <f t="shared" si="16"/>
        <v>1993</v>
      </c>
      <c r="T136" s="8">
        <v>1993</v>
      </c>
      <c r="U136" s="8">
        <f t="shared" si="17"/>
        <v>29</v>
      </c>
      <c r="V136" s="7">
        <v>34243</v>
      </c>
      <c r="W136" t="s">
        <v>923</v>
      </c>
      <c r="X136" s="2">
        <v>0.47099999999999997</v>
      </c>
      <c r="Y136" s="6">
        <f t="shared" si="18"/>
        <v>1.2573075999039E-2</v>
      </c>
      <c r="AA136">
        <v>1655752</v>
      </c>
      <c r="AB136">
        <v>14307</v>
      </c>
      <c r="AC136">
        <v>15735192</v>
      </c>
      <c r="AD136" t="s">
        <v>2</v>
      </c>
      <c r="AE136">
        <v>26</v>
      </c>
      <c r="AF136">
        <v>2</v>
      </c>
      <c r="AH136" t="s">
        <v>100</v>
      </c>
      <c r="AI136" t="s">
        <v>922</v>
      </c>
      <c r="AK136" t="s">
        <v>921</v>
      </c>
      <c r="AL136">
        <v>6</v>
      </c>
      <c r="AM136" s="5">
        <f t="shared" si="19"/>
        <v>0.20689655172413793</v>
      </c>
      <c r="AN136" s="4">
        <f t="shared" si="20"/>
        <v>3.1336092650380602E-4</v>
      </c>
      <c r="AO136" s="3"/>
      <c r="AP136">
        <v>0</v>
      </c>
      <c r="AR136" t="s">
        <v>1</v>
      </c>
      <c r="AT136" s="2">
        <v>1.431</v>
      </c>
      <c r="AU136" s="1">
        <f t="shared" si="21"/>
        <v>0.88951614772784426</v>
      </c>
      <c r="AV136" s="1">
        <f t="shared" si="22"/>
        <v>0.64432184627714029</v>
      </c>
      <c r="AW136" s="1">
        <f t="shared" si="23"/>
        <v>0.39912754482643648</v>
      </c>
    </row>
    <row r="137" spans="1:49" x14ac:dyDescent="0.2">
      <c r="A137">
        <v>135</v>
      </c>
      <c r="B137" t="s">
        <v>920</v>
      </c>
      <c r="C137" t="s">
        <v>919</v>
      </c>
      <c r="F137" t="s">
        <v>918</v>
      </c>
      <c r="G137" t="s">
        <v>5</v>
      </c>
      <c r="H137" t="s">
        <v>4</v>
      </c>
      <c r="I137" t="s">
        <v>917</v>
      </c>
      <c r="J137" t="s">
        <v>916</v>
      </c>
      <c r="K137" t="s">
        <v>915</v>
      </c>
      <c r="L137" t="s">
        <v>914</v>
      </c>
      <c r="M137" t="s">
        <v>185</v>
      </c>
      <c r="N137">
        <v>7</v>
      </c>
      <c r="O137" t="s">
        <v>913</v>
      </c>
      <c r="P137" t="s">
        <v>912</v>
      </c>
      <c r="Q137" t="s">
        <v>911</v>
      </c>
      <c r="R137" s="7">
        <v>34243</v>
      </c>
      <c r="S137" s="8">
        <f t="shared" si="16"/>
        <v>1993</v>
      </c>
      <c r="T137" s="8">
        <v>1993</v>
      </c>
      <c r="U137" s="8">
        <f t="shared" si="17"/>
        <v>29</v>
      </c>
      <c r="V137" s="7">
        <v>34243</v>
      </c>
      <c r="W137" t="s">
        <v>232</v>
      </c>
      <c r="X137" s="2">
        <v>0.85499999999999998</v>
      </c>
      <c r="Y137" s="6">
        <f t="shared" si="18"/>
        <v>2.28237366861536E-2</v>
      </c>
      <c r="AA137">
        <v>980331</v>
      </c>
      <c r="AB137">
        <v>23342</v>
      </c>
      <c r="AC137">
        <v>15731561</v>
      </c>
      <c r="AD137" t="s">
        <v>2</v>
      </c>
      <c r="AE137">
        <v>19</v>
      </c>
      <c r="AF137">
        <v>10</v>
      </c>
      <c r="AH137" t="s">
        <v>910</v>
      </c>
      <c r="AI137" t="s">
        <v>909</v>
      </c>
      <c r="AJ137" t="s">
        <v>908</v>
      </c>
      <c r="AK137" t="s">
        <v>907</v>
      </c>
      <c r="AL137">
        <v>14</v>
      </c>
      <c r="AM137" s="5">
        <f t="shared" si="19"/>
        <v>0.48275862068965519</v>
      </c>
      <c r="AN137" s="4">
        <f t="shared" si="20"/>
        <v>7.3117549517554741E-4</v>
      </c>
      <c r="AO137" s="3"/>
      <c r="AP137">
        <v>0</v>
      </c>
      <c r="AR137" t="s">
        <v>1</v>
      </c>
      <c r="AT137" s="2">
        <v>2.6259999999999999</v>
      </c>
      <c r="AU137" s="1">
        <f t="shared" si="21"/>
        <v>1.6195968328860184</v>
      </c>
      <c r="AV137" s="1">
        <f t="shared" si="22"/>
        <v>1.1777456090664573</v>
      </c>
      <c r="AW137" s="1">
        <f t="shared" si="23"/>
        <v>0.73589438524689632</v>
      </c>
    </row>
    <row r="138" spans="1:49" x14ac:dyDescent="0.2">
      <c r="A138">
        <v>136</v>
      </c>
      <c r="B138" t="s">
        <v>906</v>
      </c>
      <c r="C138" t="s">
        <v>905</v>
      </c>
      <c r="F138" t="s">
        <v>904</v>
      </c>
      <c r="G138" t="s">
        <v>5</v>
      </c>
      <c r="H138" t="s">
        <v>4</v>
      </c>
      <c r="I138" t="s">
        <v>903</v>
      </c>
      <c r="J138" t="s">
        <v>902</v>
      </c>
      <c r="K138" t="s">
        <v>901</v>
      </c>
      <c r="L138" t="s">
        <v>900</v>
      </c>
      <c r="M138" t="s">
        <v>19</v>
      </c>
      <c r="N138">
        <v>3</v>
      </c>
      <c r="O138" t="s">
        <v>899</v>
      </c>
      <c r="P138" t="s">
        <v>898</v>
      </c>
      <c r="Q138" t="s">
        <v>897</v>
      </c>
      <c r="R138" s="7">
        <v>34243</v>
      </c>
      <c r="S138" s="8">
        <f t="shared" si="16"/>
        <v>1993</v>
      </c>
      <c r="T138" s="8">
        <v>1993</v>
      </c>
      <c r="U138" s="8">
        <f t="shared" si="17"/>
        <v>29</v>
      </c>
      <c r="V138" s="7">
        <v>34243</v>
      </c>
      <c r="W138" t="s">
        <v>109</v>
      </c>
      <c r="X138" s="2">
        <v>0.61499999999999999</v>
      </c>
      <c r="Y138" s="6">
        <f t="shared" si="18"/>
        <v>1.6417073756706976E-2</v>
      </c>
      <c r="AA138">
        <v>1959271</v>
      </c>
      <c r="AB138">
        <v>12141</v>
      </c>
      <c r="AC138">
        <v>15729559</v>
      </c>
      <c r="AD138" t="s">
        <v>2</v>
      </c>
      <c r="AE138">
        <v>14</v>
      </c>
      <c r="AF138">
        <v>10</v>
      </c>
      <c r="AH138" t="s">
        <v>896</v>
      </c>
      <c r="AI138" t="s">
        <v>895</v>
      </c>
      <c r="AJ138" t="s">
        <v>894</v>
      </c>
      <c r="AK138" t="s">
        <v>893</v>
      </c>
      <c r="AL138">
        <v>10</v>
      </c>
      <c r="AM138" s="5">
        <f t="shared" si="19"/>
        <v>0.34482758620689657</v>
      </c>
      <c r="AN138" s="4">
        <f t="shared" si="20"/>
        <v>5.2226821083967677E-4</v>
      </c>
      <c r="AO138" s="3"/>
      <c r="AP138">
        <v>0</v>
      </c>
      <c r="AR138" t="s">
        <v>1</v>
      </c>
      <c r="AT138" s="2" t="s">
        <v>0</v>
      </c>
      <c r="AU138" s="1">
        <f t="shared" si="21"/>
        <v>1.1648632092946785</v>
      </c>
      <c r="AV138" s="1">
        <f t="shared" si="22"/>
        <v>0.84696709837733275</v>
      </c>
      <c r="AW138" s="1">
        <f t="shared" si="23"/>
        <v>0.5290709874599866</v>
      </c>
    </row>
    <row r="139" spans="1:49" x14ac:dyDescent="0.2">
      <c r="A139">
        <v>137</v>
      </c>
      <c r="B139" t="s">
        <v>892</v>
      </c>
      <c r="C139" t="s">
        <v>891</v>
      </c>
      <c r="F139" t="s">
        <v>890</v>
      </c>
      <c r="G139" t="s">
        <v>5</v>
      </c>
      <c r="H139" t="s">
        <v>4</v>
      </c>
      <c r="I139" t="s">
        <v>158</v>
      </c>
      <c r="J139">
        <v>60025778</v>
      </c>
      <c r="K139" t="s">
        <v>123</v>
      </c>
      <c r="L139" t="s">
        <v>62</v>
      </c>
      <c r="M139" t="s">
        <v>3</v>
      </c>
      <c r="N139">
        <v>2</v>
      </c>
      <c r="O139" t="s">
        <v>157</v>
      </c>
      <c r="P139" t="s">
        <v>156</v>
      </c>
      <c r="Q139" t="s">
        <v>155</v>
      </c>
      <c r="R139" s="7">
        <v>34243</v>
      </c>
      <c r="S139" s="8">
        <f t="shared" si="16"/>
        <v>1993</v>
      </c>
      <c r="T139" s="8">
        <v>1993</v>
      </c>
      <c r="U139" s="8">
        <f t="shared" si="17"/>
        <v>29</v>
      </c>
      <c r="V139" s="7">
        <v>34243</v>
      </c>
      <c r="W139" t="s">
        <v>109</v>
      </c>
      <c r="X139" s="2">
        <v>0.61499999999999999</v>
      </c>
      <c r="Y139" s="6">
        <f t="shared" si="18"/>
        <v>1.6417073756706976E-2</v>
      </c>
      <c r="AA139">
        <v>1959271</v>
      </c>
      <c r="AB139">
        <v>12141</v>
      </c>
      <c r="AC139">
        <v>15729559</v>
      </c>
      <c r="AD139" t="s">
        <v>2</v>
      </c>
      <c r="AE139">
        <v>14</v>
      </c>
      <c r="AF139">
        <v>10</v>
      </c>
      <c r="AH139" t="s">
        <v>889</v>
      </c>
      <c r="AI139" t="s">
        <v>888</v>
      </c>
      <c r="AK139" t="s">
        <v>887</v>
      </c>
      <c r="AL139">
        <v>42</v>
      </c>
      <c r="AM139" s="5">
        <f t="shared" si="19"/>
        <v>1.4482758620689655</v>
      </c>
      <c r="AN139" s="4">
        <f t="shared" si="20"/>
        <v>2.1935264855266422E-3</v>
      </c>
      <c r="AO139" s="3"/>
      <c r="AP139">
        <v>0</v>
      </c>
      <c r="AR139" t="s">
        <v>1</v>
      </c>
      <c r="AT139" s="2" t="s">
        <v>0</v>
      </c>
      <c r="AU139" s="1">
        <f t="shared" si="21"/>
        <v>1.2150009575352874</v>
      </c>
      <c r="AV139" s="1">
        <f t="shared" si="22"/>
        <v>0.93053001211168085</v>
      </c>
      <c r="AW139" s="1">
        <f t="shared" si="23"/>
        <v>0.64605906668807422</v>
      </c>
    </row>
    <row r="140" spans="1:49" x14ac:dyDescent="0.2">
      <c r="A140">
        <v>138</v>
      </c>
      <c r="B140" t="s">
        <v>886</v>
      </c>
      <c r="C140" t="s">
        <v>885</v>
      </c>
      <c r="F140" t="s">
        <v>884</v>
      </c>
      <c r="G140" t="s">
        <v>5</v>
      </c>
      <c r="H140" t="s">
        <v>4</v>
      </c>
      <c r="I140" t="s">
        <v>181</v>
      </c>
      <c r="J140">
        <v>60025778</v>
      </c>
      <c r="K140" t="s">
        <v>123</v>
      </c>
      <c r="L140" t="s">
        <v>62</v>
      </c>
      <c r="M140" t="s">
        <v>3</v>
      </c>
      <c r="N140">
        <v>2</v>
      </c>
      <c r="O140" t="s">
        <v>883</v>
      </c>
      <c r="P140" t="s">
        <v>882</v>
      </c>
      <c r="Q140" t="s">
        <v>155</v>
      </c>
      <c r="R140" s="7">
        <v>34243</v>
      </c>
      <c r="S140" s="8">
        <f t="shared" si="16"/>
        <v>1993</v>
      </c>
      <c r="T140" s="8">
        <v>1993</v>
      </c>
      <c r="U140" s="8">
        <f t="shared" si="17"/>
        <v>29</v>
      </c>
      <c r="V140" s="7">
        <v>34243</v>
      </c>
      <c r="W140" t="s">
        <v>109</v>
      </c>
      <c r="X140" s="2">
        <v>0.61499999999999999</v>
      </c>
      <c r="Y140" s="6">
        <f t="shared" si="18"/>
        <v>1.6417073756706976E-2</v>
      </c>
      <c r="AA140">
        <v>1959271</v>
      </c>
      <c r="AB140">
        <v>12141</v>
      </c>
      <c r="AC140">
        <v>15729559</v>
      </c>
      <c r="AD140" t="s">
        <v>2</v>
      </c>
      <c r="AE140">
        <v>14</v>
      </c>
      <c r="AF140">
        <v>10</v>
      </c>
      <c r="AH140" t="s">
        <v>881</v>
      </c>
      <c r="AI140" t="s">
        <v>880</v>
      </c>
      <c r="AK140" t="s">
        <v>879</v>
      </c>
      <c r="AL140">
        <v>26</v>
      </c>
      <c r="AM140" s="5">
        <f t="shared" si="19"/>
        <v>0.89655172413793105</v>
      </c>
      <c r="AN140" s="4">
        <f t="shared" si="20"/>
        <v>1.3578973481831594E-3</v>
      </c>
      <c r="AO140" s="3"/>
      <c r="AP140">
        <v>0</v>
      </c>
      <c r="AR140" t="s">
        <v>1</v>
      </c>
      <c r="AT140" s="2" t="s">
        <v>0</v>
      </c>
      <c r="AU140" s="1">
        <f t="shared" si="21"/>
        <v>1.1899320834149829</v>
      </c>
      <c r="AV140" s="1">
        <f t="shared" si="22"/>
        <v>0.8887485552445068</v>
      </c>
      <c r="AW140" s="1">
        <f t="shared" si="23"/>
        <v>0.58756502707403035</v>
      </c>
    </row>
    <row r="141" spans="1:49" x14ac:dyDescent="0.2">
      <c r="A141">
        <v>139</v>
      </c>
      <c r="B141" t="s">
        <v>878</v>
      </c>
      <c r="C141" t="s">
        <v>877</v>
      </c>
      <c r="D141" t="s">
        <v>876</v>
      </c>
      <c r="F141" t="s">
        <v>875</v>
      </c>
      <c r="G141" t="s">
        <v>5</v>
      </c>
      <c r="H141" t="s">
        <v>4</v>
      </c>
      <c r="I141" t="s">
        <v>874</v>
      </c>
      <c r="J141">
        <v>60029877</v>
      </c>
      <c r="K141" t="s">
        <v>873</v>
      </c>
      <c r="L141" t="s">
        <v>872</v>
      </c>
      <c r="M141" t="s">
        <v>24</v>
      </c>
      <c r="N141">
        <v>4</v>
      </c>
      <c r="O141" t="s">
        <v>871</v>
      </c>
      <c r="P141" t="s">
        <v>870</v>
      </c>
      <c r="Q141" t="s">
        <v>869</v>
      </c>
      <c r="R141" s="7">
        <v>34229</v>
      </c>
      <c r="S141" s="8">
        <f t="shared" si="16"/>
        <v>1993</v>
      </c>
      <c r="T141" s="8">
        <v>1993</v>
      </c>
      <c r="U141" s="8">
        <f t="shared" si="17"/>
        <v>29</v>
      </c>
      <c r="V141" s="7">
        <v>34229</v>
      </c>
      <c r="W141" t="s">
        <v>258</v>
      </c>
      <c r="X141" s="2">
        <v>1.45</v>
      </c>
      <c r="Y141" s="6">
        <f t="shared" si="18"/>
        <v>3.8706921865406689E-2</v>
      </c>
      <c r="AA141">
        <v>457949</v>
      </c>
      <c r="AB141">
        <v>18171</v>
      </c>
      <c r="AD141" t="s">
        <v>2</v>
      </c>
      <c r="AE141">
        <v>48</v>
      </c>
      <c r="AF141">
        <v>6</v>
      </c>
      <c r="AH141" t="s">
        <v>868</v>
      </c>
      <c r="AI141" t="s">
        <v>867</v>
      </c>
      <c r="AK141" t="s">
        <v>866</v>
      </c>
      <c r="AL141">
        <v>19</v>
      </c>
      <c r="AM141" s="5">
        <f t="shared" si="19"/>
        <v>0.65517241379310343</v>
      </c>
      <c r="AN141" s="4">
        <f t="shared" si="20"/>
        <v>9.9230960059538574E-4</v>
      </c>
      <c r="AO141" s="3"/>
      <c r="AP141">
        <v>0</v>
      </c>
      <c r="AR141" t="s">
        <v>1</v>
      </c>
      <c r="AT141" s="2" t="s">
        <v>0</v>
      </c>
      <c r="AU141" s="1">
        <f t="shared" si="21"/>
        <v>2.73925381859633</v>
      </c>
      <c r="AV141" s="1">
        <f t="shared" si="22"/>
        <v>1.9849615733001036</v>
      </c>
      <c r="AW141" s="1">
        <f t="shared" si="23"/>
        <v>1.2306693280038776</v>
      </c>
    </row>
    <row r="142" spans="1:49" x14ac:dyDescent="0.2">
      <c r="A142">
        <v>140</v>
      </c>
      <c r="B142" t="s">
        <v>865</v>
      </c>
      <c r="C142" t="s">
        <v>864</v>
      </c>
      <c r="D142" t="s">
        <v>863</v>
      </c>
      <c r="E142">
        <v>8369334</v>
      </c>
      <c r="F142" t="s">
        <v>862</v>
      </c>
      <c r="G142" t="s">
        <v>5</v>
      </c>
      <c r="H142" t="s">
        <v>4</v>
      </c>
      <c r="I142" t="s">
        <v>242</v>
      </c>
      <c r="J142">
        <v>60072285</v>
      </c>
      <c r="K142" t="s">
        <v>69</v>
      </c>
      <c r="L142" t="s">
        <v>68</v>
      </c>
      <c r="M142" t="s">
        <v>8</v>
      </c>
      <c r="N142">
        <v>3</v>
      </c>
      <c r="O142" t="s">
        <v>861</v>
      </c>
      <c r="P142" t="s">
        <v>860</v>
      </c>
      <c r="Q142" t="s">
        <v>859</v>
      </c>
      <c r="R142" s="7">
        <v>34225</v>
      </c>
      <c r="S142" s="8">
        <f t="shared" si="16"/>
        <v>1993</v>
      </c>
      <c r="T142" s="8">
        <v>1993</v>
      </c>
      <c r="U142" s="8">
        <f t="shared" si="17"/>
        <v>29</v>
      </c>
      <c r="V142" s="7">
        <v>34225</v>
      </c>
      <c r="W142" t="s">
        <v>219</v>
      </c>
      <c r="X142" s="2">
        <v>1.59</v>
      </c>
      <c r="Y142" s="6">
        <f t="shared" si="18"/>
        <v>4.2444141907583888E-2</v>
      </c>
      <c r="AA142">
        <v>52728</v>
      </c>
      <c r="AB142">
        <v>16791</v>
      </c>
      <c r="AD142" t="s">
        <v>2</v>
      </c>
      <c r="AE142">
        <v>1144</v>
      </c>
      <c r="AF142">
        <v>2</v>
      </c>
      <c r="AH142" t="s">
        <v>858</v>
      </c>
      <c r="AI142" t="s">
        <v>857</v>
      </c>
      <c r="AJ142" t="s">
        <v>856</v>
      </c>
      <c r="AK142" t="s">
        <v>855</v>
      </c>
      <c r="AL142">
        <v>33</v>
      </c>
      <c r="AM142" s="5">
        <f t="shared" si="19"/>
        <v>1.1379310344827587</v>
      </c>
      <c r="AN142" s="4">
        <f t="shared" si="20"/>
        <v>1.7234850957709331E-3</v>
      </c>
      <c r="AO142" s="3"/>
      <c r="AP142">
        <v>0</v>
      </c>
      <c r="AQ142" t="s">
        <v>16</v>
      </c>
      <c r="AR142" t="s">
        <v>854</v>
      </c>
      <c r="AS142" t="s">
        <v>15</v>
      </c>
      <c r="AT142" s="2" t="s">
        <v>0</v>
      </c>
      <c r="AU142" s="1">
        <f t="shared" si="21"/>
        <v>3.0227944864039999</v>
      </c>
      <c r="AV142" s="1">
        <f t="shared" si="22"/>
        <v>2.2083813501677407</v>
      </c>
      <c r="AW142" s="1">
        <f t="shared" si="23"/>
        <v>1.393968213931482</v>
      </c>
    </row>
    <row r="143" spans="1:49" x14ac:dyDescent="0.2">
      <c r="A143">
        <v>141</v>
      </c>
      <c r="B143" t="s">
        <v>853</v>
      </c>
      <c r="C143" t="s">
        <v>852</v>
      </c>
      <c r="D143" t="s">
        <v>851</v>
      </c>
      <c r="F143" t="s">
        <v>850</v>
      </c>
      <c r="G143" t="s">
        <v>5</v>
      </c>
      <c r="H143" t="s">
        <v>4</v>
      </c>
      <c r="I143" t="s">
        <v>849</v>
      </c>
      <c r="J143">
        <v>60031581</v>
      </c>
      <c r="K143" t="s">
        <v>183</v>
      </c>
      <c r="L143" t="s">
        <v>41</v>
      </c>
      <c r="M143" t="s">
        <v>3</v>
      </c>
      <c r="N143">
        <v>3</v>
      </c>
      <c r="O143" t="s">
        <v>848</v>
      </c>
      <c r="P143" t="s">
        <v>847</v>
      </c>
      <c r="Q143" t="s">
        <v>846</v>
      </c>
      <c r="R143" s="7">
        <v>34218</v>
      </c>
      <c r="S143" s="8">
        <f t="shared" si="16"/>
        <v>1993</v>
      </c>
      <c r="T143" s="8">
        <v>1993</v>
      </c>
      <c r="U143" s="8">
        <f t="shared" si="17"/>
        <v>29</v>
      </c>
      <c r="V143" s="7">
        <v>34218</v>
      </c>
      <c r="W143" t="s">
        <v>220</v>
      </c>
      <c r="X143" s="2">
        <v>0.499</v>
      </c>
      <c r="Y143" s="6">
        <f t="shared" si="18"/>
        <v>1.332052000747444E-2</v>
      </c>
      <c r="AA143">
        <v>3759601</v>
      </c>
      <c r="AB143">
        <v>29464</v>
      </c>
      <c r="AD143" t="s">
        <v>2</v>
      </c>
      <c r="AE143">
        <v>180</v>
      </c>
      <c r="AF143">
        <v>3</v>
      </c>
      <c r="AH143" t="s">
        <v>845</v>
      </c>
      <c r="AI143" t="s">
        <v>844</v>
      </c>
      <c r="AK143" t="s">
        <v>843</v>
      </c>
      <c r="AL143">
        <v>3</v>
      </c>
      <c r="AM143" s="5">
        <f t="shared" si="19"/>
        <v>0.10344827586206896</v>
      </c>
      <c r="AN143" s="4">
        <f t="shared" si="20"/>
        <v>1.5668046325190301E-4</v>
      </c>
      <c r="AO143" s="3"/>
      <c r="AP143">
        <v>0</v>
      </c>
      <c r="AQ143" t="s">
        <v>47</v>
      </c>
      <c r="AR143" t="s">
        <v>1</v>
      </c>
      <c r="AS143" t="s">
        <v>46</v>
      </c>
      <c r="AT143" s="2">
        <v>2.6539999999999999</v>
      </c>
      <c r="AU143" s="1">
        <f t="shared" si="21"/>
        <v>0.93713681442076791</v>
      </c>
      <c r="AV143" s="1">
        <f t="shared" si="22"/>
        <v>0.67386002353631713</v>
      </c>
      <c r="AW143" s="1">
        <f t="shared" si="23"/>
        <v>0.41058323265186641</v>
      </c>
    </row>
    <row r="144" spans="1:49" x14ac:dyDescent="0.2">
      <c r="A144">
        <v>142</v>
      </c>
      <c r="B144" t="s">
        <v>842</v>
      </c>
      <c r="C144" t="s">
        <v>841</v>
      </c>
      <c r="D144" t="s">
        <v>840</v>
      </c>
      <c r="E144">
        <v>8370458</v>
      </c>
      <c r="F144" t="s">
        <v>839</v>
      </c>
      <c r="G144" t="s">
        <v>5</v>
      </c>
      <c r="H144" t="s">
        <v>4</v>
      </c>
      <c r="I144" t="s">
        <v>838</v>
      </c>
      <c r="J144" t="s">
        <v>837</v>
      </c>
      <c r="K144" t="s">
        <v>836</v>
      </c>
      <c r="L144" t="s">
        <v>835</v>
      </c>
      <c r="M144" t="s">
        <v>87</v>
      </c>
      <c r="N144">
        <v>2</v>
      </c>
      <c r="O144" t="s">
        <v>834</v>
      </c>
      <c r="P144" t="s">
        <v>833</v>
      </c>
      <c r="Q144" t="s">
        <v>832</v>
      </c>
      <c r="R144" s="7">
        <v>34218</v>
      </c>
      <c r="S144" s="8">
        <f t="shared" si="16"/>
        <v>1993</v>
      </c>
      <c r="T144" s="8">
        <v>1993</v>
      </c>
      <c r="U144" s="8">
        <f t="shared" si="17"/>
        <v>29</v>
      </c>
      <c r="V144" s="7">
        <v>34218</v>
      </c>
      <c r="W144" t="s">
        <v>252</v>
      </c>
      <c r="X144" s="2">
        <v>1.593</v>
      </c>
      <c r="Y144" s="6">
        <f t="shared" si="18"/>
        <v>4.2524225194201973E-2</v>
      </c>
      <c r="AA144">
        <v>145793</v>
      </c>
      <c r="AB144">
        <v>17481</v>
      </c>
      <c r="AD144" t="s">
        <v>2</v>
      </c>
      <c r="AE144">
        <v>330</v>
      </c>
      <c r="AF144">
        <v>1</v>
      </c>
      <c r="AH144" s="9">
        <v>44382</v>
      </c>
      <c r="AI144" t="s">
        <v>831</v>
      </c>
      <c r="AJ144" t="s">
        <v>830</v>
      </c>
      <c r="AK144" t="s">
        <v>829</v>
      </c>
      <c r="AL144">
        <v>62</v>
      </c>
      <c r="AM144" s="5">
        <f t="shared" si="19"/>
        <v>2.1379310344827585</v>
      </c>
      <c r="AN144" s="4">
        <f t="shared" si="20"/>
        <v>3.2380629072059955E-3</v>
      </c>
      <c r="AO144" s="3"/>
      <c r="AP144">
        <v>1</v>
      </c>
      <c r="AR144" t="s">
        <v>1</v>
      </c>
      <c r="AT144" s="2">
        <v>4.1239999999999997</v>
      </c>
      <c r="AU144" s="1">
        <f t="shared" si="21"/>
        <v>3.0738376508103178</v>
      </c>
      <c r="AV144" s="1">
        <f t="shared" si="22"/>
        <v>2.2881144050703983</v>
      </c>
      <c r="AW144" s="1">
        <f t="shared" si="23"/>
        <v>1.5023911593304788</v>
      </c>
    </row>
    <row r="145" spans="1:49" x14ac:dyDescent="0.2">
      <c r="A145">
        <v>143</v>
      </c>
      <c r="B145" t="s">
        <v>828</v>
      </c>
      <c r="C145" t="s">
        <v>827</v>
      </c>
      <c r="F145" t="s">
        <v>826</v>
      </c>
      <c r="G145" t="s">
        <v>5</v>
      </c>
      <c r="H145" t="s">
        <v>4</v>
      </c>
      <c r="I145" t="s">
        <v>825</v>
      </c>
      <c r="J145">
        <v>60032350</v>
      </c>
      <c r="K145" t="s">
        <v>120</v>
      </c>
      <c r="L145" t="s">
        <v>119</v>
      </c>
      <c r="M145" t="s">
        <v>95</v>
      </c>
      <c r="N145">
        <v>2</v>
      </c>
      <c r="O145" t="s">
        <v>824</v>
      </c>
      <c r="P145" t="s">
        <v>823</v>
      </c>
      <c r="Q145" t="s">
        <v>227</v>
      </c>
      <c r="R145" s="7">
        <v>34213</v>
      </c>
      <c r="S145" s="8">
        <f t="shared" si="16"/>
        <v>1993</v>
      </c>
      <c r="T145" s="8">
        <v>1993</v>
      </c>
      <c r="U145" s="8">
        <f t="shared" si="17"/>
        <v>29</v>
      </c>
      <c r="V145" s="7">
        <v>34213</v>
      </c>
      <c r="W145" t="s">
        <v>822</v>
      </c>
      <c r="X145" s="2" t="s">
        <v>0</v>
      </c>
      <c r="Y145" s="6" t="e">
        <f t="shared" si="18"/>
        <v>#VALUE!</v>
      </c>
      <c r="AA145">
        <v>3693554</v>
      </c>
      <c r="AB145">
        <v>29862</v>
      </c>
      <c r="AC145">
        <v>18269877</v>
      </c>
      <c r="AD145" t="s">
        <v>2</v>
      </c>
      <c r="AE145">
        <v>108</v>
      </c>
      <c r="AF145">
        <v>9</v>
      </c>
      <c r="AH145" t="s">
        <v>821</v>
      </c>
      <c r="AI145" t="s">
        <v>820</v>
      </c>
      <c r="AJ145" t="s">
        <v>819</v>
      </c>
      <c r="AK145" t="s">
        <v>818</v>
      </c>
      <c r="AL145">
        <v>0</v>
      </c>
      <c r="AM145" s="5">
        <f t="shared" si="19"/>
        <v>0</v>
      </c>
      <c r="AN145" s="4">
        <f t="shared" si="20"/>
        <v>0</v>
      </c>
      <c r="AO145" s="3"/>
      <c r="AP145">
        <v>0</v>
      </c>
      <c r="AR145" t="s">
        <v>1</v>
      </c>
      <c r="AT145" s="2" t="s">
        <v>0</v>
      </c>
      <c r="AU145" s="1" t="e">
        <f t="shared" si="21"/>
        <v>#VALUE!</v>
      </c>
      <c r="AV145" s="1" t="e">
        <f t="shared" si="22"/>
        <v>#VALUE!</v>
      </c>
      <c r="AW145" s="1" t="e">
        <f t="shared" si="23"/>
        <v>#VALUE!</v>
      </c>
    </row>
    <row r="146" spans="1:49" x14ac:dyDescent="0.2">
      <c r="A146">
        <v>144</v>
      </c>
      <c r="B146" t="s">
        <v>817</v>
      </c>
      <c r="C146" t="s">
        <v>816</v>
      </c>
      <c r="F146" t="s">
        <v>815</v>
      </c>
      <c r="G146" t="s">
        <v>5</v>
      </c>
      <c r="H146" t="s">
        <v>4</v>
      </c>
      <c r="I146" t="s">
        <v>814</v>
      </c>
      <c r="J146" t="s">
        <v>813</v>
      </c>
      <c r="K146" t="s">
        <v>812</v>
      </c>
      <c r="L146" t="s">
        <v>811</v>
      </c>
      <c r="M146" t="s">
        <v>810</v>
      </c>
      <c r="N146">
        <v>2</v>
      </c>
      <c r="O146" t="s">
        <v>809</v>
      </c>
      <c r="P146" t="s">
        <v>808</v>
      </c>
      <c r="Q146" t="s">
        <v>807</v>
      </c>
      <c r="R146" s="7">
        <v>34213</v>
      </c>
      <c r="S146" s="8">
        <f t="shared" si="16"/>
        <v>1993</v>
      </c>
      <c r="T146" s="8">
        <v>1993</v>
      </c>
      <c r="U146" s="8">
        <f t="shared" si="17"/>
        <v>29</v>
      </c>
      <c r="V146" s="7">
        <v>34213</v>
      </c>
      <c r="W146" t="s">
        <v>232</v>
      </c>
      <c r="X146" s="2">
        <v>0.85499999999999998</v>
      </c>
      <c r="Y146" s="6">
        <f t="shared" si="18"/>
        <v>2.28237366861536E-2</v>
      </c>
      <c r="AA146">
        <v>980331</v>
      </c>
      <c r="AB146">
        <v>23342</v>
      </c>
      <c r="AC146">
        <v>15731561</v>
      </c>
      <c r="AD146" t="s">
        <v>2</v>
      </c>
      <c r="AE146">
        <v>19</v>
      </c>
      <c r="AF146">
        <v>9</v>
      </c>
      <c r="AH146" t="s">
        <v>806</v>
      </c>
      <c r="AI146" t="s">
        <v>805</v>
      </c>
      <c r="AJ146" t="s">
        <v>804</v>
      </c>
      <c r="AK146" t="s">
        <v>803</v>
      </c>
      <c r="AL146">
        <v>10</v>
      </c>
      <c r="AM146" s="5">
        <f t="shared" si="19"/>
        <v>0.34482758620689657</v>
      </c>
      <c r="AN146" s="4">
        <f t="shared" si="20"/>
        <v>5.2226821083967677E-4</v>
      </c>
      <c r="AO146" s="3"/>
      <c r="AP146">
        <v>0</v>
      </c>
      <c r="AR146" t="s">
        <v>1</v>
      </c>
      <c r="AT146" s="2">
        <v>2.6259999999999999</v>
      </c>
      <c r="AU146" s="1">
        <f t="shared" si="21"/>
        <v>1.6133296143559419</v>
      </c>
      <c r="AV146" s="1">
        <f t="shared" si="22"/>
        <v>1.1673002448496639</v>
      </c>
      <c r="AW146" s="1">
        <f t="shared" si="23"/>
        <v>0.7212708753433853</v>
      </c>
    </row>
    <row r="147" spans="1:49" x14ac:dyDescent="0.2">
      <c r="A147">
        <v>145</v>
      </c>
      <c r="B147" t="s">
        <v>802</v>
      </c>
      <c r="F147" t="s">
        <v>801</v>
      </c>
      <c r="G147" t="s">
        <v>5</v>
      </c>
      <c r="H147" t="s">
        <v>4</v>
      </c>
      <c r="I147" t="s">
        <v>800</v>
      </c>
      <c r="N147">
        <v>4</v>
      </c>
      <c r="O147" t="s">
        <v>799</v>
      </c>
      <c r="P147" t="s">
        <v>798</v>
      </c>
      <c r="Q147" t="s">
        <v>170</v>
      </c>
      <c r="R147" s="7">
        <v>34213</v>
      </c>
      <c r="S147" s="8">
        <f t="shared" si="16"/>
        <v>1993</v>
      </c>
      <c r="T147" s="8">
        <v>1993</v>
      </c>
      <c r="U147" s="8">
        <f t="shared" si="17"/>
        <v>29</v>
      </c>
      <c r="V147" s="7">
        <v>34213</v>
      </c>
      <c r="W147" t="s">
        <v>230</v>
      </c>
      <c r="X147" s="2" t="s">
        <v>0</v>
      </c>
      <c r="Y147" s="6" t="e">
        <f t="shared" si="18"/>
        <v>#VALUE!</v>
      </c>
      <c r="AA147">
        <v>959669</v>
      </c>
      <c r="AB147">
        <v>94658</v>
      </c>
      <c r="AD147" t="s">
        <v>2</v>
      </c>
      <c r="AE147">
        <v>23</v>
      </c>
      <c r="AF147">
        <v>2</v>
      </c>
      <c r="AH147" t="s">
        <v>797</v>
      </c>
      <c r="AI147" t="s">
        <v>796</v>
      </c>
      <c r="AK147" t="s">
        <v>795</v>
      </c>
      <c r="AL147">
        <v>1</v>
      </c>
      <c r="AM147" s="5">
        <f t="shared" si="19"/>
        <v>3.4482758620689655E-2</v>
      </c>
      <c r="AN147" s="4">
        <f t="shared" si="20"/>
        <v>5.2226821083967674E-5</v>
      </c>
      <c r="AO147" s="3"/>
      <c r="AP147">
        <v>0</v>
      </c>
      <c r="AR147" t="s">
        <v>1</v>
      </c>
      <c r="AT147" s="2" t="s">
        <v>0</v>
      </c>
      <c r="AU147" s="1" t="e">
        <f t="shared" si="21"/>
        <v>#VALUE!</v>
      </c>
      <c r="AV147" s="1" t="e">
        <f t="shared" si="22"/>
        <v>#VALUE!</v>
      </c>
      <c r="AW147" s="1" t="e">
        <f t="shared" si="23"/>
        <v>#VALUE!</v>
      </c>
    </row>
    <row r="148" spans="1:49" x14ac:dyDescent="0.2">
      <c r="A148">
        <v>146</v>
      </c>
      <c r="B148" t="s">
        <v>794</v>
      </c>
      <c r="F148" t="s">
        <v>793</v>
      </c>
      <c r="G148" t="s">
        <v>5</v>
      </c>
      <c r="H148" t="s">
        <v>4</v>
      </c>
      <c r="I148" t="s">
        <v>792</v>
      </c>
      <c r="N148">
        <v>1</v>
      </c>
      <c r="O148" t="s">
        <v>791</v>
      </c>
      <c r="P148">
        <v>6603462822</v>
      </c>
      <c r="R148" s="7">
        <v>34213</v>
      </c>
      <c r="S148" s="8">
        <f t="shared" si="16"/>
        <v>1993</v>
      </c>
      <c r="T148" s="8">
        <v>1993</v>
      </c>
      <c r="U148" s="8">
        <f t="shared" si="17"/>
        <v>29</v>
      </c>
      <c r="V148" s="7">
        <v>34213</v>
      </c>
      <c r="W148" t="s">
        <v>719</v>
      </c>
      <c r="X148" s="2" t="s">
        <v>0</v>
      </c>
      <c r="Y148" s="6" t="e">
        <f t="shared" si="18"/>
        <v>#VALUE!</v>
      </c>
      <c r="AA148">
        <v>354279</v>
      </c>
      <c r="AB148">
        <v>39821</v>
      </c>
      <c r="AD148" t="s">
        <v>2</v>
      </c>
      <c r="AE148">
        <v>25</v>
      </c>
      <c r="AF148">
        <v>3</v>
      </c>
      <c r="AH148" t="s">
        <v>790</v>
      </c>
      <c r="AI148" t="s">
        <v>789</v>
      </c>
      <c r="AK148" t="s">
        <v>788</v>
      </c>
      <c r="AL148">
        <v>0</v>
      </c>
      <c r="AM148" s="5">
        <f t="shared" si="19"/>
        <v>0</v>
      </c>
      <c r="AN148" s="4">
        <f t="shared" si="20"/>
        <v>0</v>
      </c>
      <c r="AO148" s="3"/>
      <c r="AP148">
        <v>0</v>
      </c>
      <c r="AR148" t="s">
        <v>1</v>
      </c>
      <c r="AT148" s="2" t="s">
        <v>0</v>
      </c>
      <c r="AU148" s="1" t="e">
        <f t="shared" si="21"/>
        <v>#VALUE!</v>
      </c>
      <c r="AV148" s="1" t="e">
        <f t="shared" si="22"/>
        <v>#VALUE!</v>
      </c>
      <c r="AW148" s="1" t="e">
        <f t="shared" si="23"/>
        <v>#VALUE!</v>
      </c>
    </row>
    <row r="149" spans="1:49" x14ac:dyDescent="0.2">
      <c r="A149">
        <v>147</v>
      </c>
      <c r="B149" t="s">
        <v>787</v>
      </c>
      <c r="F149" t="s">
        <v>786</v>
      </c>
      <c r="G149" t="s">
        <v>5</v>
      </c>
      <c r="H149" t="s">
        <v>4</v>
      </c>
      <c r="I149" t="s">
        <v>785</v>
      </c>
      <c r="N149">
        <v>4</v>
      </c>
      <c r="O149" t="s">
        <v>784</v>
      </c>
      <c r="P149" t="s">
        <v>783</v>
      </c>
      <c r="Q149" t="s">
        <v>170</v>
      </c>
      <c r="R149" s="7">
        <v>34213</v>
      </c>
      <c r="S149" s="8">
        <f t="shared" si="16"/>
        <v>1993</v>
      </c>
      <c r="T149" s="8">
        <v>1993</v>
      </c>
      <c r="U149" s="8">
        <f t="shared" si="17"/>
        <v>29</v>
      </c>
      <c r="V149" s="7">
        <v>34213</v>
      </c>
      <c r="W149" t="s">
        <v>254</v>
      </c>
      <c r="X149" s="2" t="s">
        <v>0</v>
      </c>
      <c r="Y149" s="6" t="e">
        <f t="shared" si="18"/>
        <v>#VALUE!</v>
      </c>
      <c r="AA149">
        <v>82821</v>
      </c>
      <c r="AB149">
        <v>13808</v>
      </c>
      <c r="AD149" t="s">
        <v>2</v>
      </c>
      <c r="AE149">
        <v>39</v>
      </c>
      <c r="AF149">
        <v>3</v>
      </c>
      <c r="AH149" t="s">
        <v>782</v>
      </c>
      <c r="AI149" t="s">
        <v>781</v>
      </c>
      <c r="AK149" t="s">
        <v>780</v>
      </c>
      <c r="AL149">
        <v>0</v>
      </c>
      <c r="AM149" s="5">
        <f t="shared" si="19"/>
        <v>0</v>
      </c>
      <c r="AN149" s="4">
        <f t="shared" si="20"/>
        <v>0</v>
      </c>
      <c r="AO149" s="3"/>
      <c r="AP149">
        <v>0</v>
      </c>
      <c r="AR149" t="s">
        <v>1</v>
      </c>
      <c r="AT149" s="2" t="s">
        <v>0</v>
      </c>
      <c r="AU149" s="1" t="e">
        <f t="shared" si="21"/>
        <v>#VALUE!</v>
      </c>
      <c r="AV149" s="1" t="e">
        <f t="shared" si="22"/>
        <v>#VALUE!</v>
      </c>
      <c r="AW149" s="1" t="e">
        <f t="shared" si="23"/>
        <v>#VALUE!</v>
      </c>
    </row>
    <row r="150" spans="1:49" x14ac:dyDescent="0.2">
      <c r="A150">
        <v>148</v>
      </c>
      <c r="B150" t="s">
        <v>779</v>
      </c>
      <c r="F150" t="s">
        <v>778</v>
      </c>
      <c r="G150" t="s">
        <v>5</v>
      </c>
      <c r="H150" t="s">
        <v>4</v>
      </c>
      <c r="I150" t="s">
        <v>777</v>
      </c>
      <c r="J150">
        <v>60031293</v>
      </c>
      <c r="K150" t="s">
        <v>169</v>
      </c>
      <c r="L150" t="s">
        <v>14</v>
      </c>
      <c r="M150" t="s">
        <v>13</v>
      </c>
      <c r="N150">
        <v>5</v>
      </c>
      <c r="O150" t="s">
        <v>776</v>
      </c>
      <c r="P150" t="s">
        <v>775</v>
      </c>
      <c r="Q150" t="s">
        <v>171</v>
      </c>
      <c r="R150" s="7">
        <v>34213</v>
      </c>
      <c r="S150" s="8">
        <f t="shared" si="16"/>
        <v>1993</v>
      </c>
      <c r="T150" s="8">
        <v>1993</v>
      </c>
      <c r="U150" s="8">
        <f t="shared" si="17"/>
        <v>29</v>
      </c>
      <c r="V150" s="7">
        <v>34213</v>
      </c>
      <c r="W150" t="s">
        <v>76</v>
      </c>
      <c r="X150" s="2">
        <v>0.21099999999999999</v>
      </c>
      <c r="Y150" s="6">
        <f t="shared" si="18"/>
        <v>5.6325244921384904E-3</v>
      </c>
      <c r="AA150">
        <v>9168516</v>
      </c>
      <c r="AB150">
        <v>18936</v>
      </c>
      <c r="AD150" t="s">
        <v>2</v>
      </c>
      <c r="AE150" t="s">
        <v>75</v>
      </c>
      <c r="AF150">
        <v>9</v>
      </c>
      <c r="AH150" t="s">
        <v>774</v>
      </c>
      <c r="AI150" t="s">
        <v>773</v>
      </c>
      <c r="AK150" t="s">
        <v>772</v>
      </c>
      <c r="AL150">
        <v>34</v>
      </c>
      <c r="AM150" s="5">
        <f t="shared" si="19"/>
        <v>1.1724137931034482</v>
      </c>
      <c r="AN150" s="4">
        <f t="shared" si="20"/>
        <v>1.7757119168549007E-3</v>
      </c>
      <c r="AO150" s="3"/>
      <c r="AP150">
        <v>0</v>
      </c>
      <c r="AR150" t="s">
        <v>1</v>
      </c>
      <c r="AT150" s="2">
        <v>0.52500000000000002</v>
      </c>
      <c r="AU150" s="1">
        <f t="shared" si="21"/>
        <v>0.4475480719553413</v>
      </c>
      <c r="AV150" s="1">
        <f t="shared" si="22"/>
        <v>0.37041182044966958</v>
      </c>
      <c r="AW150" s="1">
        <f t="shared" si="23"/>
        <v>0.29327556894399776</v>
      </c>
    </row>
    <row r="151" spans="1:49" x14ac:dyDescent="0.2">
      <c r="A151">
        <v>149</v>
      </c>
      <c r="B151" t="s">
        <v>771</v>
      </c>
      <c r="F151" t="s">
        <v>770</v>
      </c>
      <c r="G151" t="s">
        <v>5</v>
      </c>
      <c r="H151" t="s">
        <v>4</v>
      </c>
      <c r="I151" t="s">
        <v>769</v>
      </c>
      <c r="J151">
        <v>60019269</v>
      </c>
      <c r="K151" t="s">
        <v>759</v>
      </c>
      <c r="L151" t="s">
        <v>758</v>
      </c>
      <c r="M151" t="s">
        <v>24</v>
      </c>
      <c r="N151">
        <v>3</v>
      </c>
      <c r="O151" t="s">
        <v>768</v>
      </c>
      <c r="P151" t="s">
        <v>767</v>
      </c>
      <c r="Q151" t="s">
        <v>766</v>
      </c>
      <c r="R151" s="7">
        <v>34213</v>
      </c>
      <c r="S151" s="8">
        <f t="shared" si="16"/>
        <v>1993</v>
      </c>
      <c r="T151" s="8">
        <v>1993</v>
      </c>
      <c r="U151" s="8">
        <f t="shared" si="17"/>
        <v>29</v>
      </c>
      <c r="V151" s="7">
        <v>34213</v>
      </c>
      <c r="W151" t="s">
        <v>719</v>
      </c>
      <c r="X151" s="2" t="s">
        <v>0</v>
      </c>
      <c r="Y151" s="6" t="e">
        <f t="shared" si="18"/>
        <v>#VALUE!</v>
      </c>
      <c r="AA151">
        <v>354279</v>
      </c>
      <c r="AB151">
        <v>39821</v>
      </c>
      <c r="AD151" t="s">
        <v>2</v>
      </c>
      <c r="AE151">
        <v>25</v>
      </c>
      <c r="AF151">
        <v>3</v>
      </c>
      <c r="AH151" t="s">
        <v>765</v>
      </c>
      <c r="AI151" t="s">
        <v>764</v>
      </c>
      <c r="AK151" t="s">
        <v>763</v>
      </c>
      <c r="AL151">
        <v>2</v>
      </c>
      <c r="AM151" s="5">
        <f t="shared" si="19"/>
        <v>6.8965517241379309E-2</v>
      </c>
      <c r="AN151" s="4">
        <f t="shared" si="20"/>
        <v>1.0445364216793535E-4</v>
      </c>
      <c r="AO151" s="3"/>
      <c r="AP151">
        <v>0</v>
      </c>
      <c r="AR151" t="s">
        <v>1</v>
      </c>
      <c r="AT151" s="2" t="s">
        <v>0</v>
      </c>
      <c r="AU151" s="1" t="e">
        <f t="shared" si="21"/>
        <v>#VALUE!</v>
      </c>
      <c r="AV151" s="1" t="e">
        <f t="shared" si="22"/>
        <v>#VALUE!</v>
      </c>
      <c r="AW151" s="1" t="e">
        <f t="shared" si="23"/>
        <v>#VALUE!</v>
      </c>
    </row>
    <row r="152" spans="1:49" x14ac:dyDescent="0.2">
      <c r="A152">
        <v>150</v>
      </c>
      <c r="B152" t="s">
        <v>762</v>
      </c>
      <c r="F152" t="s">
        <v>761</v>
      </c>
      <c r="G152" t="s">
        <v>5</v>
      </c>
      <c r="H152" t="s">
        <v>4</v>
      </c>
      <c r="I152" t="s">
        <v>760</v>
      </c>
      <c r="J152">
        <v>60019269</v>
      </c>
      <c r="K152" t="s">
        <v>759</v>
      </c>
      <c r="L152" t="s">
        <v>758</v>
      </c>
      <c r="M152" t="s">
        <v>24</v>
      </c>
      <c r="N152">
        <v>4</v>
      </c>
      <c r="O152" t="s">
        <v>757</v>
      </c>
      <c r="P152" t="s">
        <v>756</v>
      </c>
      <c r="Q152" t="s">
        <v>755</v>
      </c>
      <c r="R152" s="7">
        <v>34213</v>
      </c>
      <c r="S152" s="8">
        <f t="shared" si="16"/>
        <v>1993</v>
      </c>
      <c r="T152" s="8">
        <v>1993</v>
      </c>
      <c r="U152" s="8">
        <f t="shared" si="17"/>
        <v>29</v>
      </c>
      <c r="V152" s="7">
        <v>34213</v>
      </c>
      <c r="W152" t="s">
        <v>719</v>
      </c>
      <c r="X152" s="2" t="s">
        <v>0</v>
      </c>
      <c r="Y152" s="6" t="e">
        <f t="shared" si="18"/>
        <v>#VALUE!</v>
      </c>
      <c r="AA152">
        <v>354279</v>
      </c>
      <c r="AB152">
        <v>39821</v>
      </c>
      <c r="AD152" t="s">
        <v>2</v>
      </c>
      <c r="AE152">
        <v>25</v>
      </c>
      <c r="AF152">
        <v>3</v>
      </c>
      <c r="AH152" t="s">
        <v>754</v>
      </c>
      <c r="AI152" t="s">
        <v>753</v>
      </c>
      <c r="AK152" t="s">
        <v>752</v>
      </c>
      <c r="AL152">
        <v>0</v>
      </c>
      <c r="AM152" s="5">
        <f t="shared" si="19"/>
        <v>0</v>
      </c>
      <c r="AN152" s="4">
        <f t="shared" si="20"/>
        <v>0</v>
      </c>
      <c r="AO152" s="3"/>
      <c r="AP152">
        <v>0</v>
      </c>
      <c r="AR152" t="s">
        <v>1</v>
      </c>
      <c r="AT152" s="2" t="s">
        <v>0</v>
      </c>
      <c r="AU152" s="1" t="e">
        <f t="shared" si="21"/>
        <v>#VALUE!</v>
      </c>
      <c r="AV152" s="1" t="e">
        <f t="shared" si="22"/>
        <v>#VALUE!</v>
      </c>
      <c r="AW152" s="1" t="e">
        <f t="shared" si="23"/>
        <v>#VALUE!</v>
      </c>
    </row>
    <row r="153" spans="1:49" x14ac:dyDescent="0.2">
      <c r="A153">
        <v>151</v>
      </c>
      <c r="B153" t="s">
        <v>751</v>
      </c>
      <c r="C153" t="s">
        <v>750</v>
      </c>
      <c r="F153" t="s">
        <v>749</v>
      </c>
      <c r="G153" t="s">
        <v>5</v>
      </c>
      <c r="H153" t="s">
        <v>4</v>
      </c>
      <c r="I153" t="s">
        <v>197</v>
      </c>
      <c r="J153" t="s">
        <v>748</v>
      </c>
      <c r="K153" t="s">
        <v>747</v>
      </c>
      <c r="L153" t="s">
        <v>746</v>
      </c>
      <c r="M153" t="s">
        <v>745</v>
      </c>
      <c r="N153">
        <v>5</v>
      </c>
      <c r="O153" t="s">
        <v>744</v>
      </c>
      <c r="P153" t="s">
        <v>743</v>
      </c>
      <c r="Q153" t="s">
        <v>742</v>
      </c>
      <c r="R153" s="7">
        <v>34213</v>
      </c>
      <c r="S153" s="8">
        <f t="shared" si="16"/>
        <v>1993</v>
      </c>
      <c r="T153" s="8">
        <v>1993</v>
      </c>
      <c r="U153" s="8">
        <f t="shared" si="17"/>
        <v>29</v>
      </c>
      <c r="V153" s="7">
        <v>34213</v>
      </c>
      <c r="W153" t="s">
        <v>109</v>
      </c>
      <c r="X153" s="2">
        <v>0.61499999999999999</v>
      </c>
      <c r="Y153" s="6">
        <f t="shared" si="18"/>
        <v>1.6417073756706976E-2</v>
      </c>
      <c r="AA153">
        <v>1959271</v>
      </c>
      <c r="AB153">
        <v>12141</v>
      </c>
      <c r="AC153">
        <v>15729559</v>
      </c>
      <c r="AD153" t="s">
        <v>2</v>
      </c>
      <c r="AE153">
        <v>14</v>
      </c>
      <c r="AF153">
        <v>9</v>
      </c>
      <c r="AH153" t="s">
        <v>741</v>
      </c>
      <c r="AI153" t="s">
        <v>740</v>
      </c>
      <c r="AJ153" t="s">
        <v>739</v>
      </c>
      <c r="AK153" t="s">
        <v>738</v>
      </c>
      <c r="AL153">
        <v>14</v>
      </c>
      <c r="AM153" s="5">
        <f t="shared" si="19"/>
        <v>0.48275862068965519</v>
      </c>
      <c r="AN153" s="4">
        <f t="shared" si="20"/>
        <v>7.3117549517554741E-4</v>
      </c>
      <c r="AO153" s="3"/>
      <c r="AP153">
        <v>0</v>
      </c>
      <c r="AR153" t="s">
        <v>1</v>
      </c>
      <c r="AT153" s="2" t="s">
        <v>0</v>
      </c>
      <c r="AU153" s="1">
        <f t="shared" si="21"/>
        <v>1.1711304278247545</v>
      </c>
      <c r="AV153" s="1">
        <f t="shared" si="22"/>
        <v>0.85741246259412618</v>
      </c>
      <c r="AW153" s="1">
        <f t="shared" si="23"/>
        <v>0.54369449736349751</v>
      </c>
    </row>
    <row r="154" spans="1:49" x14ac:dyDescent="0.2">
      <c r="A154">
        <v>152</v>
      </c>
      <c r="B154" t="s">
        <v>737</v>
      </c>
      <c r="F154" t="s">
        <v>736</v>
      </c>
      <c r="G154" t="s">
        <v>5</v>
      </c>
      <c r="H154" t="s">
        <v>4</v>
      </c>
      <c r="I154" t="s">
        <v>172</v>
      </c>
      <c r="J154">
        <v>60031293</v>
      </c>
      <c r="K154" t="s">
        <v>169</v>
      </c>
      <c r="L154" t="s">
        <v>14</v>
      </c>
      <c r="M154" t="s">
        <v>13</v>
      </c>
      <c r="N154">
        <v>3</v>
      </c>
      <c r="O154" t="s">
        <v>735</v>
      </c>
      <c r="P154" t="s">
        <v>218</v>
      </c>
      <c r="Q154" t="s">
        <v>217</v>
      </c>
      <c r="R154" s="7">
        <v>34213</v>
      </c>
      <c r="S154" s="8">
        <f t="shared" si="16"/>
        <v>1993</v>
      </c>
      <c r="T154" s="8">
        <v>1993</v>
      </c>
      <c r="U154" s="8">
        <f t="shared" si="17"/>
        <v>29</v>
      </c>
      <c r="V154" s="7">
        <v>34213</v>
      </c>
      <c r="W154" t="s">
        <v>76</v>
      </c>
      <c r="X154" s="2">
        <v>0.21099999999999999</v>
      </c>
      <c r="Y154" s="6">
        <f t="shared" si="18"/>
        <v>5.6325244921384904E-3</v>
      </c>
      <c r="AA154">
        <v>9168516</v>
      </c>
      <c r="AB154">
        <v>18936</v>
      </c>
      <c r="AD154" t="s">
        <v>2</v>
      </c>
      <c r="AE154" t="s">
        <v>75</v>
      </c>
      <c r="AF154">
        <v>9</v>
      </c>
      <c r="AH154" t="s">
        <v>734</v>
      </c>
      <c r="AI154" t="s">
        <v>733</v>
      </c>
      <c r="AK154" t="s">
        <v>732</v>
      </c>
      <c r="AL154">
        <v>2</v>
      </c>
      <c r="AM154" s="5">
        <f t="shared" si="19"/>
        <v>6.8965517241379309E-2</v>
      </c>
      <c r="AN154" s="4">
        <f t="shared" si="20"/>
        <v>1.0445364216793535E-4</v>
      </c>
      <c r="AO154" s="3"/>
      <c r="AP154">
        <v>0</v>
      </c>
      <c r="AR154" t="s">
        <v>1</v>
      </c>
      <c r="AT154" s="2">
        <v>0.52500000000000002</v>
      </c>
      <c r="AU154" s="1">
        <f t="shared" si="21"/>
        <v>0.39741032371473234</v>
      </c>
      <c r="AV154" s="1">
        <f t="shared" si="22"/>
        <v>0.28684890671532126</v>
      </c>
      <c r="AW154" s="1">
        <f t="shared" si="23"/>
        <v>0.17628748971591018</v>
      </c>
    </row>
    <row r="155" spans="1:49" x14ac:dyDescent="0.2">
      <c r="A155">
        <v>153</v>
      </c>
      <c r="B155" t="s">
        <v>731</v>
      </c>
      <c r="F155" t="s">
        <v>730</v>
      </c>
      <c r="G155" t="s">
        <v>5</v>
      </c>
      <c r="H155" t="s">
        <v>4</v>
      </c>
      <c r="I155" t="s">
        <v>729</v>
      </c>
      <c r="J155">
        <v>60016653</v>
      </c>
      <c r="K155" t="s">
        <v>209</v>
      </c>
      <c r="L155" t="s">
        <v>208</v>
      </c>
      <c r="M155" t="s">
        <v>8</v>
      </c>
      <c r="N155">
        <v>1</v>
      </c>
      <c r="O155" t="s">
        <v>728</v>
      </c>
      <c r="P155">
        <v>7004411788</v>
      </c>
      <c r="Q155">
        <v>60016653</v>
      </c>
      <c r="R155" s="7">
        <v>34213</v>
      </c>
      <c r="S155" s="8">
        <f t="shared" si="16"/>
        <v>1993</v>
      </c>
      <c r="T155" s="8">
        <v>1993</v>
      </c>
      <c r="U155" s="8">
        <f t="shared" si="17"/>
        <v>29</v>
      </c>
      <c r="V155" s="7">
        <v>34213</v>
      </c>
      <c r="W155" t="s">
        <v>48</v>
      </c>
      <c r="X155" s="2">
        <v>0.54700000000000004</v>
      </c>
      <c r="Y155" s="6">
        <f t="shared" si="18"/>
        <v>1.4601852593363766E-2</v>
      </c>
      <c r="AA155">
        <v>11096</v>
      </c>
      <c r="AB155">
        <v>31211</v>
      </c>
      <c r="AD155" t="s">
        <v>2</v>
      </c>
      <c r="AE155">
        <v>47</v>
      </c>
      <c r="AF155" s="9">
        <v>44352</v>
      </c>
      <c r="AH155" t="s">
        <v>727</v>
      </c>
      <c r="AI155" t="s">
        <v>726</v>
      </c>
      <c r="AK155" t="s">
        <v>725</v>
      </c>
      <c r="AL155">
        <v>1</v>
      </c>
      <c r="AM155" s="5">
        <f t="shared" si="19"/>
        <v>3.4482758620689655E-2</v>
      </c>
      <c r="AN155" s="4">
        <f t="shared" si="20"/>
        <v>5.2226821083967674E-5</v>
      </c>
      <c r="AO155" s="3"/>
      <c r="AP155">
        <v>0</v>
      </c>
      <c r="AR155" t="s">
        <v>1</v>
      </c>
      <c r="AT155" s="2" t="s">
        <v>0</v>
      </c>
      <c r="AU155" s="1">
        <f t="shared" si="21"/>
        <v>1.0236964861679825</v>
      </c>
      <c r="AV155" s="1">
        <f t="shared" si="22"/>
        <v>0.73270397072238669</v>
      </c>
      <c r="AW155" s="1">
        <f t="shared" si="23"/>
        <v>0.44171145527679068</v>
      </c>
    </row>
    <row r="156" spans="1:49" x14ac:dyDescent="0.2">
      <c r="A156">
        <v>154</v>
      </c>
      <c r="B156" t="s">
        <v>724</v>
      </c>
      <c r="F156" t="s">
        <v>723</v>
      </c>
      <c r="G156" t="s">
        <v>5</v>
      </c>
      <c r="H156" t="s">
        <v>4</v>
      </c>
      <c r="I156" t="s">
        <v>722</v>
      </c>
      <c r="J156">
        <v>100404983</v>
      </c>
      <c r="K156" t="s">
        <v>721</v>
      </c>
      <c r="N156">
        <v>1</v>
      </c>
      <c r="O156" t="s">
        <v>720</v>
      </c>
      <c r="P156">
        <v>7103381669</v>
      </c>
      <c r="Q156">
        <v>100404983</v>
      </c>
      <c r="R156" s="7">
        <v>34213</v>
      </c>
      <c r="S156" s="8">
        <f t="shared" si="16"/>
        <v>1993</v>
      </c>
      <c r="T156" s="8">
        <v>1993</v>
      </c>
      <c r="U156" s="8">
        <f t="shared" si="17"/>
        <v>29</v>
      </c>
      <c r="V156" s="7">
        <v>34213</v>
      </c>
      <c r="W156" t="s">
        <v>719</v>
      </c>
      <c r="X156" s="2" t="s">
        <v>0</v>
      </c>
      <c r="Y156" s="6" t="e">
        <f t="shared" si="18"/>
        <v>#VALUE!</v>
      </c>
      <c r="AA156">
        <v>354279</v>
      </c>
      <c r="AB156">
        <v>39821</v>
      </c>
      <c r="AD156" t="s">
        <v>2</v>
      </c>
      <c r="AE156">
        <v>25</v>
      </c>
      <c r="AF156">
        <v>3</v>
      </c>
      <c r="AH156" t="s">
        <v>718</v>
      </c>
      <c r="AI156" t="s">
        <v>717</v>
      </c>
      <c r="AK156" t="s">
        <v>716</v>
      </c>
      <c r="AL156">
        <v>0</v>
      </c>
      <c r="AM156" s="5">
        <f t="shared" si="19"/>
        <v>0</v>
      </c>
      <c r="AN156" s="4">
        <f t="shared" si="20"/>
        <v>0</v>
      </c>
      <c r="AO156" s="3"/>
      <c r="AP156">
        <v>0</v>
      </c>
      <c r="AR156" t="s">
        <v>1</v>
      </c>
      <c r="AT156" s="2" t="s">
        <v>0</v>
      </c>
      <c r="AU156" s="1" t="e">
        <f t="shared" si="21"/>
        <v>#VALUE!</v>
      </c>
      <c r="AV156" s="1" t="e">
        <f t="shared" si="22"/>
        <v>#VALUE!</v>
      </c>
      <c r="AW156" s="1" t="e">
        <f t="shared" si="23"/>
        <v>#VALUE!</v>
      </c>
    </row>
    <row r="157" spans="1:49" x14ac:dyDescent="0.2">
      <c r="A157">
        <v>155</v>
      </c>
      <c r="B157" t="s">
        <v>715</v>
      </c>
      <c r="C157" t="s">
        <v>714</v>
      </c>
      <c r="F157" t="s">
        <v>713</v>
      </c>
      <c r="G157" t="s">
        <v>5</v>
      </c>
      <c r="H157" t="s">
        <v>4</v>
      </c>
      <c r="I157" t="s">
        <v>712</v>
      </c>
      <c r="J157" t="s">
        <v>711</v>
      </c>
      <c r="K157" t="s">
        <v>710</v>
      </c>
      <c r="L157" t="s">
        <v>709</v>
      </c>
      <c r="M157" t="s">
        <v>45</v>
      </c>
      <c r="N157">
        <v>3</v>
      </c>
      <c r="O157" t="s">
        <v>708</v>
      </c>
      <c r="P157" t="s">
        <v>707</v>
      </c>
      <c r="Q157" t="s">
        <v>706</v>
      </c>
      <c r="R157" s="7">
        <v>34213</v>
      </c>
      <c r="S157" s="8">
        <f t="shared" si="16"/>
        <v>1993</v>
      </c>
      <c r="T157" s="8">
        <v>1993</v>
      </c>
      <c r="U157" s="8">
        <f t="shared" si="17"/>
        <v>29</v>
      </c>
      <c r="V157" s="7">
        <v>34213</v>
      </c>
      <c r="W157" t="s">
        <v>705</v>
      </c>
      <c r="X157" s="2">
        <v>0.51300000000000001</v>
      </c>
      <c r="Y157" s="6">
        <f t="shared" si="18"/>
        <v>1.369424201169216E-2</v>
      </c>
      <c r="AA157">
        <v>1959298</v>
      </c>
      <c r="AB157">
        <v>21179</v>
      </c>
      <c r="AC157">
        <v>15734862</v>
      </c>
      <c r="AD157" t="s">
        <v>2</v>
      </c>
      <c r="AE157">
        <v>12</v>
      </c>
      <c r="AF157">
        <v>3</v>
      </c>
      <c r="AH157" t="s">
        <v>704</v>
      </c>
      <c r="AI157" t="s">
        <v>703</v>
      </c>
      <c r="AJ157" t="s">
        <v>702</v>
      </c>
      <c r="AK157" t="s">
        <v>701</v>
      </c>
      <c r="AL157">
        <v>8</v>
      </c>
      <c r="AM157" s="5">
        <f t="shared" si="19"/>
        <v>0.27586206896551724</v>
      </c>
      <c r="AN157" s="4">
        <f t="shared" si="20"/>
        <v>4.1781456867174139E-4</v>
      </c>
      <c r="AO157" s="3"/>
      <c r="AP157">
        <v>0</v>
      </c>
      <c r="AR157" t="s">
        <v>1</v>
      </c>
      <c r="AT157" s="2">
        <v>1.9950000000000001</v>
      </c>
      <c r="AU157" s="1">
        <f t="shared" si="21"/>
        <v>0.97113137787860349</v>
      </c>
      <c r="AV157" s="1">
        <f t="shared" si="22"/>
        <v>0.70560282901819504</v>
      </c>
      <c r="AW157" s="1">
        <f t="shared" si="23"/>
        <v>0.44007428015778666</v>
      </c>
    </row>
    <row r="158" spans="1:49" x14ac:dyDescent="0.2">
      <c r="A158">
        <v>156</v>
      </c>
      <c r="B158" t="s">
        <v>700</v>
      </c>
      <c r="F158" t="s">
        <v>699</v>
      </c>
      <c r="G158" t="s">
        <v>5</v>
      </c>
      <c r="H158" t="s">
        <v>4</v>
      </c>
      <c r="I158" t="s">
        <v>698</v>
      </c>
      <c r="J158">
        <v>60004026</v>
      </c>
      <c r="K158" t="s">
        <v>697</v>
      </c>
      <c r="L158" t="s">
        <v>696</v>
      </c>
      <c r="M158" t="s">
        <v>30</v>
      </c>
      <c r="N158">
        <v>2</v>
      </c>
      <c r="O158" t="s">
        <v>695</v>
      </c>
      <c r="P158" t="s">
        <v>694</v>
      </c>
      <c r="Q158" t="s">
        <v>693</v>
      </c>
      <c r="R158" s="7">
        <v>34213</v>
      </c>
      <c r="S158" s="8">
        <f t="shared" si="16"/>
        <v>1993</v>
      </c>
      <c r="T158" s="8">
        <v>1993</v>
      </c>
      <c r="U158" s="8">
        <f t="shared" si="17"/>
        <v>29</v>
      </c>
      <c r="V158" s="7">
        <v>34213</v>
      </c>
      <c r="W158" t="s">
        <v>692</v>
      </c>
      <c r="X158" s="2">
        <v>0.115</v>
      </c>
      <c r="Y158" s="6">
        <f t="shared" si="18"/>
        <v>3.069859320359841E-3</v>
      </c>
      <c r="AA158">
        <v>933651</v>
      </c>
      <c r="AB158">
        <v>14396</v>
      </c>
      <c r="AD158" t="s">
        <v>2</v>
      </c>
      <c r="AE158">
        <v>34</v>
      </c>
      <c r="AF158">
        <v>9</v>
      </c>
      <c r="AH158" t="s">
        <v>691</v>
      </c>
      <c r="AI158" t="s">
        <v>690</v>
      </c>
      <c r="AK158" t="s">
        <v>689</v>
      </c>
      <c r="AL158">
        <v>59</v>
      </c>
      <c r="AM158" s="5">
        <f t="shared" si="19"/>
        <v>2.0344827586206895</v>
      </c>
      <c r="AN158" s="4">
        <f t="shared" si="20"/>
        <v>3.0813824439540924E-3</v>
      </c>
      <c r="AO158" s="3"/>
      <c r="AP158">
        <v>0</v>
      </c>
      <c r="AR158" t="s">
        <v>1</v>
      </c>
      <c r="AT158" s="2">
        <v>0.17499999999999999</v>
      </c>
      <c r="AU158" s="1">
        <f t="shared" si="21"/>
        <v>0.30733162574381162</v>
      </c>
      <c r="AV158" s="1">
        <f t="shared" si="22"/>
        <v>0.30756208821569664</v>
      </c>
      <c r="AW158" s="1">
        <f t="shared" si="23"/>
        <v>0.30779255068758166</v>
      </c>
    </row>
    <row r="159" spans="1:49" x14ac:dyDescent="0.2">
      <c r="A159">
        <v>157</v>
      </c>
      <c r="B159" t="s">
        <v>688</v>
      </c>
      <c r="C159" t="s">
        <v>687</v>
      </c>
      <c r="F159" t="s">
        <v>686</v>
      </c>
      <c r="G159" t="s">
        <v>5</v>
      </c>
      <c r="H159" t="s">
        <v>4</v>
      </c>
      <c r="I159" t="s">
        <v>685</v>
      </c>
      <c r="J159">
        <v>60000765</v>
      </c>
      <c r="K159" t="s">
        <v>36</v>
      </c>
      <c r="L159" t="s">
        <v>35</v>
      </c>
      <c r="M159" t="s">
        <v>8</v>
      </c>
      <c r="N159">
        <v>2</v>
      </c>
      <c r="O159" t="s">
        <v>684</v>
      </c>
      <c r="P159" t="s">
        <v>683</v>
      </c>
      <c r="Q159" t="s">
        <v>34</v>
      </c>
      <c r="R159" s="7">
        <v>34213</v>
      </c>
      <c r="S159" s="8">
        <f t="shared" si="16"/>
        <v>1993</v>
      </c>
      <c r="T159" s="8">
        <v>1993</v>
      </c>
      <c r="U159" s="8">
        <f t="shared" si="17"/>
        <v>29</v>
      </c>
      <c r="V159" s="7">
        <v>34213</v>
      </c>
      <c r="W159" t="s">
        <v>237</v>
      </c>
      <c r="X159" s="2">
        <v>0.78300000000000003</v>
      </c>
      <c r="Y159" s="6">
        <f t="shared" si="18"/>
        <v>2.0901737807319614E-2</v>
      </c>
      <c r="AA159">
        <v>281042</v>
      </c>
      <c r="AB159">
        <v>21662</v>
      </c>
      <c r="AC159">
        <v>14321904</v>
      </c>
      <c r="AD159" t="s">
        <v>2</v>
      </c>
      <c r="AE159">
        <v>80</v>
      </c>
      <c r="AF159">
        <v>9</v>
      </c>
      <c r="AH159" t="s">
        <v>682</v>
      </c>
      <c r="AL159">
        <v>20</v>
      </c>
      <c r="AM159" s="5">
        <f t="shared" si="19"/>
        <v>0.68965517241379315</v>
      </c>
      <c r="AN159" s="4">
        <f t="shared" si="20"/>
        <v>1.0445364216793535E-3</v>
      </c>
      <c r="AO159" s="3"/>
      <c r="AP159">
        <v>0</v>
      </c>
      <c r="AR159" t="s">
        <v>1</v>
      </c>
      <c r="AT159" s="2" t="s">
        <v>0</v>
      </c>
      <c r="AU159" s="1">
        <f t="shared" si="21"/>
        <v>1.4944577391627534</v>
      </c>
      <c r="AV159" s="1">
        <f t="shared" si="22"/>
        <v>1.0973137114499483</v>
      </c>
      <c r="AW159" s="1">
        <f t="shared" si="23"/>
        <v>0.70016968373714306</v>
      </c>
    </row>
    <row r="160" spans="1:49" x14ac:dyDescent="0.2">
      <c r="A160">
        <v>158</v>
      </c>
      <c r="B160" t="s">
        <v>681</v>
      </c>
      <c r="C160" t="s">
        <v>680</v>
      </c>
      <c r="D160" t="s">
        <v>679</v>
      </c>
      <c r="E160">
        <v>8365930</v>
      </c>
      <c r="F160" t="s">
        <v>678</v>
      </c>
      <c r="G160" t="s">
        <v>5</v>
      </c>
      <c r="H160" t="s">
        <v>4</v>
      </c>
      <c r="I160" t="s">
        <v>677</v>
      </c>
      <c r="J160" t="s">
        <v>676</v>
      </c>
      <c r="K160" t="s">
        <v>675</v>
      </c>
      <c r="L160" t="s">
        <v>674</v>
      </c>
      <c r="M160" t="s">
        <v>18</v>
      </c>
      <c r="N160">
        <v>5</v>
      </c>
      <c r="O160" t="s">
        <v>673</v>
      </c>
      <c r="P160" t="s">
        <v>672</v>
      </c>
      <c r="Q160" t="s">
        <v>671</v>
      </c>
      <c r="R160" s="7">
        <v>34213</v>
      </c>
      <c r="S160" s="8">
        <f t="shared" si="16"/>
        <v>1993</v>
      </c>
      <c r="T160" s="8">
        <v>1993</v>
      </c>
      <c r="U160" s="8">
        <f t="shared" si="17"/>
        <v>29</v>
      </c>
      <c r="V160" s="7">
        <v>34213</v>
      </c>
      <c r="W160" t="s">
        <v>93</v>
      </c>
      <c r="X160" s="2" t="s">
        <v>0</v>
      </c>
      <c r="Y160" s="6" t="e">
        <f t="shared" si="18"/>
        <v>#VALUE!</v>
      </c>
      <c r="AA160">
        <v>3603016</v>
      </c>
      <c r="AB160">
        <v>17191</v>
      </c>
      <c r="AD160" t="s">
        <v>2</v>
      </c>
      <c r="AE160">
        <v>27</v>
      </c>
      <c r="AF160">
        <v>1</v>
      </c>
      <c r="AH160" t="s">
        <v>670</v>
      </c>
      <c r="AI160" t="s">
        <v>669</v>
      </c>
      <c r="AJ160" t="s">
        <v>668</v>
      </c>
      <c r="AK160" t="s">
        <v>667</v>
      </c>
      <c r="AL160">
        <v>0</v>
      </c>
      <c r="AM160" s="5">
        <f t="shared" si="19"/>
        <v>0</v>
      </c>
      <c r="AN160" s="4">
        <f t="shared" si="20"/>
        <v>0</v>
      </c>
      <c r="AO160" s="3"/>
      <c r="AP160">
        <v>0</v>
      </c>
      <c r="AR160" t="s">
        <v>1</v>
      </c>
      <c r="AT160" s="2" t="s">
        <v>0</v>
      </c>
      <c r="AU160" s="1" t="e">
        <f t="shared" si="21"/>
        <v>#VALUE!</v>
      </c>
      <c r="AV160" s="1" t="e">
        <f t="shared" si="22"/>
        <v>#VALUE!</v>
      </c>
      <c r="AW160" s="1" t="e">
        <f t="shared" si="23"/>
        <v>#VALUE!</v>
      </c>
    </row>
    <row r="161" spans="1:49" x14ac:dyDescent="0.2">
      <c r="A161">
        <v>159</v>
      </c>
      <c r="B161" t="s">
        <v>666</v>
      </c>
      <c r="C161" t="s">
        <v>665</v>
      </c>
      <c r="F161" t="s">
        <v>664</v>
      </c>
      <c r="G161" t="s">
        <v>5</v>
      </c>
      <c r="H161" t="s">
        <v>4</v>
      </c>
      <c r="I161" t="s">
        <v>663</v>
      </c>
      <c r="J161" t="s">
        <v>662</v>
      </c>
      <c r="K161" t="s">
        <v>661</v>
      </c>
      <c r="L161" t="s">
        <v>660</v>
      </c>
      <c r="M161" t="s">
        <v>659</v>
      </c>
      <c r="N161">
        <v>5</v>
      </c>
      <c r="O161" t="s">
        <v>658</v>
      </c>
      <c r="P161" t="s">
        <v>657</v>
      </c>
      <c r="Q161" t="s">
        <v>656</v>
      </c>
      <c r="R161" s="7">
        <v>34213</v>
      </c>
      <c r="S161" s="8">
        <f t="shared" si="16"/>
        <v>1993</v>
      </c>
      <c r="T161" s="8">
        <v>1993</v>
      </c>
      <c r="U161" s="8">
        <f t="shared" si="17"/>
        <v>29</v>
      </c>
      <c r="V161" s="7">
        <v>34213</v>
      </c>
      <c r="W161" t="s">
        <v>223</v>
      </c>
      <c r="X161" s="2">
        <v>7.1150000000000002</v>
      </c>
      <c r="Y161" s="6">
        <f t="shared" si="18"/>
        <v>0.18993086142921972</v>
      </c>
      <c r="AA161">
        <v>27863</v>
      </c>
      <c r="AB161">
        <v>22680</v>
      </c>
      <c r="AC161">
        <v>15205126</v>
      </c>
      <c r="AD161" t="s">
        <v>2</v>
      </c>
      <c r="AE161">
        <v>115</v>
      </c>
      <c r="AF161">
        <v>18</v>
      </c>
      <c r="AH161" t="s">
        <v>655</v>
      </c>
      <c r="AI161" t="s">
        <v>654</v>
      </c>
      <c r="AK161" t="s">
        <v>653</v>
      </c>
      <c r="AL161">
        <v>281</v>
      </c>
      <c r="AM161" s="5">
        <f t="shared" si="19"/>
        <v>9.6896551724137936</v>
      </c>
      <c r="AN161" s="4">
        <f t="shared" si="20"/>
        <v>1.4675736724594917E-2</v>
      </c>
      <c r="AO161" s="3"/>
      <c r="AP161">
        <v>0</v>
      </c>
      <c r="AR161" t="s">
        <v>1</v>
      </c>
      <c r="AT161" s="2" t="s">
        <v>0</v>
      </c>
      <c r="AU161" s="1">
        <f t="shared" si="21"/>
        <v>13.735432401783228</v>
      </c>
      <c r="AV161" s="1">
        <f t="shared" si="22"/>
        <v>10.230329907690731</v>
      </c>
      <c r="AW161" s="1">
        <f t="shared" si="23"/>
        <v>6.7252274135982368</v>
      </c>
    </row>
    <row r="162" spans="1:49" x14ac:dyDescent="0.2">
      <c r="A162">
        <v>160</v>
      </c>
      <c r="B162" t="s">
        <v>652</v>
      </c>
      <c r="C162" t="s">
        <v>651</v>
      </c>
      <c r="F162" t="s">
        <v>650</v>
      </c>
      <c r="G162" t="s">
        <v>5</v>
      </c>
      <c r="H162" t="s">
        <v>4</v>
      </c>
      <c r="I162" t="s">
        <v>649</v>
      </c>
      <c r="J162">
        <v>60051492</v>
      </c>
      <c r="K162" t="s">
        <v>648</v>
      </c>
      <c r="L162" t="s">
        <v>647</v>
      </c>
      <c r="M162" t="s">
        <v>646</v>
      </c>
      <c r="N162">
        <v>3</v>
      </c>
      <c r="O162" t="s">
        <v>645</v>
      </c>
      <c r="P162" t="s">
        <v>644</v>
      </c>
      <c r="Q162" t="s">
        <v>643</v>
      </c>
      <c r="R162" s="7">
        <v>34213</v>
      </c>
      <c r="S162" s="8">
        <f t="shared" si="16"/>
        <v>1993</v>
      </c>
      <c r="T162" s="8">
        <v>1993</v>
      </c>
      <c r="U162" s="8">
        <f t="shared" si="17"/>
        <v>29</v>
      </c>
      <c r="V162" s="7">
        <v>34213</v>
      </c>
      <c r="W162" t="s">
        <v>232</v>
      </c>
      <c r="X162" s="2">
        <v>0.85499999999999998</v>
      </c>
      <c r="Y162" s="6">
        <f t="shared" si="18"/>
        <v>2.28237366861536E-2</v>
      </c>
      <c r="AA162">
        <v>980331</v>
      </c>
      <c r="AB162">
        <v>23342</v>
      </c>
      <c r="AC162">
        <v>15731561</v>
      </c>
      <c r="AD162" t="s">
        <v>2</v>
      </c>
      <c r="AE162">
        <v>19</v>
      </c>
      <c r="AF162">
        <v>9</v>
      </c>
      <c r="AH162" t="s">
        <v>642</v>
      </c>
      <c r="AI162" t="s">
        <v>641</v>
      </c>
      <c r="AJ162" t="s">
        <v>640</v>
      </c>
      <c r="AK162" t="s">
        <v>639</v>
      </c>
      <c r="AL162">
        <v>55</v>
      </c>
      <c r="AM162" s="5">
        <f t="shared" si="19"/>
        <v>1.896551724137931</v>
      </c>
      <c r="AN162" s="4">
        <f t="shared" si="20"/>
        <v>2.8724751596182221E-3</v>
      </c>
      <c r="AO162" s="3"/>
      <c r="AP162">
        <v>0</v>
      </c>
      <c r="AR162" t="s">
        <v>1</v>
      </c>
      <c r="AT162" s="2">
        <v>2.6259999999999999</v>
      </c>
      <c r="AU162" s="1">
        <f t="shared" si="21"/>
        <v>1.6838358228192982</v>
      </c>
      <c r="AV162" s="1">
        <f t="shared" si="22"/>
        <v>1.2848105922885911</v>
      </c>
      <c r="AW162" s="1">
        <f t="shared" si="23"/>
        <v>0.88578536175788358</v>
      </c>
    </row>
    <row r="163" spans="1:49" x14ac:dyDescent="0.2">
      <c r="A163">
        <v>161</v>
      </c>
      <c r="B163" t="s">
        <v>638</v>
      </c>
      <c r="C163" t="s">
        <v>637</v>
      </c>
      <c r="F163" t="s">
        <v>636</v>
      </c>
      <c r="G163" t="s">
        <v>5</v>
      </c>
      <c r="H163" t="s">
        <v>4</v>
      </c>
      <c r="I163" t="s">
        <v>635</v>
      </c>
      <c r="J163">
        <v>60029170</v>
      </c>
      <c r="K163" t="s">
        <v>12</v>
      </c>
      <c r="L163" t="s">
        <v>11</v>
      </c>
      <c r="M163" t="s">
        <v>10</v>
      </c>
      <c r="N163">
        <v>3</v>
      </c>
      <c r="O163" t="s">
        <v>634</v>
      </c>
      <c r="P163" t="s">
        <v>633</v>
      </c>
      <c r="Q163" t="s">
        <v>632</v>
      </c>
      <c r="R163" s="7">
        <v>34213</v>
      </c>
      <c r="S163" s="8">
        <f t="shared" si="16"/>
        <v>1993</v>
      </c>
      <c r="T163" s="8">
        <v>1993</v>
      </c>
      <c r="U163" s="8">
        <f t="shared" si="17"/>
        <v>29</v>
      </c>
      <c r="V163" s="7">
        <v>34213</v>
      </c>
      <c r="W163" t="s">
        <v>20</v>
      </c>
      <c r="X163" s="2">
        <v>1.1579999999999999</v>
      </c>
      <c r="Y163" s="6">
        <f t="shared" si="18"/>
        <v>3.0912148634579962E-2</v>
      </c>
      <c r="AA163">
        <v>1668595</v>
      </c>
      <c r="AB163">
        <v>14223</v>
      </c>
      <c r="AC163">
        <v>15735079</v>
      </c>
      <c r="AD163" t="s">
        <v>2</v>
      </c>
      <c r="AE163">
        <v>37</v>
      </c>
      <c r="AF163">
        <v>3</v>
      </c>
      <c r="AH163" t="s">
        <v>631</v>
      </c>
      <c r="AI163" t="s">
        <v>630</v>
      </c>
      <c r="AJ163" t="s">
        <v>629</v>
      </c>
      <c r="AK163" t="s">
        <v>628</v>
      </c>
      <c r="AL163">
        <v>16</v>
      </c>
      <c r="AM163" s="5">
        <f t="shared" si="19"/>
        <v>0.55172413793103448</v>
      </c>
      <c r="AN163" s="4">
        <f t="shared" si="20"/>
        <v>8.3562913734348278E-4</v>
      </c>
      <c r="AO163" s="3"/>
      <c r="AP163">
        <v>0</v>
      </c>
      <c r="AR163" t="s">
        <v>1</v>
      </c>
      <c r="AT163" s="2">
        <v>3.573</v>
      </c>
      <c r="AU163" s="1">
        <f t="shared" si="21"/>
        <v>2.1889192785409017</v>
      </c>
      <c r="AV163" s="1">
        <f t="shared" si="22"/>
        <v>1.5873888885961724</v>
      </c>
      <c r="AW163" s="1">
        <f t="shared" si="23"/>
        <v>0.98585849865144259</v>
      </c>
    </row>
    <row r="164" spans="1:49" x14ac:dyDescent="0.2">
      <c r="A164">
        <v>162</v>
      </c>
      <c r="B164" t="s">
        <v>627</v>
      </c>
      <c r="C164" t="s">
        <v>626</v>
      </c>
      <c r="D164" t="s">
        <v>625</v>
      </c>
      <c r="E164">
        <v>8365474</v>
      </c>
      <c r="F164" t="s">
        <v>624</v>
      </c>
      <c r="G164" t="s">
        <v>5</v>
      </c>
      <c r="H164" t="s">
        <v>4</v>
      </c>
      <c r="I164" t="s">
        <v>623</v>
      </c>
      <c r="J164" t="s">
        <v>622</v>
      </c>
      <c r="K164" t="s">
        <v>621</v>
      </c>
      <c r="L164" t="s">
        <v>620</v>
      </c>
      <c r="M164" t="s">
        <v>44</v>
      </c>
      <c r="N164">
        <v>4</v>
      </c>
      <c r="O164" t="s">
        <v>619</v>
      </c>
      <c r="P164" t="s">
        <v>618</v>
      </c>
      <c r="Q164" t="s">
        <v>617</v>
      </c>
      <c r="R164" s="7">
        <v>34211</v>
      </c>
      <c r="S164" s="8">
        <f t="shared" si="16"/>
        <v>1993</v>
      </c>
      <c r="T164" s="8">
        <v>1993</v>
      </c>
      <c r="U164" s="8">
        <f t="shared" si="17"/>
        <v>29</v>
      </c>
      <c r="V164" s="7">
        <v>34211</v>
      </c>
      <c r="W164" t="s">
        <v>252</v>
      </c>
      <c r="X164" s="2">
        <v>1.593</v>
      </c>
      <c r="Y164" s="6">
        <f t="shared" si="18"/>
        <v>4.2524225194201973E-2</v>
      </c>
      <c r="AA164">
        <v>145793</v>
      </c>
      <c r="AB164">
        <v>17481</v>
      </c>
      <c r="AD164" t="s">
        <v>2</v>
      </c>
      <c r="AE164">
        <v>329</v>
      </c>
      <c r="AF164">
        <v>3</v>
      </c>
      <c r="AH164" t="s">
        <v>616</v>
      </c>
      <c r="AI164" t="s">
        <v>615</v>
      </c>
      <c r="AJ164" t="s">
        <v>614</v>
      </c>
      <c r="AK164" t="s">
        <v>613</v>
      </c>
      <c r="AL164">
        <v>8</v>
      </c>
      <c r="AM164" s="5">
        <f t="shared" si="19"/>
        <v>0.27586206896551724</v>
      </c>
      <c r="AN164" s="4">
        <f t="shared" si="20"/>
        <v>4.1781456867174139E-4</v>
      </c>
      <c r="AO164" s="3"/>
      <c r="AP164">
        <v>1</v>
      </c>
      <c r="AR164" t="s">
        <v>1</v>
      </c>
      <c r="AT164" s="2">
        <v>4.1239999999999997</v>
      </c>
      <c r="AU164" s="1">
        <f t="shared" si="21"/>
        <v>2.9892302006542901</v>
      </c>
      <c r="AV164" s="1">
        <f t="shared" si="22"/>
        <v>2.1471019881436857</v>
      </c>
      <c r="AW164" s="1">
        <f t="shared" si="23"/>
        <v>1.304973775633081</v>
      </c>
    </row>
    <row r="165" spans="1:49" x14ac:dyDescent="0.2">
      <c r="A165">
        <v>163</v>
      </c>
      <c r="B165" t="s">
        <v>612</v>
      </c>
      <c r="F165" t="s">
        <v>611</v>
      </c>
      <c r="G165" t="s">
        <v>5</v>
      </c>
      <c r="H165" t="s">
        <v>4</v>
      </c>
      <c r="I165" t="s">
        <v>610</v>
      </c>
      <c r="J165">
        <v>60092662</v>
      </c>
      <c r="K165" t="s">
        <v>609</v>
      </c>
      <c r="L165" t="s">
        <v>608</v>
      </c>
      <c r="M165" t="s">
        <v>3</v>
      </c>
      <c r="N165">
        <v>3</v>
      </c>
      <c r="O165" t="s">
        <v>607</v>
      </c>
      <c r="P165" t="s">
        <v>606</v>
      </c>
      <c r="Q165" t="s">
        <v>605</v>
      </c>
      <c r="R165" s="7">
        <v>34182</v>
      </c>
      <c r="S165" s="8">
        <f t="shared" si="16"/>
        <v>1993</v>
      </c>
      <c r="T165" s="8">
        <v>1993</v>
      </c>
      <c r="U165" s="8">
        <f t="shared" si="17"/>
        <v>29</v>
      </c>
      <c r="V165" s="7">
        <v>34182</v>
      </c>
      <c r="W165" t="s">
        <v>604</v>
      </c>
      <c r="X165" s="2" t="s">
        <v>0</v>
      </c>
      <c r="Y165" s="6" t="e">
        <f t="shared" si="18"/>
        <v>#VALUE!</v>
      </c>
      <c r="AA165">
        <v>978388</v>
      </c>
      <c r="AB165">
        <v>39798</v>
      </c>
      <c r="AD165" t="s">
        <v>2</v>
      </c>
      <c r="AE165">
        <v>20</v>
      </c>
      <c r="AF165">
        <v>8</v>
      </c>
      <c r="AH165" s="10">
        <v>41609</v>
      </c>
      <c r="AI165" t="s">
        <v>603</v>
      </c>
      <c r="AK165" t="s">
        <v>602</v>
      </c>
      <c r="AL165">
        <v>0</v>
      </c>
      <c r="AM165" s="5">
        <f t="shared" si="19"/>
        <v>0</v>
      </c>
      <c r="AN165" s="4">
        <f t="shared" si="20"/>
        <v>0</v>
      </c>
      <c r="AO165" s="3"/>
      <c r="AP165">
        <v>0</v>
      </c>
      <c r="AR165" t="s">
        <v>1</v>
      </c>
      <c r="AT165" s="2" t="s">
        <v>0</v>
      </c>
      <c r="AU165" s="1" t="e">
        <f t="shared" si="21"/>
        <v>#VALUE!</v>
      </c>
      <c r="AV165" s="1" t="e">
        <f t="shared" si="22"/>
        <v>#VALUE!</v>
      </c>
      <c r="AW165" s="1" t="e">
        <f t="shared" si="23"/>
        <v>#VALUE!</v>
      </c>
    </row>
    <row r="166" spans="1:49" x14ac:dyDescent="0.2">
      <c r="A166">
        <v>164</v>
      </c>
      <c r="B166" t="s">
        <v>601</v>
      </c>
      <c r="F166" t="s">
        <v>600</v>
      </c>
      <c r="G166" t="s">
        <v>5</v>
      </c>
      <c r="H166" t="s">
        <v>4</v>
      </c>
      <c r="I166" t="s">
        <v>599</v>
      </c>
      <c r="J166">
        <v>60016418</v>
      </c>
      <c r="K166" t="s">
        <v>117</v>
      </c>
      <c r="L166" t="s">
        <v>116</v>
      </c>
      <c r="M166" t="s">
        <v>28</v>
      </c>
      <c r="N166">
        <v>3</v>
      </c>
      <c r="O166" t="s">
        <v>598</v>
      </c>
      <c r="P166" t="s">
        <v>597</v>
      </c>
      <c r="Q166" t="s">
        <v>596</v>
      </c>
      <c r="R166" s="7">
        <v>34182</v>
      </c>
      <c r="S166" s="8">
        <f t="shared" si="16"/>
        <v>1993</v>
      </c>
      <c r="T166" s="8">
        <v>1993</v>
      </c>
      <c r="U166" s="8">
        <f t="shared" si="17"/>
        <v>29</v>
      </c>
      <c r="V166" s="7">
        <v>34182</v>
      </c>
      <c r="W166" t="s">
        <v>586</v>
      </c>
      <c r="X166" s="2" t="s">
        <v>0</v>
      </c>
      <c r="Y166" s="6" t="e">
        <f t="shared" si="18"/>
        <v>#VALUE!</v>
      </c>
      <c r="AA166">
        <v>10545816</v>
      </c>
      <c r="AB166">
        <v>85359</v>
      </c>
      <c r="AD166" t="s">
        <v>2</v>
      </c>
      <c r="AE166">
        <v>4</v>
      </c>
      <c r="AF166">
        <v>8</v>
      </c>
      <c r="AH166" t="s">
        <v>595</v>
      </c>
      <c r="AI166" t="s">
        <v>594</v>
      </c>
      <c r="AK166" t="s">
        <v>593</v>
      </c>
      <c r="AL166">
        <v>0</v>
      </c>
      <c r="AM166" s="5">
        <f t="shared" si="19"/>
        <v>0</v>
      </c>
      <c r="AN166" s="4">
        <f t="shared" si="20"/>
        <v>0</v>
      </c>
      <c r="AO166" s="3"/>
      <c r="AP166">
        <v>0</v>
      </c>
      <c r="AR166" t="s">
        <v>1</v>
      </c>
      <c r="AT166" s="2" t="s">
        <v>0</v>
      </c>
      <c r="AU166" s="1" t="e">
        <f t="shared" si="21"/>
        <v>#VALUE!</v>
      </c>
      <c r="AV166" s="1" t="e">
        <f t="shared" si="22"/>
        <v>#VALUE!</v>
      </c>
      <c r="AW166" s="1" t="e">
        <f t="shared" si="23"/>
        <v>#VALUE!</v>
      </c>
    </row>
    <row r="167" spans="1:49" x14ac:dyDescent="0.2">
      <c r="A167">
        <v>165</v>
      </c>
      <c r="B167" t="s">
        <v>592</v>
      </c>
      <c r="F167" t="s">
        <v>591</v>
      </c>
      <c r="G167" t="s">
        <v>5</v>
      </c>
      <c r="H167" t="s">
        <v>4</v>
      </c>
      <c r="I167" t="s">
        <v>590</v>
      </c>
      <c r="J167">
        <v>60021293</v>
      </c>
      <c r="K167" t="s">
        <v>589</v>
      </c>
      <c r="L167" t="s">
        <v>588</v>
      </c>
      <c r="M167" t="s">
        <v>3</v>
      </c>
      <c r="N167">
        <v>1</v>
      </c>
      <c r="O167" t="s">
        <v>587</v>
      </c>
      <c r="P167">
        <v>6506734045</v>
      </c>
      <c r="Q167">
        <v>60021293</v>
      </c>
      <c r="R167" s="7">
        <v>34182</v>
      </c>
      <c r="S167" s="8">
        <f t="shared" si="16"/>
        <v>1993</v>
      </c>
      <c r="T167" s="8">
        <v>1993</v>
      </c>
      <c r="U167" s="8">
        <f t="shared" si="17"/>
        <v>29</v>
      </c>
      <c r="V167" s="7">
        <v>34182</v>
      </c>
      <c r="W167" t="s">
        <v>586</v>
      </c>
      <c r="X167" s="2" t="s">
        <v>0</v>
      </c>
      <c r="Y167" s="6" t="e">
        <f t="shared" si="18"/>
        <v>#VALUE!</v>
      </c>
      <c r="AA167">
        <v>10545816</v>
      </c>
      <c r="AB167">
        <v>85359</v>
      </c>
      <c r="AD167" t="s">
        <v>2</v>
      </c>
      <c r="AE167">
        <v>4</v>
      </c>
      <c r="AF167">
        <v>8</v>
      </c>
      <c r="AH167" t="s">
        <v>585</v>
      </c>
      <c r="AI167" t="s">
        <v>584</v>
      </c>
      <c r="AK167" t="s">
        <v>583</v>
      </c>
      <c r="AL167">
        <v>0</v>
      </c>
      <c r="AM167" s="5">
        <f t="shared" si="19"/>
        <v>0</v>
      </c>
      <c r="AN167" s="4">
        <f t="shared" si="20"/>
        <v>0</v>
      </c>
      <c r="AO167" s="3"/>
      <c r="AP167">
        <v>0</v>
      </c>
      <c r="AR167" t="s">
        <v>1</v>
      </c>
      <c r="AT167" s="2" t="s">
        <v>0</v>
      </c>
      <c r="AU167" s="1" t="e">
        <f t="shared" si="21"/>
        <v>#VALUE!</v>
      </c>
      <c r="AV167" s="1" t="e">
        <f t="shared" si="22"/>
        <v>#VALUE!</v>
      </c>
      <c r="AW167" s="1" t="e">
        <f t="shared" si="23"/>
        <v>#VALUE!</v>
      </c>
    </row>
    <row r="168" spans="1:49" x14ac:dyDescent="0.2">
      <c r="A168">
        <v>166</v>
      </c>
      <c r="B168" t="s">
        <v>582</v>
      </c>
      <c r="C168" t="s">
        <v>581</v>
      </c>
      <c r="F168" t="s">
        <v>580</v>
      </c>
      <c r="G168" t="s">
        <v>5</v>
      </c>
      <c r="H168" t="s">
        <v>4</v>
      </c>
      <c r="I168" t="s">
        <v>579</v>
      </c>
      <c r="J168">
        <v>60025578</v>
      </c>
      <c r="K168" t="s">
        <v>151</v>
      </c>
      <c r="L168" t="s">
        <v>112</v>
      </c>
      <c r="M168" t="s">
        <v>27</v>
      </c>
      <c r="N168">
        <v>3</v>
      </c>
      <c r="O168" t="s">
        <v>578</v>
      </c>
      <c r="P168" t="s">
        <v>577</v>
      </c>
      <c r="Q168" t="s">
        <v>576</v>
      </c>
      <c r="R168" s="7">
        <v>34182</v>
      </c>
      <c r="S168" s="8">
        <f t="shared" si="16"/>
        <v>1993</v>
      </c>
      <c r="T168" s="8">
        <v>1993</v>
      </c>
      <c r="U168" s="8">
        <f t="shared" si="17"/>
        <v>29</v>
      </c>
      <c r="V168" s="7">
        <v>34182</v>
      </c>
      <c r="W168" t="s">
        <v>109</v>
      </c>
      <c r="X168" s="2">
        <v>0.61499999999999999</v>
      </c>
      <c r="Y168" s="6">
        <f t="shared" si="18"/>
        <v>1.6417073756706976E-2</v>
      </c>
      <c r="AA168">
        <v>1959271</v>
      </c>
      <c r="AB168">
        <v>12141</v>
      </c>
      <c r="AC168">
        <v>15729559</v>
      </c>
      <c r="AD168" t="s">
        <v>2</v>
      </c>
      <c r="AE168">
        <v>14</v>
      </c>
      <c r="AF168">
        <v>8</v>
      </c>
      <c r="AH168" t="s">
        <v>575</v>
      </c>
      <c r="AI168" t="s">
        <v>574</v>
      </c>
      <c r="AJ168" t="s">
        <v>573</v>
      </c>
      <c r="AK168" t="s">
        <v>572</v>
      </c>
      <c r="AL168">
        <v>3</v>
      </c>
      <c r="AM168" s="5">
        <f t="shared" si="19"/>
        <v>0.10344827586206896</v>
      </c>
      <c r="AN168" s="4">
        <f t="shared" si="20"/>
        <v>1.5668046325190301E-4</v>
      </c>
      <c r="AO168" s="3"/>
      <c r="AP168">
        <v>0</v>
      </c>
      <c r="AR168" t="s">
        <v>1</v>
      </c>
      <c r="AT168" s="2" t="s">
        <v>0</v>
      </c>
      <c r="AU168" s="1">
        <f t="shared" si="21"/>
        <v>1.1538955768670451</v>
      </c>
      <c r="AV168" s="1">
        <f t="shared" si="22"/>
        <v>0.8286877109979438</v>
      </c>
      <c r="AW168" s="1">
        <f t="shared" si="23"/>
        <v>0.50347984512884247</v>
      </c>
    </row>
    <row r="169" spans="1:49" x14ac:dyDescent="0.2">
      <c r="A169">
        <v>167</v>
      </c>
      <c r="B169" t="s">
        <v>571</v>
      </c>
      <c r="C169" t="s">
        <v>570</v>
      </c>
      <c r="F169" t="s">
        <v>569</v>
      </c>
      <c r="G169" t="s">
        <v>5</v>
      </c>
      <c r="H169" t="s">
        <v>4</v>
      </c>
      <c r="I169" t="s">
        <v>568</v>
      </c>
      <c r="J169" t="s">
        <v>567</v>
      </c>
      <c r="K169" t="s">
        <v>566</v>
      </c>
      <c r="L169" t="s">
        <v>565</v>
      </c>
      <c r="M169" t="s">
        <v>564</v>
      </c>
      <c r="N169">
        <v>3</v>
      </c>
      <c r="O169" t="s">
        <v>563</v>
      </c>
      <c r="P169" t="s">
        <v>562</v>
      </c>
      <c r="Q169" t="s">
        <v>561</v>
      </c>
      <c r="R169" s="7">
        <v>34182</v>
      </c>
      <c r="S169" s="8">
        <f t="shared" si="16"/>
        <v>1993</v>
      </c>
      <c r="T169" s="8">
        <v>1993</v>
      </c>
      <c r="U169" s="8">
        <f t="shared" si="17"/>
        <v>29</v>
      </c>
      <c r="V169" s="7">
        <v>34182</v>
      </c>
      <c r="W169" t="s">
        <v>109</v>
      </c>
      <c r="X169" s="2">
        <v>0.61499999999999999</v>
      </c>
      <c r="Y169" s="6">
        <f t="shared" si="18"/>
        <v>1.6417073756706976E-2</v>
      </c>
      <c r="AA169">
        <v>1959271</v>
      </c>
      <c r="AB169">
        <v>12141</v>
      </c>
      <c r="AC169">
        <v>15729559</v>
      </c>
      <c r="AD169" t="s">
        <v>2</v>
      </c>
      <c r="AE169">
        <v>14</v>
      </c>
      <c r="AF169">
        <v>8</v>
      </c>
      <c r="AH169" t="s">
        <v>560</v>
      </c>
      <c r="AI169" t="s">
        <v>559</v>
      </c>
      <c r="AJ169" t="s">
        <v>558</v>
      </c>
      <c r="AK169" t="s">
        <v>557</v>
      </c>
      <c r="AL169">
        <v>0</v>
      </c>
      <c r="AM169" s="5">
        <f t="shared" si="19"/>
        <v>0</v>
      </c>
      <c r="AN169" s="4">
        <f t="shared" si="20"/>
        <v>0</v>
      </c>
      <c r="AO169" s="3"/>
      <c r="AP169">
        <v>0</v>
      </c>
      <c r="AR169" t="s">
        <v>1</v>
      </c>
      <c r="AT169" s="2" t="s">
        <v>0</v>
      </c>
      <c r="AU169" s="1">
        <f t="shared" si="21"/>
        <v>1.1491951629694881</v>
      </c>
      <c r="AV169" s="1">
        <f t="shared" si="22"/>
        <v>0.82085368783534873</v>
      </c>
      <c r="AW169" s="1">
        <f t="shared" si="23"/>
        <v>0.49251221270120926</v>
      </c>
    </row>
    <row r="170" spans="1:49" x14ac:dyDescent="0.2">
      <c r="A170">
        <v>168</v>
      </c>
      <c r="B170" t="s">
        <v>556</v>
      </c>
      <c r="C170" t="s">
        <v>555</v>
      </c>
      <c r="F170" t="s">
        <v>554</v>
      </c>
      <c r="G170" t="s">
        <v>5</v>
      </c>
      <c r="H170" t="s">
        <v>4</v>
      </c>
      <c r="I170" t="s">
        <v>253</v>
      </c>
      <c r="J170">
        <v>60027550</v>
      </c>
      <c r="K170" t="s">
        <v>86</v>
      </c>
      <c r="L170" t="s">
        <v>85</v>
      </c>
      <c r="M170" t="s">
        <v>3</v>
      </c>
      <c r="N170">
        <v>5</v>
      </c>
      <c r="O170" t="s">
        <v>257</v>
      </c>
      <c r="P170" t="s">
        <v>256</v>
      </c>
      <c r="Q170" t="s">
        <v>255</v>
      </c>
      <c r="R170" s="7">
        <v>34182</v>
      </c>
      <c r="S170" s="8">
        <f t="shared" si="16"/>
        <v>1993</v>
      </c>
      <c r="T170" s="8">
        <v>1993</v>
      </c>
      <c r="U170" s="8">
        <f t="shared" si="17"/>
        <v>29</v>
      </c>
      <c r="V170" s="7">
        <v>34182</v>
      </c>
      <c r="W170" t="s">
        <v>109</v>
      </c>
      <c r="X170" s="2">
        <v>0.61499999999999999</v>
      </c>
      <c r="Y170" s="6">
        <f t="shared" si="18"/>
        <v>1.6417073756706976E-2</v>
      </c>
      <c r="AA170">
        <v>1959271</v>
      </c>
      <c r="AB170">
        <v>12141</v>
      </c>
      <c r="AC170">
        <v>15729559</v>
      </c>
      <c r="AD170" t="s">
        <v>2</v>
      </c>
      <c r="AE170">
        <v>14</v>
      </c>
      <c r="AF170">
        <v>8</v>
      </c>
      <c r="AH170" t="s">
        <v>553</v>
      </c>
      <c r="AI170" t="s">
        <v>552</v>
      </c>
      <c r="AK170" t="s">
        <v>551</v>
      </c>
      <c r="AL170">
        <v>0</v>
      </c>
      <c r="AM170" s="5">
        <f t="shared" si="19"/>
        <v>0</v>
      </c>
      <c r="AN170" s="4">
        <f t="shared" si="20"/>
        <v>0</v>
      </c>
      <c r="AO170" s="3"/>
      <c r="AP170">
        <v>0</v>
      </c>
      <c r="AR170" t="s">
        <v>1</v>
      </c>
      <c r="AT170" s="2" t="s">
        <v>0</v>
      </c>
      <c r="AU170" s="1">
        <f t="shared" si="21"/>
        <v>1.1491951629694881</v>
      </c>
      <c r="AV170" s="1">
        <f t="shared" si="22"/>
        <v>0.82085368783534873</v>
      </c>
      <c r="AW170" s="1">
        <f t="shared" si="23"/>
        <v>0.49251221270120926</v>
      </c>
    </row>
    <row r="171" spans="1:49" x14ac:dyDescent="0.2">
      <c r="A171">
        <v>169</v>
      </c>
      <c r="B171" t="s">
        <v>550</v>
      </c>
      <c r="C171" t="s">
        <v>549</v>
      </c>
      <c r="F171" t="s">
        <v>548</v>
      </c>
      <c r="G171" t="s">
        <v>5</v>
      </c>
      <c r="H171" t="s">
        <v>4</v>
      </c>
      <c r="I171" t="s">
        <v>547</v>
      </c>
      <c r="J171" t="s">
        <v>546</v>
      </c>
      <c r="K171" t="s">
        <v>545</v>
      </c>
      <c r="L171" t="s">
        <v>544</v>
      </c>
      <c r="M171" t="s">
        <v>9</v>
      </c>
      <c r="N171">
        <v>2</v>
      </c>
      <c r="O171" t="s">
        <v>543</v>
      </c>
      <c r="P171" t="s">
        <v>542</v>
      </c>
      <c r="Q171" t="s">
        <v>541</v>
      </c>
      <c r="R171" s="7">
        <v>34182</v>
      </c>
      <c r="S171" s="8">
        <f t="shared" si="16"/>
        <v>1993</v>
      </c>
      <c r="T171" s="8">
        <v>1993</v>
      </c>
      <c r="U171" s="8">
        <f t="shared" si="17"/>
        <v>29</v>
      </c>
      <c r="V171" s="7">
        <v>34182</v>
      </c>
      <c r="W171" t="s">
        <v>540</v>
      </c>
      <c r="X171" s="2" t="s">
        <v>0</v>
      </c>
      <c r="Y171" s="6" t="e">
        <f t="shared" si="18"/>
        <v>#VALUE!</v>
      </c>
      <c r="AA171" t="s">
        <v>539</v>
      </c>
      <c r="AB171">
        <v>18446</v>
      </c>
      <c r="AC171">
        <v>14320878</v>
      </c>
      <c r="AD171" t="s">
        <v>2</v>
      </c>
      <c r="AE171">
        <v>273</v>
      </c>
      <c r="AF171">
        <v>2</v>
      </c>
      <c r="AH171" t="s">
        <v>538</v>
      </c>
      <c r="AI171" t="s">
        <v>537</v>
      </c>
      <c r="AJ171" t="s">
        <v>536</v>
      </c>
      <c r="AK171" t="s">
        <v>535</v>
      </c>
      <c r="AL171">
        <v>12</v>
      </c>
      <c r="AM171" s="5">
        <f t="shared" si="19"/>
        <v>0.41379310344827586</v>
      </c>
      <c r="AN171" s="4">
        <f t="shared" si="20"/>
        <v>6.2672185300761203E-4</v>
      </c>
      <c r="AO171" s="3"/>
      <c r="AP171">
        <v>0</v>
      </c>
      <c r="AR171" t="s">
        <v>1</v>
      </c>
      <c r="AT171" s="2" t="s">
        <v>0</v>
      </c>
      <c r="AU171" s="1" t="e">
        <f t="shared" si="21"/>
        <v>#VALUE!</v>
      </c>
      <c r="AV171" s="1" t="e">
        <f t="shared" si="22"/>
        <v>#VALUE!</v>
      </c>
      <c r="AW171" s="1" t="e">
        <f t="shared" si="23"/>
        <v>#VALUE!</v>
      </c>
    </row>
    <row r="172" spans="1:49" x14ac:dyDescent="0.2">
      <c r="A172">
        <v>170</v>
      </c>
      <c r="B172" t="s">
        <v>534</v>
      </c>
      <c r="C172" t="s">
        <v>533</v>
      </c>
      <c r="D172" t="s">
        <v>532</v>
      </c>
      <c r="F172" t="s">
        <v>531</v>
      </c>
      <c r="G172" t="s">
        <v>5</v>
      </c>
      <c r="H172" t="s">
        <v>4</v>
      </c>
      <c r="I172" t="s">
        <v>530</v>
      </c>
      <c r="J172" t="s">
        <v>529</v>
      </c>
      <c r="K172" t="s">
        <v>528</v>
      </c>
      <c r="L172" t="s">
        <v>527</v>
      </c>
      <c r="M172" t="s">
        <v>88</v>
      </c>
      <c r="N172">
        <v>3</v>
      </c>
      <c r="O172" t="s">
        <v>526</v>
      </c>
      <c r="P172" t="s">
        <v>525</v>
      </c>
      <c r="Q172" t="s">
        <v>524</v>
      </c>
      <c r="R172" s="7">
        <v>34182</v>
      </c>
      <c r="S172" s="8">
        <f t="shared" si="16"/>
        <v>1993</v>
      </c>
      <c r="T172" s="8">
        <v>1993</v>
      </c>
      <c r="U172" s="8">
        <f t="shared" si="17"/>
        <v>29</v>
      </c>
      <c r="V172" s="7">
        <v>34182</v>
      </c>
      <c r="W172" t="s">
        <v>523</v>
      </c>
      <c r="X172" s="2" t="s">
        <v>0</v>
      </c>
      <c r="Y172" s="6" t="e">
        <f t="shared" si="18"/>
        <v>#VALUE!</v>
      </c>
      <c r="AA172">
        <v>10106030</v>
      </c>
      <c r="AB172">
        <v>26966</v>
      </c>
      <c r="AD172" t="s">
        <v>2</v>
      </c>
      <c r="AE172">
        <v>73</v>
      </c>
      <c r="AF172">
        <v>3</v>
      </c>
      <c r="AH172" t="s">
        <v>522</v>
      </c>
      <c r="AI172" t="s">
        <v>521</v>
      </c>
      <c r="AK172" t="s">
        <v>520</v>
      </c>
      <c r="AL172">
        <v>32</v>
      </c>
      <c r="AM172" s="5">
        <f t="shared" si="19"/>
        <v>1.103448275862069</v>
      </c>
      <c r="AN172" s="4">
        <f t="shared" si="20"/>
        <v>1.6712582746869656E-3</v>
      </c>
      <c r="AO172" s="3"/>
      <c r="AP172">
        <v>0</v>
      </c>
      <c r="AQ172" t="s">
        <v>519</v>
      </c>
      <c r="AR172" t="s">
        <v>1</v>
      </c>
      <c r="AS172" t="s">
        <v>518</v>
      </c>
      <c r="AT172" s="2" t="s">
        <v>0</v>
      </c>
      <c r="AU172" s="1" t="e">
        <f t="shared" si="21"/>
        <v>#VALUE!</v>
      </c>
      <c r="AV172" s="1" t="e">
        <f t="shared" si="22"/>
        <v>#VALUE!</v>
      </c>
      <c r="AW172" s="1" t="e">
        <f t="shared" si="23"/>
        <v>#VALUE!</v>
      </c>
    </row>
    <row r="173" spans="1:49" x14ac:dyDescent="0.2">
      <c r="A173">
        <v>171</v>
      </c>
      <c r="B173" t="s">
        <v>517</v>
      </c>
      <c r="C173" t="s">
        <v>516</v>
      </c>
      <c r="F173" t="s">
        <v>515</v>
      </c>
      <c r="G173" t="s">
        <v>5</v>
      </c>
      <c r="H173" t="s">
        <v>4</v>
      </c>
      <c r="I173" t="s">
        <v>514</v>
      </c>
      <c r="J173">
        <v>60000481</v>
      </c>
      <c r="K173" t="s">
        <v>513</v>
      </c>
      <c r="L173" t="s">
        <v>512</v>
      </c>
      <c r="M173" t="s">
        <v>95</v>
      </c>
      <c r="N173">
        <v>2</v>
      </c>
      <c r="O173" t="s">
        <v>511</v>
      </c>
      <c r="P173" t="s">
        <v>510</v>
      </c>
      <c r="Q173" t="s">
        <v>509</v>
      </c>
      <c r="R173" s="7">
        <v>34182</v>
      </c>
      <c r="S173" s="8">
        <f t="shared" si="16"/>
        <v>1993</v>
      </c>
      <c r="T173" s="8">
        <v>1993</v>
      </c>
      <c r="U173" s="8">
        <f t="shared" si="17"/>
        <v>29</v>
      </c>
      <c r="V173" s="7">
        <v>34182</v>
      </c>
      <c r="W173" t="s">
        <v>231</v>
      </c>
      <c r="X173" s="2">
        <v>1.2529999999999999</v>
      </c>
      <c r="Y173" s="6">
        <f t="shared" si="18"/>
        <v>3.3448119377485916E-2</v>
      </c>
      <c r="AA173">
        <v>320935</v>
      </c>
      <c r="AB173">
        <v>16646</v>
      </c>
      <c r="AC173">
        <v>14322048</v>
      </c>
      <c r="AD173" t="s">
        <v>2</v>
      </c>
      <c r="AE173">
        <v>191</v>
      </c>
      <c r="AF173">
        <v>2</v>
      </c>
      <c r="AH173" t="s">
        <v>508</v>
      </c>
      <c r="AI173" t="s">
        <v>507</v>
      </c>
      <c r="AJ173" t="s">
        <v>506</v>
      </c>
      <c r="AK173" t="s">
        <v>505</v>
      </c>
      <c r="AL173">
        <v>21</v>
      </c>
      <c r="AM173" s="5">
        <f t="shared" si="19"/>
        <v>0.72413793103448276</v>
      </c>
      <c r="AN173" s="4">
        <f t="shared" si="20"/>
        <v>1.0967632427633211E-3</v>
      </c>
      <c r="AO173" s="3"/>
      <c r="AP173">
        <v>0</v>
      </c>
      <c r="AR173" t="s">
        <v>1</v>
      </c>
      <c r="AT173" s="2">
        <v>4.1159999999999997</v>
      </c>
      <c r="AU173" s="1">
        <f t="shared" si="21"/>
        <v>2.3742712537069135</v>
      </c>
      <c r="AV173" s="1">
        <f t="shared" si="22"/>
        <v>1.727244131012462</v>
      </c>
      <c r="AW173" s="1">
        <f t="shared" si="23"/>
        <v>1.0802170083180098</v>
      </c>
    </row>
    <row r="174" spans="1:49" x14ac:dyDescent="0.2">
      <c r="A174">
        <v>172</v>
      </c>
      <c r="B174" t="s">
        <v>504</v>
      </c>
      <c r="C174" t="s">
        <v>503</v>
      </c>
      <c r="D174" t="s">
        <v>502</v>
      </c>
      <c r="F174" t="s">
        <v>501</v>
      </c>
      <c r="G174" t="s">
        <v>5</v>
      </c>
      <c r="H174" t="s">
        <v>4</v>
      </c>
      <c r="I174" t="s">
        <v>500</v>
      </c>
      <c r="J174">
        <v>60052874</v>
      </c>
      <c r="K174" t="s">
        <v>499</v>
      </c>
      <c r="L174" t="s">
        <v>498</v>
      </c>
      <c r="M174" t="s">
        <v>37</v>
      </c>
      <c r="N174">
        <v>2</v>
      </c>
      <c r="O174" t="s">
        <v>497</v>
      </c>
      <c r="P174" t="s">
        <v>496</v>
      </c>
      <c r="Q174" t="s">
        <v>495</v>
      </c>
      <c r="R174" s="7">
        <v>34176</v>
      </c>
      <c r="S174" s="8">
        <f t="shared" si="16"/>
        <v>1993</v>
      </c>
      <c r="T174" s="8">
        <v>1993</v>
      </c>
      <c r="U174" s="8">
        <f t="shared" si="17"/>
        <v>29</v>
      </c>
      <c r="V174" s="7">
        <v>34176</v>
      </c>
      <c r="W174" t="s">
        <v>494</v>
      </c>
      <c r="X174" s="2" t="s">
        <v>0</v>
      </c>
      <c r="Y174" s="6" t="e">
        <f t="shared" si="18"/>
        <v>#VALUE!</v>
      </c>
      <c r="AA174" t="s">
        <v>493</v>
      </c>
      <c r="AB174">
        <v>16342</v>
      </c>
      <c r="AD174" t="s">
        <v>2</v>
      </c>
      <c r="AE174">
        <v>101</v>
      </c>
      <c r="AF174">
        <v>1</v>
      </c>
      <c r="AH174" t="s">
        <v>187</v>
      </c>
      <c r="AI174" t="s">
        <v>492</v>
      </c>
      <c r="AJ174" t="s">
        <v>491</v>
      </c>
      <c r="AK174" t="s">
        <v>490</v>
      </c>
      <c r="AL174">
        <v>20</v>
      </c>
      <c r="AM174" s="5">
        <f t="shared" si="19"/>
        <v>0.68965517241379315</v>
      </c>
      <c r="AN174" s="4">
        <f t="shared" si="20"/>
        <v>1.0445364216793535E-3</v>
      </c>
      <c r="AO174" s="3"/>
      <c r="AP174">
        <v>0</v>
      </c>
      <c r="AR174" t="s">
        <v>1</v>
      </c>
      <c r="AT174" s="2" t="s">
        <v>0</v>
      </c>
      <c r="AU174" s="1" t="e">
        <f t="shared" si="21"/>
        <v>#VALUE!</v>
      </c>
      <c r="AV174" s="1" t="e">
        <f t="shared" si="22"/>
        <v>#VALUE!</v>
      </c>
      <c r="AW174" s="1" t="e">
        <f t="shared" si="23"/>
        <v>#VALUE!</v>
      </c>
    </row>
    <row r="175" spans="1:49" x14ac:dyDescent="0.2">
      <c r="A175">
        <v>173</v>
      </c>
      <c r="B175" t="s">
        <v>489</v>
      </c>
      <c r="C175" t="s">
        <v>488</v>
      </c>
      <c r="D175" t="s">
        <v>487</v>
      </c>
      <c r="F175" t="s">
        <v>486</v>
      </c>
      <c r="G175" t="s">
        <v>5</v>
      </c>
      <c r="H175" t="s">
        <v>4</v>
      </c>
      <c r="I175" t="s">
        <v>470</v>
      </c>
      <c r="J175" t="s">
        <v>485</v>
      </c>
      <c r="K175" t="s">
        <v>484</v>
      </c>
      <c r="L175" t="s">
        <v>483</v>
      </c>
      <c r="M175" t="s">
        <v>482</v>
      </c>
      <c r="N175">
        <v>2</v>
      </c>
      <c r="O175" t="s">
        <v>481</v>
      </c>
      <c r="P175" t="s">
        <v>480</v>
      </c>
      <c r="Q175" t="s">
        <v>479</v>
      </c>
      <c r="R175" s="7">
        <v>34176</v>
      </c>
      <c r="S175" s="8">
        <f t="shared" si="16"/>
        <v>1993</v>
      </c>
      <c r="T175" s="8">
        <v>1993</v>
      </c>
      <c r="U175" s="8">
        <f t="shared" si="17"/>
        <v>29</v>
      </c>
      <c r="V175" s="7">
        <v>34176</v>
      </c>
      <c r="W175" t="s">
        <v>219</v>
      </c>
      <c r="X175" s="2">
        <v>1.59</v>
      </c>
      <c r="Y175" s="6">
        <f t="shared" si="18"/>
        <v>4.2444141907583888E-2</v>
      </c>
      <c r="AA175">
        <v>52728</v>
      </c>
      <c r="AB175">
        <v>16791</v>
      </c>
      <c r="AD175" t="s">
        <v>2</v>
      </c>
      <c r="AE175">
        <v>1143</v>
      </c>
      <c r="AF175">
        <v>3</v>
      </c>
      <c r="AH175" t="s">
        <v>478</v>
      </c>
      <c r="AI175" t="s">
        <v>477</v>
      </c>
      <c r="AJ175" t="s">
        <v>476</v>
      </c>
      <c r="AK175" t="s">
        <v>475</v>
      </c>
      <c r="AL175">
        <v>4</v>
      </c>
      <c r="AM175" s="5">
        <f t="shared" si="19"/>
        <v>0.13793103448275862</v>
      </c>
      <c r="AN175" s="4">
        <f t="shared" si="20"/>
        <v>2.089072843358707E-4</v>
      </c>
      <c r="AO175" s="3"/>
      <c r="AP175">
        <v>0</v>
      </c>
      <c r="AR175" t="s">
        <v>1</v>
      </c>
      <c r="AT175" s="2" t="s">
        <v>0</v>
      </c>
      <c r="AU175" s="1">
        <f t="shared" si="21"/>
        <v>2.9773571520609483</v>
      </c>
      <c r="AV175" s="1">
        <f t="shared" si="22"/>
        <v>2.1326524595959877</v>
      </c>
      <c r="AW175" s="1">
        <f t="shared" si="23"/>
        <v>1.2879477671310275</v>
      </c>
    </row>
    <row r="176" spans="1:49" x14ac:dyDescent="0.2">
      <c r="A176">
        <v>174</v>
      </c>
      <c r="B176" t="s">
        <v>474</v>
      </c>
      <c r="C176" t="s">
        <v>473</v>
      </c>
      <c r="D176" t="s">
        <v>472</v>
      </c>
      <c r="F176" t="s">
        <v>471</v>
      </c>
      <c r="G176" t="s">
        <v>5</v>
      </c>
      <c r="H176" t="s">
        <v>4</v>
      </c>
      <c r="I176" t="s">
        <v>470</v>
      </c>
      <c r="J176">
        <v>60011685</v>
      </c>
      <c r="K176" t="s">
        <v>23</v>
      </c>
      <c r="L176" t="s">
        <v>22</v>
      </c>
      <c r="M176" t="s">
        <v>21</v>
      </c>
      <c r="N176">
        <v>3</v>
      </c>
      <c r="O176" t="s">
        <v>469</v>
      </c>
      <c r="P176" t="s">
        <v>468</v>
      </c>
      <c r="Q176" t="s">
        <v>467</v>
      </c>
      <c r="R176" s="7">
        <v>34176</v>
      </c>
      <c r="S176" s="8">
        <f t="shared" si="16"/>
        <v>1993</v>
      </c>
      <c r="T176" s="8">
        <v>1993</v>
      </c>
      <c r="U176" s="8">
        <f t="shared" si="17"/>
        <v>29</v>
      </c>
      <c r="V176" s="7">
        <v>34176</v>
      </c>
      <c r="W176" t="s">
        <v>219</v>
      </c>
      <c r="X176" s="2">
        <v>1.59</v>
      </c>
      <c r="Y176" s="6">
        <f t="shared" si="18"/>
        <v>4.2444141907583888E-2</v>
      </c>
      <c r="AA176">
        <v>52728</v>
      </c>
      <c r="AB176">
        <v>16791</v>
      </c>
      <c r="AD176" t="s">
        <v>2</v>
      </c>
      <c r="AE176">
        <v>1143</v>
      </c>
      <c r="AF176">
        <v>3</v>
      </c>
      <c r="AH176" t="s">
        <v>141</v>
      </c>
      <c r="AI176" t="s">
        <v>466</v>
      </c>
      <c r="AJ176" t="s">
        <v>465</v>
      </c>
      <c r="AK176" t="s">
        <v>464</v>
      </c>
      <c r="AL176">
        <v>31</v>
      </c>
      <c r="AM176" s="5">
        <f t="shared" si="19"/>
        <v>1.0689655172413792</v>
      </c>
      <c r="AN176" s="4">
        <f t="shared" si="20"/>
        <v>1.6190314536029978E-3</v>
      </c>
      <c r="AO176" s="3"/>
      <c r="AP176">
        <v>0</v>
      </c>
      <c r="AR176" t="s">
        <v>1</v>
      </c>
      <c r="AT176" s="2" t="s">
        <v>0</v>
      </c>
      <c r="AU176" s="1">
        <f t="shared" si="21"/>
        <v>3.0196608771389619</v>
      </c>
      <c r="AV176" s="1">
        <f t="shared" si="22"/>
        <v>2.203158668059344</v>
      </c>
      <c r="AW176" s="1">
        <f t="shared" si="23"/>
        <v>1.3866564589797266</v>
      </c>
    </row>
    <row r="177" spans="1:49" x14ac:dyDescent="0.2">
      <c r="A177">
        <v>175</v>
      </c>
      <c r="B177" t="s">
        <v>463</v>
      </c>
      <c r="C177" t="s">
        <v>462</v>
      </c>
      <c r="D177" t="s">
        <v>461</v>
      </c>
      <c r="E177">
        <v>8335097</v>
      </c>
      <c r="F177" t="s">
        <v>460</v>
      </c>
      <c r="G177" t="s">
        <v>5</v>
      </c>
      <c r="H177" t="s">
        <v>4</v>
      </c>
      <c r="I177" t="s">
        <v>459</v>
      </c>
      <c r="J177" t="s">
        <v>458</v>
      </c>
      <c r="K177" t="s">
        <v>457</v>
      </c>
      <c r="L177" t="s">
        <v>456</v>
      </c>
      <c r="M177" t="s">
        <v>455</v>
      </c>
      <c r="N177">
        <v>4</v>
      </c>
      <c r="O177" t="s">
        <v>454</v>
      </c>
      <c r="P177" t="s">
        <v>453</v>
      </c>
      <c r="Q177" t="s">
        <v>452</v>
      </c>
      <c r="R177" s="7">
        <v>34169</v>
      </c>
      <c r="S177" s="8">
        <f t="shared" si="16"/>
        <v>1993</v>
      </c>
      <c r="T177" s="8">
        <v>1993</v>
      </c>
      <c r="U177" s="8">
        <f t="shared" si="17"/>
        <v>29</v>
      </c>
      <c r="V177" s="7">
        <v>34169</v>
      </c>
      <c r="W177" t="s">
        <v>252</v>
      </c>
      <c r="X177" s="2">
        <v>1.593</v>
      </c>
      <c r="Y177" s="6">
        <f t="shared" si="18"/>
        <v>4.2524225194201973E-2</v>
      </c>
      <c r="AA177">
        <v>145793</v>
      </c>
      <c r="AB177">
        <v>17481</v>
      </c>
      <c r="AD177" t="s">
        <v>2</v>
      </c>
      <c r="AE177">
        <v>327</v>
      </c>
      <c r="AF177">
        <v>1</v>
      </c>
      <c r="AH177" t="s">
        <v>451</v>
      </c>
      <c r="AI177" t="s">
        <v>450</v>
      </c>
      <c r="AJ177" t="s">
        <v>449</v>
      </c>
      <c r="AK177" t="s">
        <v>448</v>
      </c>
      <c r="AL177">
        <v>5</v>
      </c>
      <c r="AM177" s="5">
        <f t="shared" si="19"/>
        <v>0.17241379310344829</v>
      </c>
      <c r="AN177" s="4">
        <f t="shared" si="20"/>
        <v>2.6113410541983838E-4</v>
      </c>
      <c r="AO177" s="3"/>
      <c r="AP177">
        <v>0</v>
      </c>
      <c r="AR177" t="s">
        <v>1</v>
      </c>
      <c r="AT177" s="2">
        <v>4.1239999999999997</v>
      </c>
      <c r="AU177" s="1">
        <f t="shared" si="21"/>
        <v>2.9845297867567329</v>
      </c>
      <c r="AV177" s="1">
        <f t="shared" si="22"/>
        <v>2.1392679649810904</v>
      </c>
      <c r="AW177" s="1">
        <f t="shared" si="23"/>
        <v>1.2940061432054479</v>
      </c>
    </row>
    <row r="178" spans="1:49" x14ac:dyDescent="0.2">
      <c r="A178">
        <v>176</v>
      </c>
      <c r="B178" t="s">
        <v>447</v>
      </c>
      <c r="C178" t="s">
        <v>446</v>
      </c>
      <c r="F178" t="s">
        <v>445</v>
      </c>
      <c r="G178" t="s">
        <v>5</v>
      </c>
      <c r="H178" t="s">
        <v>4</v>
      </c>
      <c r="I178" t="s">
        <v>444</v>
      </c>
      <c r="J178">
        <v>60110940</v>
      </c>
      <c r="K178" t="s">
        <v>443</v>
      </c>
      <c r="L178" t="s">
        <v>442</v>
      </c>
      <c r="M178" t="s">
        <v>24</v>
      </c>
      <c r="N178">
        <v>4</v>
      </c>
      <c r="O178" t="s">
        <v>441</v>
      </c>
      <c r="P178" t="s">
        <v>440</v>
      </c>
      <c r="Q178" t="s">
        <v>439</v>
      </c>
      <c r="R178" s="7">
        <v>34160</v>
      </c>
      <c r="S178" s="8">
        <f t="shared" si="16"/>
        <v>1993</v>
      </c>
      <c r="T178" s="8">
        <v>1993</v>
      </c>
      <c r="U178" s="8">
        <f t="shared" si="17"/>
        <v>29</v>
      </c>
      <c r="V178" s="7">
        <v>34160</v>
      </c>
      <c r="W178" t="s">
        <v>214</v>
      </c>
      <c r="X178" s="2" t="s">
        <v>0</v>
      </c>
      <c r="Y178" s="6" t="e">
        <f t="shared" si="18"/>
        <v>#VALUE!</v>
      </c>
      <c r="AA178">
        <v>2955075</v>
      </c>
      <c r="AB178">
        <v>27551</v>
      </c>
      <c r="AC178">
        <v>12864854</v>
      </c>
      <c r="AD178" t="s">
        <v>2</v>
      </c>
      <c r="AE178">
        <v>23</v>
      </c>
      <c r="AF178">
        <v>2</v>
      </c>
      <c r="AH178" t="s">
        <v>438</v>
      </c>
      <c r="AI178" t="s">
        <v>437</v>
      </c>
      <c r="AK178" t="s">
        <v>436</v>
      </c>
      <c r="AL178">
        <v>0</v>
      </c>
      <c r="AM178" s="5">
        <f t="shared" si="19"/>
        <v>0</v>
      </c>
      <c r="AN178" s="4">
        <f t="shared" si="20"/>
        <v>0</v>
      </c>
      <c r="AO178" s="3"/>
      <c r="AP178">
        <v>0</v>
      </c>
      <c r="AR178" t="s">
        <v>1</v>
      </c>
      <c r="AT178" s="2">
        <v>1.9470000000000001</v>
      </c>
      <c r="AU178" s="1" t="e">
        <f t="shared" si="21"/>
        <v>#VALUE!</v>
      </c>
      <c r="AV178" s="1" t="e">
        <f t="shared" si="22"/>
        <v>#VALUE!</v>
      </c>
      <c r="AW178" s="1" t="e">
        <f t="shared" si="23"/>
        <v>#VALUE!</v>
      </c>
    </row>
    <row r="179" spans="1:49" x14ac:dyDescent="0.2">
      <c r="A179">
        <v>177</v>
      </c>
      <c r="B179" t="s">
        <v>435</v>
      </c>
      <c r="C179" t="s">
        <v>434</v>
      </c>
      <c r="D179" t="s">
        <v>433</v>
      </c>
      <c r="F179" t="s">
        <v>432</v>
      </c>
      <c r="G179" t="s">
        <v>5</v>
      </c>
      <c r="H179" t="s">
        <v>4</v>
      </c>
      <c r="I179" t="s">
        <v>431</v>
      </c>
      <c r="J179">
        <v>60011604</v>
      </c>
      <c r="K179" t="s">
        <v>210</v>
      </c>
      <c r="L179" t="s">
        <v>91</v>
      </c>
      <c r="M179" t="s">
        <v>8</v>
      </c>
      <c r="N179">
        <v>4</v>
      </c>
      <c r="O179" t="s">
        <v>430</v>
      </c>
      <c r="P179" t="s">
        <v>429</v>
      </c>
      <c r="Q179" t="s">
        <v>428</v>
      </c>
      <c r="R179" s="7">
        <v>34155</v>
      </c>
      <c r="S179" s="8">
        <f t="shared" si="16"/>
        <v>1993</v>
      </c>
      <c r="T179" s="8">
        <v>1993</v>
      </c>
      <c r="U179" s="8">
        <f t="shared" si="17"/>
        <v>29</v>
      </c>
      <c r="V179" s="7">
        <v>34155</v>
      </c>
      <c r="W179" t="s">
        <v>219</v>
      </c>
      <c r="X179" s="2">
        <v>1.59</v>
      </c>
      <c r="Y179" s="6">
        <f t="shared" si="18"/>
        <v>4.2444141907583888E-2</v>
      </c>
      <c r="AA179">
        <v>52728</v>
      </c>
      <c r="AB179">
        <v>16791</v>
      </c>
      <c r="AD179" t="s">
        <v>2</v>
      </c>
      <c r="AE179">
        <v>1143</v>
      </c>
      <c r="AF179">
        <v>2</v>
      </c>
      <c r="AH179" t="s">
        <v>427</v>
      </c>
      <c r="AI179" t="s">
        <v>426</v>
      </c>
      <c r="AJ179" t="s">
        <v>425</v>
      </c>
      <c r="AK179" t="s">
        <v>424</v>
      </c>
      <c r="AL179">
        <v>13</v>
      </c>
      <c r="AM179" s="5">
        <f t="shared" si="19"/>
        <v>0.44827586206896552</v>
      </c>
      <c r="AN179" s="4">
        <f t="shared" si="20"/>
        <v>6.7894867409157972E-4</v>
      </c>
      <c r="AO179" s="3"/>
      <c r="AP179">
        <v>0</v>
      </c>
      <c r="AR179" t="s">
        <v>423</v>
      </c>
      <c r="AT179" s="2" t="s">
        <v>0</v>
      </c>
      <c r="AU179" s="1">
        <f t="shared" si="21"/>
        <v>2.9914583937536197</v>
      </c>
      <c r="AV179" s="1">
        <f t="shared" si="22"/>
        <v>2.1561545290837736</v>
      </c>
      <c r="AW179" s="1">
        <f t="shared" si="23"/>
        <v>1.3208506644139271</v>
      </c>
    </row>
    <row r="180" spans="1:49" x14ac:dyDescent="0.2">
      <c r="A180">
        <v>178</v>
      </c>
      <c r="B180" t="s">
        <v>422</v>
      </c>
      <c r="C180" t="s">
        <v>421</v>
      </c>
      <c r="D180">
        <v>5272893901445</v>
      </c>
      <c r="E180">
        <v>8318519</v>
      </c>
      <c r="F180" t="s">
        <v>420</v>
      </c>
      <c r="G180" t="s">
        <v>5</v>
      </c>
      <c r="H180" t="s">
        <v>4</v>
      </c>
      <c r="I180" t="s">
        <v>419</v>
      </c>
      <c r="J180">
        <v>60025310</v>
      </c>
      <c r="K180" t="s">
        <v>418</v>
      </c>
      <c r="L180" t="s">
        <v>417</v>
      </c>
      <c r="M180" t="s">
        <v>8</v>
      </c>
      <c r="N180">
        <v>2</v>
      </c>
      <c r="O180" t="s">
        <v>416</v>
      </c>
      <c r="P180" t="s">
        <v>415</v>
      </c>
      <c r="Q180" t="s">
        <v>414</v>
      </c>
      <c r="R180" s="7">
        <v>34155</v>
      </c>
      <c r="S180" s="8">
        <f t="shared" si="16"/>
        <v>1993</v>
      </c>
      <c r="T180" s="8">
        <v>1993</v>
      </c>
      <c r="U180" s="8">
        <f t="shared" si="17"/>
        <v>29</v>
      </c>
      <c r="V180" s="7">
        <v>34155</v>
      </c>
      <c r="W180" t="s">
        <v>219</v>
      </c>
      <c r="X180" s="2">
        <v>1.59</v>
      </c>
      <c r="Y180" s="6">
        <f t="shared" si="18"/>
        <v>4.2444141907583888E-2</v>
      </c>
      <c r="AA180">
        <v>52728</v>
      </c>
      <c r="AB180">
        <v>16791</v>
      </c>
      <c r="AD180" t="s">
        <v>2</v>
      </c>
      <c r="AE180">
        <v>1143</v>
      </c>
      <c r="AF180">
        <v>2</v>
      </c>
      <c r="AH180" t="s">
        <v>413</v>
      </c>
      <c r="AI180" t="s">
        <v>412</v>
      </c>
      <c r="AJ180" t="s">
        <v>411</v>
      </c>
      <c r="AK180" t="s">
        <v>410</v>
      </c>
      <c r="AL180">
        <v>38</v>
      </c>
      <c r="AM180" s="5">
        <f t="shared" si="19"/>
        <v>1.3103448275862069</v>
      </c>
      <c r="AN180" s="4">
        <f t="shared" si="20"/>
        <v>1.9846192011907715E-3</v>
      </c>
      <c r="AO180" s="3"/>
      <c r="AP180">
        <v>0</v>
      </c>
      <c r="AR180">
        <v>189</v>
      </c>
      <c r="AT180" s="2" t="s">
        <v>0</v>
      </c>
      <c r="AU180" s="1">
        <f t="shared" si="21"/>
        <v>3.0306285095665952</v>
      </c>
      <c r="AV180" s="1">
        <f t="shared" si="22"/>
        <v>2.2214380554387332</v>
      </c>
      <c r="AW180" s="1">
        <f t="shared" si="23"/>
        <v>1.4122476013108705</v>
      </c>
    </row>
    <row r="181" spans="1:49" x14ac:dyDescent="0.2">
      <c r="A181">
        <v>179</v>
      </c>
      <c r="B181" t="s">
        <v>409</v>
      </c>
      <c r="F181" t="s">
        <v>408</v>
      </c>
      <c r="G181" t="s">
        <v>5</v>
      </c>
      <c r="H181" t="s">
        <v>4</v>
      </c>
      <c r="I181" t="s">
        <v>407</v>
      </c>
      <c r="J181" t="s">
        <v>406</v>
      </c>
      <c r="K181" t="s">
        <v>405</v>
      </c>
      <c r="L181" t="s">
        <v>404</v>
      </c>
      <c r="M181" t="s">
        <v>403</v>
      </c>
      <c r="N181">
        <v>15</v>
      </c>
      <c r="O181" t="s">
        <v>402</v>
      </c>
      <c r="P181" t="s">
        <v>401</v>
      </c>
      <c r="Q181" t="s">
        <v>400</v>
      </c>
      <c r="R181" s="7">
        <v>34151</v>
      </c>
      <c r="S181" s="8">
        <f t="shared" si="16"/>
        <v>1993</v>
      </c>
      <c r="T181" s="8">
        <v>1993</v>
      </c>
      <c r="U181" s="8">
        <f t="shared" si="17"/>
        <v>29</v>
      </c>
      <c r="V181" s="7">
        <v>34151</v>
      </c>
      <c r="W181" t="s">
        <v>399</v>
      </c>
      <c r="X181" s="2">
        <v>2.137</v>
      </c>
      <c r="Y181" s="6">
        <f t="shared" si="18"/>
        <v>5.7045994500947654E-2</v>
      </c>
      <c r="AA181">
        <v>46361</v>
      </c>
      <c r="AB181">
        <v>26750</v>
      </c>
      <c r="AC181">
        <v>14320746</v>
      </c>
      <c r="AD181" t="s">
        <v>2</v>
      </c>
      <c r="AE181">
        <v>274</v>
      </c>
      <c r="AF181">
        <v>3</v>
      </c>
      <c r="AH181" t="s">
        <v>398</v>
      </c>
      <c r="AI181" t="s">
        <v>397</v>
      </c>
      <c r="AJ181" t="s">
        <v>396</v>
      </c>
      <c r="AK181" t="s">
        <v>395</v>
      </c>
      <c r="AL181">
        <v>42</v>
      </c>
      <c r="AM181" s="5">
        <f t="shared" si="19"/>
        <v>1.4482758620689655</v>
      </c>
      <c r="AN181" s="4">
        <f t="shared" si="20"/>
        <v>2.1935264855266422E-3</v>
      </c>
      <c r="AO181" s="3"/>
      <c r="AP181">
        <v>0</v>
      </c>
      <c r="AR181" t="s">
        <v>1</v>
      </c>
      <c r="AT181" s="2" t="s">
        <v>0</v>
      </c>
      <c r="AU181" s="1">
        <f t="shared" si="21"/>
        <v>4.0590254096321345</v>
      </c>
      <c r="AV181" s="1">
        <f t="shared" si="22"/>
        <v>2.9619760493237148</v>
      </c>
      <c r="AW181" s="1">
        <f t="shared" si="23"/>
        <v>1.8649266890152942</v>
      </c>
    </row>
    <row r="182" spans="1:49" x14ac:dyDescent="0.2">
      <c r="A182">
        <v>180</v>
      </c>
      <c r="B182" t="s">
        <v>394</v>
      </c>
      <c r="C182" t="s">
        <v>393</v>
      </c>
      <c r="F182" t="s">
        <v>392</v>
      </c>
      <c r="G182" t="s">
        <v>5</v>
      </c>
      <c r="H182" t="s">
        <v>4</v>
      </c>
      <c r="I182" t="s">
        <v>391</v>
      </c>
      <c r="J182" t="s">
        <v>390</v>
      </c>
      <c r="K182" t="s">
        <v>389</v>
      </c>
      <c r="L182" t="s">
        <v>388</v>
      </c>
      <c r="M182" t="s">
        <v>189</v>
      </c>
      <c r="N182">
        <v>1</v>
      </c>
      <c r="O182" t="s">
        <v>387</v>
      </c>
      <c r="P182">
        <v>56236475400</v>
      </c>
      <c r="Q182" t="s">
        <v>386</v>
      </c>
      <c r="R182" s="7">
        <v>34151</v>
      </c>
      <c r="S182" s="8">
        <f t="shared" si="16"/>
        <v>1993</v>
      </c>
      <c r="T182" s="8">
        <v>1993</v>
      </c>
      <c r="U182" s="8">
        <f t="shared" si="17"/>
        <v>29</v>
      </c>
      <c r="V182" s="7">
        <v>34151</v>
      </c>
      <c r="W182" t="s">
        <v>385</v>
      </c>
      <c r="X182" s="2" t="s">
        <v>0</v>
      </c>
      <c r="Y182" s="6" t="e">
        <f t="shared" si="18"/>
        <v>#VALUE!</v>
      </c>
      <c r="AA182">
        <v>3905551</v>
      </c>
      <c r="AB182">
        <v>15400155600</v>
      </c>
      <c r="AD182" t="s">
        <v>2</v>
      </c>
      <c r="AE182">
        <v>16</v>
      </c>
      <c r="AF182">
        <v>4</v>
      </c>
      <c r="AH182" t="s">
        <v>384</v>
      </c>
      <c r="AI182" t="s">
        <v>383</v>
      </c>
      <c r="AK182" t="s">
        <v>382</v>
      </c>
      <c r="AL182">
        <v>1</v>
      </c>
      <c r="AM182" s="5">
        <f t="shared" si="19"/>
        <v>3.4482758620689655E-2</v>
      </c>
      <c r="AN182" s="4">
        <f t="shared" si="20"/>
        <v>5.2226821083967674E-5</v>
      </c>
      <c r="AO182" s="3"/>
      <c r="AP182">
        <v>0</v>
      </c>
      <c r="AR182" t="s">
        <v>1</v>
      </c>
      <c r="AT182" s="2" t="s">
        <v>0</v>
      </c>
      <c r="AU182" s="1" t="e">
        <f t="shared" si="21"/>
        <v>#VALUE!</v>
      </c>
      <c r="AV182" s="1" t="e">
        <f t="shared" si="22"/>
        <v>#VALUE!</v>
      </c>
      <c r="AW182" s="1" t="e">
        <f t="shared" si="23"/>
        <v>#VALUE!</v>
      </c>
    </row>
    <row r="183" spans="1:49" x14ac:dyDescent="0.2">
      <c r="A183">
        <v>181</v>
      </c>
      <c r="B183" t="s">
        <v>381</v>
      </c>
      <c r="C183" t="s">
        <v>380</v>
      </c>
      <c r="F183" t="s">
        <v>379</v>
      </c>
      <c r="G183" t="s">
        <v>5</v>
      </c>
      <c r="H183" t="s">
        <v>4</v>
      </c>
      <c r="I183" t="s">
        <v>378</v>
      </c>
      <c r="J183">
        <v>60005244</v>
      </c>
      <c r="K183" t="s">
        <v>147</v>
      </c>
      <c r="L183" t="s">
        <v>146</v>
      </c>
      <c r="M183" t="s">
        <v>27</v>
      </c>
      <c r="N183">
        <v>1</v>
      </c>
      <c r="O183" t="s">
        <v>377</v>
      </c>
      <c r="P183">
        <v>24783790200</v>
      </c>
      <c r="Q183">
        <v>60005244</v>
      </c>
      <c r="R183" s="7">
        <v>34151</v>
      </c>
      <c r="S183" s="8">
        <f t="shared" si="16"/>
        <v>1993</v>
      </c>
      <c r="T183" s="8">
        <v>1993</v>
      </c>
      <c r="U183" s="8">
        <f t="shared" si="17"/>
        <v>29</v>
      </c>
      <c r="V183" s="7">
        <v>34151</v>
      </c>
      <c r="W183" t="s">
        <v>204</v>
      </c>
      <c r="X183" s="2">
        <v>0.11700000000000001</v>
      </c>
      <c r="Y183" s="6">
        <f t="shared" si="18"/>
        <v>3.1232481781052297E-3</v>
      </c>
      <c r="AA183">
        <v>2179822</v>
      </c>
      <c r="AB183">
        <v>5300152612</v>
      </c>
      <c r="AC183">
        <v>19930615</v>
      </c>
      <c r="AD183" t="s">
        <v>2</v>
      </c>
      <c r="AE183">
        <v>10</v>
      </c>
      <c r="AF183">
        <v>3</v>
      </c>
      <c r="AH183" t="s">
        <v>376</v>
      </c>
      <c r="AI183" t="s">
        <v>375</v>
      </c>
      <c r="AJ183" t="s">
        <v>374</v>
      </c>
      <c r="AK183" t="s">
        <v>373</v>
      </c>
      <c r="AL183">
        <v>0</v>
      </c>
      <c r="AM183" s="5">
        <f t="shared" si="19"/>
        <v>0</v>
      </c>
      <c r="AN183" s="4">
        <f t="shared" si="20"/>
        <v>0</v>
      </c>
      <c r="AO183" s="3"/>
      <c r="AP183">
        <v>0</v>
      </c>
      <c r="AR183" t="s">
        <v>1</v>
      </c>
      <c r="AT183" s="2" t="s">
        <v>0</v>
      </c>
      <c r="AU183" s="1">
        <f t="shared" si="21"/>
        <v>0.21862737246736608</v>
      </c>
      <c r="AV183" s="1">
        <f t="shared" si="22"/>
        <v>0.15616240890526148</v>
      </c>
      <c r="AW183" s="1">
        <f t="shared" si="23"/>
        <v>9.3697445343156896E-2</v>
      </c>
    </row>
    <row r="184" spans="1:49" x14ac:dyDescent="0.2">
      <c r="A184">
        <v>182</v>
      </c>
      <c r="B184" t="s">
        <v>372</v>
      </c>
      <c r="C184" t="s">
        <v>371</v>
      </c>
      <c r="F184" t="s">
        <v>370</v>
      </c>
      <c r="G184" t="s">
        <v>5</v>
      </c>
      <c r="H184" t="s">
        <v>4</v>
      </c>
      <c r="I184" t="s">
        <v>369</v>
      </c>
      <c r="J184" t="s">
        <v>368</v>
      </c>
      <c r="K184" t="s">
        <v>367</v>
      </c>
      <c r="L184" t="s">
        <v>366</v>
      </c>
      <c r="M184" t="s">
        <v>365</v>
      </c>
      <c r="N184">
        <v>5</v>
      </c>
      <c r="O184" t="s">
        <v>364</v>
      </c>
      <c r="P184" t="s">
        <v>363</v>
      </c>
      <c r="Q184" t="s">
        <v>362</v>
      </c>
      <c r="R184" s="7">
        <v>34151</v>
      </c>
      <c r="S184" s="8">
        <f t="shared" si="16"/>
        <v>1993</v>
      </c>
      <c r="T184" s="8">
        <v>1993</v>
      </c>
      <c r="U184" s="8">
        <f t="shared" si="17"/>
        <v>29</v>
      </c>
      <c r="V184" s="7">
        <v>34151</v>
      </c>
      <c r="W184" t="s">
        <v>232</v>
      </c>
      <c r="X184" s="2">
        <v>0.85499999999999998</v>
      </c>
      <c r="Y184" s="6">
        <f t="shared" si="18"/>
        <v>2.28237366861536E-2</v>
      </c>
      <c r="AA184">
        <v>980331</v>
      </c>
      <c r="AB184">
        <v>23342</v>
      </c>
      <c r="AC184">
        <v>15731561</v>
      </c>
      <c r="AD184" t="s">
        <v>2</v>
      </c>
      <c r="AE184">
        <v>19</v>
      </c>
      <c r="AF184">
        <v>7</v>
      </c>
      <c r="AH184" t="s">
        <v>361</v>
      </c>
      <c r="AI184" t="s">
        <v>360</v>
      </c>
      <c r="AJ184" t="s">
        <v>359</v>
      </c>
      <c r="AK184" t="s">
        <v>358</v>
      </c>
      <c r="AL184">
        <v>58</v>
      </c>
      <c r="AM184" s="5">
        <f t="shared" si="19"/>
        <v>2</v>
      </c>
      <c r="AN184" s="4">
        <f t="shared" si="20"/>
        <v>3.0291556228701248E-3</v>
      </c>
      <c r="AO184" s="3"/>
      <c r="AP184">
        <v>0</v>
      </c>
      <c r="AR184" t="s">
        <v>1</v>
      </c>
      <c r="AT184" s="2">
        <v>2.6259999999999999</v>
      </c>
      <c r="AU184" s="1">
        <f t="shared" si="21"/>
        <v>1.6885362367168557</v>
      </c>
      <c r="AV184" s="1">
        <f t="shared" si="22"/>
        <v>1.2926446154511864</v>
      </c>
      <c r="AW184" s="1">
        <f t="shared" si="23"/>
        <v>0.89675299418551668</v>
      </c>
    </row>
    <row r="185" spans="1:49" x14ac:dyDescent="0.2">
      <c r="A185">
        <v>183</v>
      </c>
      <c r="B185" t="s">
        <v>357</v>
      </c>
      <c r="F185" t="s">
        <v>356</v>
      </c>
      <c r="G185" t="s">
        <v>5</v>
      </c>
      <c r="H185" t="s">
        <v>4</v>
      </c>
      <c r="I185" t="s">
        <v>213</v>
      </c>
      <c r="N185">
        <v>2</v>
      </c>
      <c r="O185" t="s">
        <v>212</v>
      </c>
      <c r="P185" t="s">
        <v>211</v>
      </c>
      <c r="Q185" t="s">
        <v>71</v>
      </c>
      <c r="R185" s="7">
        <v>34151</v>
      </c>
      <c r="S185" s="8">
        <f t="shared" si="16"/>
        <v>1993</v>
      </c>
      <c r="T185" s="8">
        <v>1993</v>
      </c>
      <c r="U185" s="8">
        <f t="shared" si="17"/>
        <v>29</v>
      </c>
      <c r="V185" s="7">
        <v>34151</v>
      </c>
      <c r="W185" t="s">
        <v>355</v>
      </c>
      <c r="X185" s="2" t="s">
        <v>0</v>
      </c>
      <c r="Y185" s="6" t="e">
        <f t="shared" si="18"/>
        <v>#VALUE!</v>
      </c>
      <c r="AA185">
        <v>3875024</v>
      </c>
      <c r="AB185">
        <v>110132</v>
      </c>
      <c r="AD185" t="s">
        <v>2</v>
      </c>
      <c r="AE185">
        <v>59</v>
      </c>
      <c r="AF185">
        <v>563</v>
      </c>
      <c r="AH185" t="s">
        <v>354</v>
      </c>
      <c r="AI185" t="s">
        <v>353</v>
      </c>
      <c r="AK185" t="s">
        <v>352</v>
      </c>
      <c r="AL185">
        <v>0</v>
      </c>
      <c r="AM185" s="5">
        <f t="shared" si="19"/>
        <v>0</v>
      </c>
      <c r="AN185" s="4">
        <f t="shared" si="20"/>
        <v>0</v>
      </c>
      <c r="AO185" s="3"/>
      <c r="AP185">
        <v>0</v>
      </c>
      <c r="AR185" t="s">
        <v>1</v>
      </c>
      <c r="AT185" s="2" t="s">
        <v>0</v>
      </c>
      <c r="AU185" s="1" t="e">
        <f t="shared" si="21"/>
        <v>#VALUE!</v>
      </c>
      <c r="AV185" s="1" t="e">
        <f t="shared" si="22"/>
        <v>#VALUE!</v>
      </c>
      <c r="AW185" s="1" t="e">
        <f t="shared" si="23"/>
        <v>#VALUE!</v>
      </c>
    </row>
    <row r="186" spans="1:49" x14ac:dyDescent="0.2">
      <c r="A186">
        <v>184</v>
      </c>
      <c r="B186" t="s">
        <v>351</v>
      </c>
      <c r="F186" t="s">
        <v>350</v>
      </c>
      <c r="G186" t="s">
        <v>5</v>
      </c>
      <c r="H186" t="s">
        <v>4</v>
      </c>
      <c r="I186" t="s">
        <v>349</v>
      </c>
      <c r="J186">
        <v>60002787</v>
      </c>
      <c r="K186" t="s">
        <v>348</v>
      </c>
      <c r="L186" t="s">
        <v>347</v>
      </c>
      <c r="M186" t="s">
        <v>13</v>
      </c>
      <c r="N186">
        <v>4</v>
      </c>
      <c r="O186" t="s">
        <v>346</v>
      </c>
      <c r="P186" t="s">
        <v>345</v>
      </c>
      <c r="Q186" t="s">
        <v>344</v>
      </c>
      <c r="R186" s="7">
        <v>34151</v>
      </c>
      <c r="S186" s="8">
        <f t="shared" si="16"/>
        <v>1993</v>
      </c>
      <c r="T186" s="8">
        <v>1993</v>
      </c>
      <c r="U186" s="8">
        <f t="shared" si="17"/>
        <v>29</v>
      </c>
      <c r="V186" s="7">
        <v>34151</v>
      </c>
      <c r="W186" t="s">
        <v>76</v>
      </c>
      <c r="X186" s="2">
        <v>0.21099999999999999</v>
      </c>
      <c r="Y186" s="6">
        <f t="shared" si="18"/>
        <v>5.6325244921384904E-3</v>
      </c>
      <c r="AA186">
        <v>9168516</v>
      </c>
      <c r="AB186">
        <v>18936</v>
      </c>
      <c r="AD186" t="s">
        <v>2</v>
      </c>
      <c r="AE186" t="s">
        <v>75</v>
      </c>
      <c r="AF186">
        <v>7</v>
      </c>
      <c r="AH186" t="s">
        <v>343</v>
      </c>
      <c r="AI186" t="s">
        <v>342</v>
      </c>
      <c r="AK186" t="s">
        <v>341</v>
      </c>
      <c r="AL186">
        <v>19</v>
      </c>
      <c r="AM186" s="5">
        <f t="shared" si="19"/>
        <v>0.65517241379310343</v>
      </c>
      <c r="AN186" s="4">
        <f t="shared" si="20"/>
        <v>9.9230960059538574E-4</v>
      </c>
      <c r="AO186" s="3"/>
      <c r="AP186">
        <v>0</v>
      </c>
      <c r="AR186" t="s">
        <v>1</v>
      </c>
      <c r="AT186" s="2">
        <v>0.52500000000000002</v>
      </c>
      <c r="AU186" s="1">
        <f t="shared" si="21"/>
        <v>0.4240460024675558</v>
      </c>
      <c r="AV186" s="1">
        <f t="shared" si="22"/>
        <v>0.33124170463669378</v>
      </c>
      <c r="AW186" s="1">
        <f t="shared" si="23"/>
        <v>0.2384374068058317</v>
      </c>
    </row>
    <row r="187" spans="1:49" x14ac:dyDescent="0.2">
      <c r="A187">
        <v>185</v>
      </c>
      <c r="B187" t="s">
        <v>340</v>
      </c>
      <c r="F187" t="s">
        <v>339</v>
      </c>
      <c r="G187" t="s">
        <v>5</v>
      </c>
      <c r="H187" t="s">
        <v>4</v>
      </c>
      <c r="I187" t="s">
        <v>338</v>
      </c>
      <c r="J187">
        <v>60001271</v>
      </c>
      <c r="K187" t="s">
        <v>180</v>
      </c>
      <c r="L187" t="s">
        <v>130</v>
      </c>
      <c r="M187" t="s">
        <v>13</v>
      </c>
      <c r="N187">
        <v>4</v>
      </c>
      <c r="O187" t="s">
        <v>337</v>
      </c>
      <c r="P187" t="s">
        <v>336</v>
      </c>
      <c r="Q187" t="s">
        <v>179</v>
      </c>
      <c r="R187" s="7">
        <v>34151</v>
      </c>
      <c r="S187" s="8">
        <f t="shared" si="16"/>
        <v>1993</v>
      </c>
      <c r="T187" s="8">
        <v>1993</v>
      </c>
      <c r="U187" s="8">
        <f t="shared" si="17"/>
        <v>29</v>
      </c>
      <c r="V187" s="7">
        <v>34151</v>
      </c>
      <c r="W187" t="s">
        <v>76</v>
      </c>
      <c r="X187" s="2">
        <v>0.21099999999999999</v>
      </c>
      <c r="Y187" s="6">
        <f t="shared" si="18"/>
        <v>5.6325244921384904E-3</v>
      </c>
      <c r="AA187">
        <v>9168516</v>
      </c>
      <c r="AB187">
        <v>18936</v>
      </c>
      <c r="AD187" t="s">
        <v>2</v>
      </c>
      <c r="AE187" t="s">
        <v>75</v>
      </c>
      <c r="AF187">
        <v>7</v>
      </c>
      <c r="AH187" t="s">
        <v>335</v>
      </c>
      <c r="AI187" t="s">
        <v>334</v>
      </c>
      <c r="AK187" t="s">
        <v>333</v>
      </c>
      <c r="AL187">
        <v>0</v>
      </c>
      <c r="AM187" s="5">
        <f t="shared" si="19"/>
        <v>0</v>
      </c>
      <c r="AN187" s="4">
        <f t="shared" si="20"/>
        <v>0</v>
      </c>
      <c r="AO187" s="3"/>
      <c r="AP187">
        <v>0</v>
      </c>
      <c r="AR187" t="s">
        <v>1</v>
      </c>
      <c r="AT187" s="2">
        <v>0.52500000000000002</v>
      </c>
      <c r="AU187" s="1">
        <f t="shared" si="21"/>
        <v>0.39427671444969431</v>
      </c>
      <c r="AV187" s="1">
        <f t="shared" si="22"/>
        <v>0.28162622460692455</v>
      </c>
      <c r="AW187" s="1">
        <f t="shared" si="23"/>
        <v>0.1689757347641547</v>
      </c>
    </row>
    <row r="188" spans="1:49" x14ac:dyDescent="0.2">
      <c r="A188">
        <v>186</v>
      </c>
      <c r="B188" t="s">
        <v>332</v>
      </c>
      <c r="F188" t="s">
        <v>331</v>
      </c>
      <c r="G188" t="s">
        <v>5</v>
      </c>
      <c r="H188" t="s">
        <v>4</v>
      </c>
      <c r="I188" t="s">
        <v>330</v>
      </c>
      <c r="J188">
        <v>60016296</v>
      </c>
      <c r="K188" t="s">
        <v>39</v>
      </c>
      <c r="L188" t="s">
        <v>110</v>
      </c>
      <c r="M188" t="s">
        <v>3</v>
      </c>
      <c r="N188">
        <v>5</v>
      </c>
      <c r="O188" t="s">
        <v>329</v>
      </c>
      <c r="P188" t="s">
        <v>328</v>
      </c>
      <c r="Q188" t="s">
        <v>327</v>
      </c>
      <c r="R188" s="7">
        <v>34151</v>
      </c>
      <c r="S188" s="8">
        <f t="shared" si="16"/>
        <v>1993</v>
      </c>
      <c r="T188" s="8">
        <v>1993</v>
      </c>
      <c r="U188" s="8">
        <f t="shared" si="17"/>
        <v>29</v>
      </c>
      <c r="V188" s="7">
        <v>34151</v>
      </c>
      <c r="W188" t="s">
        <v>161</v>
      </c>
      <c r="X188" s="2" t="s">
        <v>0</v>
      </c>
      <c r="Y188" s="6" t="e">
        <f t="shared" si="18"/>
        <v>#VALUE!</v>
      </c>
      <c r="AA188">
        <v>9641807</v>
      </c>
      <c r="AB188">
        <v>71966</v>
      </c>
      <c r="AD188" t="s">
        <v>2</v>
      </c>
      <c r="AE188">
        <v>1</v>
      </c>
      <c r="AF188" t="s">
        <v>326</v>
      </c>
      <c r="AH188" t="s">
        <v>203</v>
      </c>
      <c r="AI188" t="s">
        <v>325</v>
      </c>
      <c r="AK188" t="s">
        <v>324</v>
      </c>
      <c r="AL188">
        <v>1</v>
      </c>
      <c r="AM188" s="5">
        <f t="shared" si="19"/>
        <v>3.4482758620689655E-2</v>
      </c>
      <c r="AN188" s="4">
        <f t="shared" si="20"/>
        <v>5.2226821083967674E-5</v>
      </c>
      <c r="AO188" s="3"/>
      <c r="AP188">
        <v>0</v>
      </c>
      <c r="AR188" t="s">
        <v>1</v>
      </c>
      <c r="AT188" s="2" t="s">
        <v>0</v>
      </c>
      <c r="AU188" s="1" t="e">
        <f t="shared" si="21"/>
        <v>#VALUE!</v>
      </c>
      <c r="AV188" s="1" t="e">
        <f t="shared" si="22"/>
        <v>#VALUE!</v>
      </c>
      <c r="AW188" s="1" t="e">
        <f t="shared" si="23"/>
        <v>#VALUE!</v>
      </c>
    </row>
    <row r="189" spans="1:49" x14ac:dyDescent="0.2">
      <c r="A189">
        <v>187</v>
      </c>
      <c r="B189" t="s">
        <v>323</v>
      </c>
      <c r="F189" t="s">
        <v>322</v>
      </c>
      <c r="G189" t="s">
        <v>5</v>
      </c>
      <c r="H189" t="s">
        <v>4</v>
      </c>
      <c r="I189" t="s">
        <v>321</v>
      </c>
      <c r="J189">
        <v>60008107</v>
      </c>
      <c r="K189" t="s">
        <v>320</v>
      </c>
      <c r="L189" t="s">
        <v>319</v>
      </c>
      <c r="M189" t="s">
        <v>13</v>
      </c>
      <c r="N189">
        <v>3</v>
      </c>
      <c r="O189" t="s">
        <v>318</v>
      </c>
      <c r="P189" t="s">
        <v>317</v>
      </c>
      <c r="Q189" t="s">
        <v>316</v>
      </c>
      <c r="R189" s="7">
        <v>34151</v>
      </c>
      <c r="S189" s="8">
        <f t="shared" si="16"/>
        <v>1993</v>
      </c>
      <c r="T189" s="8">
        <v>1993</v>
      </c>
      <c r="U189" s="8">
        <f t="shared" si="17"/>
        <v>29</v>
      </c>
      <c r="V189" s="7">
        <v>34151</v>
      </c>
      <c r="W189" t="s">
        <v>76</v>
      </c>
      <c r="X189" s="2">
        <v>0.21099999999999999</v>
      </c>
      <c r="Y189" s="6">
        <f t="shared" si="18"/>
        <v>5.6325244921384904E-3</v>
      </c>
      <c r="AA189">
        <v>9168516</v>
      </c>
      <c r="AB189">
        <v>18936</v>
      </c>
      <c r="AD189" t="s">
        <v>2</v>
      </c>
      <c r="AE189" t="s">
        <v>75</v>
      </c>
      <c r="AF189">
        <v>7</v>
      </c>
      <c r="AH189" t="s">
        <v>315</v>
      </c>
      <c r="AI189" t="s">
        <v>314</v>
      </c>
      <c r="AK189" t="s">
        <v>313</v>
      </c>
      <c r="AL189">
        <v>0</v>
      </c>
      <c r="AM189" s="5">
        <f t="shared" si="19"/>
        <v>0</v>
      </c>
      <c r="AN189" s="4">
        <f t="shared" si="20"/>
        <v>0</v>
      </c>
      <c r="AO189" s="3"/>
      <c r="AP189">
        <v>0</v>
      </c>
      <c r="AR189" t="s">
        <v>1</v>
      </c>
      <c r="AT189" s="2">
        <v>0.52500000000000002</v>
      </c>
      <c r="AU189" s="1">
        <f t="shared" si="21"/>
        <v>0.39427671444969431</v>
      </c>
      <c r="AV189" s="1">
        <f t="shared" si="22"/>
        <v>0.28162622460692455</v>
      </c>
      <c r="AW189" s="1">
        <f t="shared" si="23"/>
        <v>0.1689757347641547</v>
      </c>
    </row>
    <row r="190" spans="1:49" x14ac:dyDescent="0.2">
      <c r="A190">
        <v>188</v>
      </c>
      <c r="B190" t="s">
        <v>312</v>
      </c>
      <c r="F190" t="s">
        <v>311</v>
      </c>
      <c r="G190" t="s">
        <v>5</v>
      </c>
      <c r="H190" t="s">
        <v>4</v>
      </c>
      <c r="I190" t="s">
        <v>190</v>
      </c>
      <c r="J190">
        <v>60025555</v>
      </c>
      <c r="K190" t="s">
        <v>81</v>
      </c>
      <c r="L190" t="s">
        <v>14</v>
      </c>
      <c r="M190" t="s">
        <v>13</v>
      </c>
      <c r="N190">
        <v>2</v>
      </c>
      <c r="O190" t="s">
        <v>310</v>
      </c>
      <c r="P190" t="s">
        <v>309</v>
      </c>
      <c r="Q190" t="s">
        <v>99</v>
      </c>
      <c r="R190" s="7">
        <v>34151</v>
      </c>
      <c r="S190" s="8">
        <f t="shared" si="16"/>
        <v>1993</v>
      </c>
      <c r="T190" s="8">
        <v>1993</v>
      </c>
      <c r="U190" s="8">
        <f t="shared" si="17"/>
        <v>29</v>
      </c>
      <c r="V190" s="7">
        <v>34151</v>
      </c>
      <c r="W190" t="s">
        <v>76</v>
      </c>
      <c r="X190" s="2">
        <v>0.21099999999999999</v>
      </c>
      <c r="Y190" s="6">
        <f t="shared" si="18"/>
        <v>5.6325244921384904E-3</v>
      </c>
      <c r="AA190">
        <v>9168516</v>
      </c>
      <c r="AB190">
        <v>18936</v>
      </c>
      <c r="AD190" t="s">
        <v>2</v>
      </c>
      <c r="AE190" t="s">
        <v>75</v>
      </c>
      <c r="AF190">
        <v>7</v>
      </c>
      <c r="AH190" t="s">
        <v>308</v>
      </c>
      <c r="AI190" t="s">
        <v>307</v>
      </c>
      <c r="AK190" t="s">
        <v>306</v>
      </c>
      <c r="AL190">
        <v>5</v>
      </c>
      <c r="AM190" s="5">
        <f t="shared" si="19"/>
        <v>0.17241379310344829</v>
      </c>
      <c r="AN190" s="4">
        <f t="shared" si="20"/>
        <v>2.6113410541983838E-4</v>
      </c>
      <c r="AO190" s="3"/>
      <c r="AP190">
        <v>0</v>
      </c>
      <c r="AR190" t="s">
        <v>1</v>
      </c>
      <c r="AT190" s="2">
        <v>0.52500000000000002</v>
      </c>
      <c r="AU190" s="1">
        <f t="shared" si="21"/>
        <v>0.40211073761228944</v>
      </c>
      <c r="AV190" s="1">
        <f t="shared" si="22"/>
        <v>0.29468292987791644</v>
      </c>
      <c r="AW190" s="1">
        <f t="shared" si="23"/>
        <v>0.1872551221435434</v>
      </c>
    </row>
    <row r="191" spans="1:49" x14ac:dyDescent="0.2">
      <c r="A191">
        <v>189</v>
      </c>
      <c r="B191" t="s">
        <v>305</v>
      </c>
      <c r="C191" t="s">
        <v>304</v>
      </c>
      <c r="E191">
        <v>8231323</v>
      </c>
      <c r="F191" t="s">
        <v>303</v>
      </c>
      <c r="G191" t="s">
        <v>5</v>
      </c>
      <c r="H191" t="s">
        <v>4</v>
      </c>
      <c r="I191" t="s">
        <v>302</v>
      </c>
      <c r="J191">
        <v>60022313</v>
      </c>
      <c r="K191" t="s">
        <v>301</v>
      </c>
      <c r="L191" t="s">
        <v>300</v>
      </c>
      <c r="M191" t="s">
        <v>13</v>
      </c>
      <c r="N191">
        <v>1</v>
      </c>
      <c r="O191" t="s">
        <v>299</v>
      </c>
      <c r="P191">
        <v>7102316086</v>
      </c>
      <c r="Q191">
        <v>60022313</v>
      </c>
      <c r="R191" s="7">
        <v>34151</v>
      </c>
      <c r="S191" s="8">
        <f t="shared" si="16"/>
        <v>1993</v>
      </c>
      <c r="T191" s="8">
        <v>1993</v>
      </c>
      <c r="U191" s="8">
        <f t="shared" si="17"/>
        <v>29</v>
      </c>
      <c r="V191" s="7">
        <v>34151</v>
      </c>
      <c r="W191" t="s">
        <v>298</v>
      </c>
      <c r="X191" s="2" t="s">
        <v>0</v>
      </c>
      <c r="Y191" s="6" t="e">
        <f t="shared" si="18"/>
        <v>#VALUE!</v>
      </c>
      <c r="AA191">
        <v>1400118</v>
      </c>
      <c r="AB191">
        <v>17979</v>
      </c>
      <c r="AC191">
        <v>17410444</v>
      </c>
      <c r="AD191" t="s">
        <v>2</v>
      </c>
      <c r="AE191">
        <v>31</v>
      </c>
      <c r="AF191">
        <v>1</v>
      </c>
      <c r="AI191" t="s">
        <v>297</v>
      </c>
      <c r="AJ191" t="s">
        <v>296</v>
      </c>
      <c r="AK191" t="s">
        <v>295</v>
      </c>
      <c r="AL191">
        <v>55</v>
      </c>
      <c r="AM191" s="5">
        <f t="shared" si="19"/>
        <v>1.896551724137931</v>
      </c>
      <c r="AN191" s="4">
        <f t="shared" si="20"/>
        <v>2.8724751596182221E-3</v>
      </c>
      <c r="AO191" s="3"/>
      <c r="AP191">
        <v>0</v>
      </c>
      <c r="AR191" t="s">
        <v>1</v>
      </c>
      <c r="AT191" s="2" t="s">
        <v>0</v>
      </c>
      <c r="AU191" s="1" t="e">
        <f t="shared" si="21"/>
        <v>#VALUE!</v>
      </c>
      <c r="AV191" s="1" t="e">
        <f t="shared" si="22"/>
        <v>#VALUE!</v>
      </c>
      <c r="AW191" s="1" t="e">
        <f t="shared" si="23"/>
        <v>#VALUE!</v>
      </c>
    </row>
    <row r="192" spans="1:49" x14ac:dyDescent="0.2">
      <c r="A192">
        <v>190</v>
      </c>
      <c r="B192" t="s">
        <v>294</v>
      </c>
      <c r="C192" t="s">
        <v>293</v>
      </c>
      <c r="F192" t="s">
        <v>292</v>
      </c>
      <c r="G192" t="s">
        <v>5</v>
      </c>
      <c r="H192" t="s">
        <v>4</v>
      </c>
      <c r="I192" t="s">
        <v>291</v>
      </c>
      <c r="J192" t="s">
        <v>290</v>
      </c>
      <c r="K192" t="s">
        <v>289</v>
      </c>
      <c r="L192" t="s">
        <v>288</v>
      </c>
      <c r="M192" t="s">
        <v>102</v>
      </c>
      <c r="N192">
        <v>3</v>
      </c>
      <c r="O192" t="s">
        <v>287</v>
      </c>
      <c r="P192" t="s">
        <v>286</v>
      </c>
      <c r="Q192" t="s">
        <v>285</v>
      </c>
      <c r="R192" s="7">
        <v>34151</v>
      </c>
      <c r="S192" s="8">
        <f t="shared" si="16"/>
        <v>1993</v>
      </c>
      <c r="T192" s="8">
        <v>1993</v>
      </c>
      <c r="U192" s="8">
        <f t="shared" si="17"/>
        <v>29</v>
      </c>
      <c r="V192" s="7">
        <v>34151</v>
      </c>
      <c r="W192" t="s">
        <v>109</v>
      </c>
      <c r="X192" s="2">
        <v>0.61499999999999999</v>
      </c>
      <c r="Y192" s="6">
        <f t="shared" si="18"/>
        <v>1.6417073756706976E-2</v>
      </c>
      <c r="AA192">
        <v>1959271</v>
      </c>
      <c r="AB192">
        <v>12141</v>
      </c>
      <c r="AC192">
        <v>15729559</v>
      </c>
      <c r="AD192" t="s">
        <v>2</v>
      </c>
      <c r="AE192">
        <v>14</v>
      </c>
      <c r="AF192">
        <v>7</v>
      </c>
      <c r="AH192" t="s">
        <v>284</v>
      </c>
      <c r="AI192" t="s">
        <v>283</v>
      </c>
      <c r="AK192" t="s">
        <v>282</v>
      </c>
      <c r="AL192">
        <v>0</v>
      </c>
      <c r="AM192" s="5">
        <f t="shared" si="19"/>
        <v>0</v>
      </c>
      <c r="AN192" s="4">
        <f t="shared" si="20"/>
        <v>0</v>
      </c>
      <c r="AO192" s="3"/>
      <c r="AP192">
        <v>0</v>
      </c>
      <c r="AR192" t="s">
        <v>1</v>
      </c>
      <c r="AT192" s="2" t="s">
        <v>0</v>
      </c>
      <c r="AU192" s="1">
        <f t="shared" si="21"/>
        <v>1.1491951629694881</v>
      </c>
      <c r="AV192" s="1">
        <f t="shared" si="22"/>
        <v>0.82085368783534873</v>
      </c>
      <c r="AW192" s="1">
        <f t="shared" si="23"/>
        <v>0.49251221270120926</v>
      </c>
    </row>
    <row r="193" spans="1:49" x14ac:dyDescent="0.2">
      <c r="A193">
        <v>191</v>
      </c>
      <c r="B193" t="s">
        <v>281</v>
      </c>
      <c r="C193" t="s">
        <v>280</v>
      </c>
      <c r="F193" t="s">
        <v>279</v>
      </c>
      <c r="G193" t="s">
        <v>5</v>
      </c>
      <c r="H193" t="s">
        <v>4</v>
      </c>
      <c r="I193" t="s">
        <v>278</v>
      </c>
      <c r="J193">
        <v>60008134</v>
      </c>
      <c r="K193" t="s">
        <v>139</v>
      </c>
      <c r="L193" t="s">
        <v>138</v>
      </c>
      <c r="M193" t="s">
        <v>24</v>
      </c>
      <c r="N193">
        <v>2</v>
      </c>
      <c r="O193" t="s">
        <v>277</v>
      </c>
      <c r="P193" t="s">
        <v>276</v>
      </c>
      <c r="Q193" t="s">
        <v>196</v>
      </c>
      <c r="R193" s="7">
        <v>34151</v>
      </c>
      <c r="S193" s="8">
        <f t="shared" si="16"/>
        <v>1993</v>
      </c>
      <c r="T193" s="8">
        <v>1993</v>
      </c>
      <c r="U193" s="8">
        <f t="shared" si="17"/>
        <v>29</v>
      </c>
      <c r="V193" s="7">
        <v>34151</v>
      </c>
      <c r="W193" t="s">
        <v>20</v>
      </c>
      <c r="X193" s="2">
        <v>1.1579999999999999</v>
      </c>
      <c r="Y193" s="6">
        <f t="shared" si="18"/>
        <v>3.0912148634579962E-2</v>
      </c>
      <c r="AA193">
        <v>1668595</v>
      </c>
      <c r="AB193">
        <v>14223</v>
      </c>
      <c r="AC193">
        <v>15735079</v>
      </c>
      <c r="AD193" t="s">
        <v>2</v>
      </c>
      <c r="AE193">
        <v>37</v>
      </c>
      <c r="AF193">
        <v>1</v>
      </c>
      <c r="AH193" t="s">
        <v>275</v>
      </c>
      <c r="AI193" t="s">
        <v>274</v>
      </c>
      <c r="AJ193" t="s">
        <v>273</v>
      </c>
      <c r="AK193" t="s">
        <v>272</v>
      </c>
      <c r="AL193">
        <v>21</v>
      </c>
      <c r="AM193" s="5">
        <f t="shared" si="19"/>
        <v>0.72413793103448276</v>
      </c>
      <c r="AN193" s="4">
        <f t="shared" si="20"/>
        <v>1.0967632427633211E-3</v>
      </c>
      <c r="AO193" s="3"/>
      <c r="AP193">
        <v>0</v>
      </c>
      <c r="AR193" t="s">
        <v>1</v>
      </c>
      <c r="AT193" s="2">
        <v>3.573</v>
      </c>
      <c r="AU193" s="1">
        <f t="shared" si="21"/>
        <v>2.196753301703497</v>
      </c>
      <c r="AV193" s="1">
        <f t="shared" si="22"/>
        <v>1.600445593867164</v>
      </c>
      <c r="AW193" s="1">
        <f t="shared" si="23"/>
        <v>1.0041378860308312</v>
      </c>
    </row>
    <row r="194" spans="1:49" x14ac:dyDescent="0.2">
      <c r="A194">
        <v>192</v>
      </c>
      <c r="B194" t="s">
        <v>271</v>
      </c>
      <c r="C194" t="s">
        <v>270</v>
      </c>
      <c r="F194" t="s">
        <v>269</v>
      </c>
      <c r="G194" t="s">
        <v>5</v>
      </c>
      <c r="H194" t="s">
        <v>4</v>
      </c>
      <c r="I194" t="s">
        <v>268</v>
      </c>
      <c r="J194" t="s">
        <v>267</v>
      </c>
      <c r="K194" t="s">
        <v>266</v>
      </c>
      <c r="L194" t="s">
        <v>265</v>
      </c>
      <c r="M194" t="s">
        <v>92</v>
      </c>
      <c r="N194">
        <v>4</v>
      </c>
      <c r="O194" t="s">
        <v>264</v>
      </c>
      <c r="P194" t="s">
        <v>263</v>
      </c>
      <c r="Q194" t="s">
        <v>262</v>
      </c>
      <c r="R194" s="7">
        <v>34151</v>
      </c>
      <c r="S194" s="8">
        <f t="shared" ref="S194" si="24">YEAR(R194)</f>
        <v>1993</v>
      </c>
      <c r="T194" s="8">
        <v>1993</v>
      </c>
      <c r="U194" s="8">
        <f t="shared" ref="U194" si="25">2022-T194</f>
        <v>29</v>
      </c>
      <c r="V194" s="7">
        <v>34151</v>
      </c>
      <c r="W194" t="s">
        <v>223</v>
      </c>
      <c r="X194" s="2">
        <v>7.1150000000000002</v>
      </c>
      <c r="Y194" s="6">
        <f t="shared" ref="Y194" si="26">(X194-$Z$4)/($Z$3-$Z$4)</f>
        <v>0.18993086142921972</v>
      </c>
      <c r="AA194">
        <v>27863</v>
      </c>
      <c r="AB194">
        <v>22680</v>
      </c>
      <c r="AC194">
        <v>15205126</v>
      </c>
      <c r="AD194" t="s">
        <v>2</v>
      </c>
      <c r="AE194">
        <v>115</v>
      </c>
      <c r="AF194">
        <v>14</v>
      </c>
      <c r="AH194" t="s">
        <v>261</v>
      </c>
      <c r="AI194" t="s">
        <v>260</v>
      </c>
      <c r="AK194" t="s">
        <v>259</v>
      </c>
      <c r="AL194">
        <v>56</v>
      </c>
      <c r="AM194" s="5">
        <f t="shared" ref="AM194" si="27">AL194/U194</f>
        <v>1.9310344827586208</v>
      </c>
      <c r="AN194" s="4">
        <f t="shared" ref="AN194" si="28">(AM194-$AO$4)/($AO$3-$AO$4)</f>
        <v>2.9247019807021896E-3</v>
      </c>
      <c r="AO194" s="3"/>
      <c r="AP194">
        <v>0</v>
      </c>
      <c r="AR194" t="s">
        <v>1</v>
      </c>
      <c r="AT194" s="2" t="s">
        <v>0</v>
      </c>
      <c r="AU194" s="1">
        <f t="shared" ref="AU194" si="29">(Y194*0.7+AN194*0.3)*100</f>
        <v>13.382901359466445</v>
      </c>
      <c r="AV194" s="1">
        <f t="shared" ref="AV194" si="30">(Y194*0.5+AN194*0.5)*100</f>
        <v>9.6427781704960953</v>
      </c>
      <c r="AW194" s="1">
        <f t="shared" ref="AW194" si="31">(Y194*0.3+AN194*0.7)*100</f>
        <v>5.9026549815257452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2021-11-11T11:40:13Z</dcterms:created>
  <dcterms:modified xsi:type="dcterms:W3CDTF">2022-01-19T20:20:31Z</dcterms:modified>
</cp:coreProperties>
</file>